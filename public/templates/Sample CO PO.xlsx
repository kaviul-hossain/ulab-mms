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anu\Desktop\ulab-mms\public\templates\"/>
    </mc:Choice>
  </mc:AlternateContent>
  <xr:revisionPtr revIDLastSave="0" documentId="13_ncr:1_{351DBC5F-47E1-4C47-A865-6385E2123D64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10" i="1"/>
  <c r="E11" i="1"/>
  <c r="E12" i="1"/>
  <c r="K12" i="1" s="1"/>
  <c r="E13" i="1"/>
  <c r="E14" i="1"/>
  <c r="E15" i="1"/>
  <c r="E16" i="1"/>
  <c r="E17" i="1"/>
  <c r="E18" i="1"/>
  <c r="E19" i="1"/>
  <c r="E20" i="1"/>
  <c r="E21" i="1"/>
  <c r="E22" i="1"/>
  <c r="K22" i="1" s="1"/>
  <c r="E23" i="1"/>
  <c r="E24" i="1"/>
  <c r="K24" i="1" s="1"/>
  <c r="E25" i="1"/>
  <c r="E26" i="1"/>
  <c r="E27" i="1"/>
  <c r="E28" i="1"/>
  <c r="E29" i="1"/>
  <c r="E30" i="1"/>
  <c r="E31" i="1"/>
  <c r="E32" i="1"/>
  <c r="E33" i="1"/>
  <c r="E34" i="1"/>
  <c r="K34" i="1" s="1"/>
  <c r="E35" i="1"/>
  <c r="E36" i="1"/>
  <c r="K36" i="1" s="1"/>
  <c r="E37" i="1"/>
  <c r="E38" i="1"/>
  <c r="E39" i="1"/>
  <c r="E40" i="1"/>
  <c r="E41" i="1"/>
  <c r="E42" i="1"/>
  <c r="E43" i="1"/>
  <c r="E44" i="1"/>
  <c r="E45" i="1"/>
  <c r="E46" i="1"/>
  <c r="K46" i="1" s="1"/>
  <c r="E47" i="1"/>
  <c r="E48" i="1"/>
  <c r="K48" i="1" s="1"/>
  <c r="E49" i="1"/>
  <c r="E50" i="1"/>
  <c r="E51" i="1"/>
  <c r="E10" i="1"/>
  <c r="D11" i="1"/>
  <c r="K11" i="1" s="1"/>
  <c r="D12" i="1"/>
  <c r="D13" i="1"/>
  <c r="K13" i="1" s="1"/>
  <c r="D14" i="1"/>
  <c r="K14" i="1" s="1"/>
  <c r="D15" i="1"/>
  <c r="K15" i="1" s="1"/>
  <c r="D16" i="1"/>
  <c r="K16" i="1" s="1"/>
  <c r="D17" i="1"/>
  <c r="K17" i="1" s="1"/>
  <c r="D18" i="1"/>
  <c r="K18" i="1" s="1"/>
  <c r="D19" i="1"/>
  <c r="K19" i="1" s="1"/>
  <c r="D20" i="1"/>
  <c r="K20" i="1" s="1"/>
  <c r="D21" i="1"/>
  <c r="K21" i="1" s="1"/>
  <c r="D22" i="1"/>
  <c r="D23" i="1"/>
  <c r="K23" i="1" s="1"/>
  <c r="D24" i="1"/>
  <c r="D25" i="1"/>
  <c r="K25" i="1" s="1"/>
  <c r="D26" i="1"/>
  <c r="K26" i="1" s="1"/>
  <c r="D27" i="1"/>
  <c r="K27" i="1" s="1"/>
  <c r="D28" i="1"/>
  <c r="K28" i="1" s="1"/>
  <c r="D29" i="1"/>
  <c r="K29" i="1" s="1"/>
  <c r="D30" i="1"/>
  <c r="K30" i="1" s="1"/>
  <c r="D31" i="1"/>
  <c r="K31" i="1" s="1"/>
  <c r="D32" i="1"/>
  <c r="K32" i="1" s="1"/>
  <c r="D33" i="1"/>
  <c r="K33" i="1" s="1"/>
  <c r="D34" i="1"/>
  <c r="D35" i="1"/>
  <c r="K35" i="1" s="1"/>
  <c r="D36" i="1"/>
  <c r="D37" i="1"/>
  <c r="K37" i="1" s="1"/>
  <c r="D38" i="1"/>
  <c r="K38" i="1" s="1"/>
  <c r="D39" i="1"/>
  <c r="K39" i="1" s="1"/>
  <c r="D40" i="1"/>
  <c r="K40" i="1" s="1"/>
  <c r="D41" i="1"/>
  <c r="K41" i="1" s="1"/>
  <c r="D42" i="1"/>
  <c r="K42" i="1" s="1"/>
  <c r="D43" i="1"/>
  <c r="K43" i="1" s="1"/>
  <c r="D44" i="1"/>
  <c r="K44" i="1" s="1"/>
  <c r="M44" i="1" s="1"/>
  <c r="AN49" i="4" s="1"/>
  <c r="D45" i="1"/>
  <c r="K45" i="1" s="1"/>
  <c r="D46" i="1"/>
  <c r="D47" i="1"/>
  <c r="K47" i="1" s="1"/>
  <c r="D48" i="1"/>
  <c r="D49" i="1"/>
  <c r="K49" i="1" s="1"/>
  <c r="D50" i="1"/>
  <c r="K50" i="1" s="1"/>
  <c r="D51" i="1"/>
  <c r="K51" i="1" s="1"/>
  <c r="D10" i="1"/>
  <c r="K10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10" i="1"/>
  <c r="C10" i="1"/>
  <c r="I9" i="1"/>
  <c r="E9" i="1"/>
  <c r="S57" i="1"/>
  <c r="T57" i="1"/>
  <c r="U57" i="1"/>
  <c r="V57" i="1"/>
  <c r="S56" i="1"/>
  <c r="T56" i="1"/>
  <c r="U56" i="1"/>
  <c r="V56" i="1"/>
  <c r="S55" i="1"/>
  <c r="T55" i="1"/>
  <c r="U55" i="1"/>
  <c r="V55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64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BA56" i="4" a="1"/>
  <c r="BA56" i="4" s="1"/>
  <c r="AM56" i="4"/>
  <c r="AL56" i="4"/>
  <c r="AJ56" i="4"/>
  <c r="AG56" i="4"/>
  <c r="AF56" i="4"/>
  <c r="AE56" i="4"/>
  <c r="AK56" i="4" s="1"/>
  <c r="AD56" i="4"/>
  <c r="AC56" i="4"/>
  <c r="AI56" i="4" s="1"/>
  <c r="AB56" i="4"/>
  <c r="AH56" i="4" s="1"/>
  <c r="AM55" i="4"/>
  <c r="AK55" i="4"/>
  <c r="AJ55" i="4"/>
  <c r="AG55" i="4"/>
  <c r="AF55" i="4"/>
  <c r="AL55" i="4" s="1"/>
  <c r="AE55" i="4"/>
  <c r="AD55" i="4"/>
  <c r="AC55" i="4"/>
  <c r="AI55" i="4" s="1"/>
  <c r="AB55" i="4"/>
  <c r="AH55" i="4" s="1"/>
  <c r="AL54" i="4"/>
  <c r="AK54" i="4"/>
  <c r="AI54" i="4"/>
  <c r="AG54" i="4"/>
  <c r="AM54" i="4" s="1"/>
  <c r="AF54" i="4"/>
  <c r="AE54" i="4"/>
  <c r="AD54" i="4"/>
  <c r="AJ54" i="4" s="1"/>
  <c r="AC54" i="4"/>
  <c r="AB54" i="4"/>
  <c r="AH54" i="4" s="1"/>
  <c r="AM53" i="4"/>
  <c r="AJ53" i="4"/>
  <c r="AH53" i="4"/>
  <c r="AG53" i="4"/>
  <c r="AF53" i="4"/>
  <c r="AL53" i="4" s="1"/>
  <c r="AE53" i="4"/>
  <c r="AK53" i="4" s="1"/>
  <c r="AD53" i="4"/>
  <c r="AC53" i="4"/>
  <c r="AI53" i="4" s="1"/>
  <c r="AB53" i="4"/>
  <c r="BF52" i="4"/>
  <c r="AM52" i="4"/>
  <c r="AI52" i="4"/>
  <c r="AG52" i="4"/>
  <c r="AF52" i="4"/>
  <c r="AL52" i="4" s="1"/>
  <c r="AE52" i="4"/>
  <c r="AK52" i="4" s="1"/>
  <c r="AD52" i="4"/>
  <c r="AJ52" i="4" s="1"/>
  <c r="AC52" i="4"/>
  <c r="AB52" i="4"/>
  <c r="AH52" i="4" s="1"/>
  <c r="BF51" i="4"/>
  <c r="AJ51" i="4"/>
  <c r="AG51" i="4"/>
  <c r="AM51" i="4" s="1"/>
  <c r="AF51" i="4"/>
  <c r="AL51" i="4" s="1"/>
  <c r="AE51" i="4"/>
  <c r="AK51" i="4" s="1"/>
  <c r="AD51" i="4"/>
  <c r="AC51" i="4"/>
  <c r="AI51" i="4" s="1"/>
  <c r="AB51" i="4"/>
  <c r="AH51" i="4" s="1"/>
  <c r="AM50" i="4"/>
  <c r="AK50" i="4"/>
  <c r="AH50" i="4"/>
  <c r="AG50" i="4"/>
  <c r="AF50" i="4"/>
  <c r="AL50" i="4" s="1"/>
  <c r="AE50" i="4"/>
  <c r="AD50" i="4"/>
  <c r="AJ50" i="4" s="1"/>
  <c r="AC50" i="4"/>
  <c r="AI50" i="4" s="1"/>
  <c r="AB50" i="4"/>
  <c r="AL49" i="4"/>
  <c r="AJ49" i="4"/>
  <c r="AI49" i="4"/>
  <c r="AG49" i="4"/>
  <c r="AM49" i="4" s="1"/>
  <c r="AF49" i="4"/>
  <c r="AE49" i="4"/>
  <c r="AK49" i="4" s="1"/>
  <c r="AD49" i="4"/>
  <c r="AC49" i="4"/>
  <c r="AB49" i="4"/>
  <c r="AH49" i="4" s="1"/>
  <c r="BA48" i="4" a="1"/>
  <c r="BA48" i="4"/>
  <c r="AM48" i="4"/>
  <c r="AK48" i="4"/>
  <c r="AJ48" i="4"/>
  <c r="AI48" i="4"/>
  <c r="AH48" i="4"/>
  <c r="AG48" i="4"/>
  <c r="AF48" i="4"/>
  <c r="AL48" i="4" s="1"/>
  <c r="AE48" i="4"/>
  <c r="AD48" i="4"/>
  <c r="AC48" i="4"/>
  <c r="AB48" i="4"/>
  <c r="AM47" i="4"/>
  <c r="AL47" i="4"/>
  <c r="AK47" i="4"/>
  <c r="AI47" i="4"/>
  <c r="AG47" i="4"/>
  <c r="AF47" i="4"/>
  <c r="AE47" i="4"/>
  <c r="AD47" i="4"/>
  <c r="AJ47" i="4" s="1"/>
  <c r="AC47" i="4"/>
  <c r="AB47" i="4"/>
  <c r="AH47" i="4" s="1"/>
  <c r="AL46" i="4"/>
  <c r="AJ46" i="4"/>
  <c r="AG46" i="4"/>
  <c r="AM46" i="4" s="1"/>
  <c r="AF46" i="4"/>
  <c r="AE46" i="4"/>
  <c r="AK46" i="4" s="1"/>
  <c r="AD46" i="4"/>
  <c r="AC46" i="4"/>
  <c r="AI46" i="4" s="1"/>
  <c r="AB46" i="4"/>
  <c r="AH46" i="4" s="1"/>
  <c r="BE45" i="4"/>
  <c r="BD45" i="4" a="1"/>
  <c r="BD45" i="4" s="1"/>
  <c r="AM45" i="4"/>
  <c r="AK45" i="4"/>
  <c r="AH45" i="4"/>
  <c r="AG45" i="4"/>
  <c r="AF45" i="4"/>
  <c r="AL45" i="4" s="1"/>
  <c r="AE45" i="4"/>
  <c r="AD45" i="4"/>
  <c r="AJ45" i="4" s="1"/>
  <c r="AC45" i="4"/>
  <c r="AI45" i="4" s="1"/>
  <c r="AB45" i="4"/>
  <c r="AL44" i="4"/>
  <c r="AJ44" i="4"/>
  <c r="AI44" i="4"/>
  <c r="AG44" i="4"/>
  <c r="AM44" i="4" s="1"/>
  <c r="AF44" i="4"/>
  <c r="AE44" i="4"/>
  <c r="AK44" i="4" s="1"/>
  <c r="AD44" i="4"/>
  <c r="AC44" i="4"/>
  <c r="AB44" i="4"/>
  <c r="AH44" i="4" s="1"/>
  <c r="AM43" i="4"/>
  <c r="AK43" i="4"/>
  <c r="AJ43" i="4"/>
  <c r="AH43" i="4"/>
  <c r="AG43" i="4"/>
  <c r="AF43" i="4"/>
  <c r="AL43" i="4" s="1"/>
  <c r="AE43" i="4"/>
  <c r="AD43" i="4"/>
  <c r="AC43" i="4"/>
  <c r="AI43" i="4" s="1"/>
  <c r="AB43" i="4"/>
  <c r="AL42" i="4"/>
  <c r="AK42" i="4"/>
  <c r="AG42" i="4"/>
  <c r="AM42" i="4" s="1"/>
  <c r="AF42" i="4"/>
  <c r="AE42" i="4"/>
  <c r="AD42" i="4"/>
  <c r="AJ42" i="4" s="1"/>
  <c r="AC42" i="4"/>
  <c r="AI42" i="4" s="1"/>
  <c r="AB42" i="4"/>
  <c r="AH42" i="4" s="1"/>
  <c r="AM41" i="4"/>
  <c r="AL41" i="4"/>
  <c r="AH41" i="4"/>
  <c r="AG41" i="4"/>
  <c r="AF41" i="4"/>
  <c r="AE41" i="4"/>
  <c r="AK41" i="4" s="1"/>
  <c r="AD41" i="4"/>
  <c r="AJ41" i="4" s="1"/>
  <c r="AC41" i="4"/>
  <c r="AI41" i="4" s="1"/>
  <c r="AB41" i="4"/>
  <c r="AI40" i="4"/>
  <c r="AG40" i="4"/>
  <c r="AM40" i="4" s="1"/>
  <c r="AF40" i="4"/>
  <c r="AL40" i="4" s="1"/>
  <c r="AE40" i="4"/>
  <c r="AK40" i="4" s="1"/>
  <c r="AD40" i="4"/>
  <c r="AJ40" i="4" s="1"/>
  <c r="AC40" i="4"/>
  <c r="AB40" i="4"/>
  <c r="AH40" i="4" s="1"/>
  <c r="BB39" i="4" a="1"/>
  <c r="BB39" i="4" s="1"/>
  <c r="AJ39" i="4"/>
  <c r="AH39" i="4"/>
  <c r="AG39" i="4"/>
  <c r="AM39" i="4" s="1"/>
  <c r="AF39" i="4"/>
  <c r="AL39" i="4" s="1"/>
  <c r="AE39" i="4"/>
  <c r="AK39" i="4" s="1"/>
  <c r="AD39" i="4"/>
  <c r="AC39" i="4"/>
  <c r="AI39" i="4" s="1"/>
  <c r="AB39" i="4"/>
  <c r="AL38" i="4"/>
  <c r="AK38" i="4"/>
  <c r="AJ38" i="4"/>
  <c r="AI38" i="4"/>
  <c r="AH38" i="4"/>
  <c r="AG38" i="4"/>
  <c r="AM38" i="4" s="1"/>
  <c r="AF38" i="4"/>
  <c r="AE38" i="4"/>
  <c r="AD38" i="4"/>
  <c r="AC38" i="4"/>
  <c r="AB38" i="4"/>
  <c r="AK37" i="4"/>
  <c r="AH37" i="4"/>
  <c r="AG37" i="4"/>
  <c r="AM37" i="4" s="1"/>
  <c r="AF37" i="4"/>
  <c r="AL37" i="4" s="1"/>
  <c r="AE37" i="4"/>
  <c r="AD37" i="4"/>
  <c r="AJ37" i="4" s="1"/>
  <c r="AC37" i="4"/>
  <c r="AI37" i="4" s="1"/>
  <c r="AB37" i="4"/>
  <c r="BF36" i="4"/>
  <c r="BE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M35" i="4"/>
  <c r="AI35" i="4"/>
  <c r="AH35" i="4"/>
  <c r="AG35" i="4"/>
  <c r="AF35" i="4"/>
  <c r="AL35" i="4" s="1"/>
  <c r="AE35" i="4"/>
  <c r="AK35" i="4" s="1"/>
  <c r="AD35" i="4"/>
  <c r="AJ35" i="4" s="1"/>
  <c r="AC35" i="4"/>
  <c r="AB35" i="4"/>
  <c r="AI34" i="4"/>
  <c r="AH34" i="4"/>
  <c r="AG34" i="4"/>
  <c r="AM34" i="4" s="1"/>
  <c r="AF34" i="4"/>
  <c r="AL34" i="4" s="1"/>
  <c r="AE34" i="4"/>
  <c r="AK34" i="4" s="1"/>
  <c r="AD34" i="4"/>
  <c r="AJ34" i="4" s="1"/>
  <c r="AC34" i="4"/>
  <c r="AB34" i="4"/>
  <c r="AJ33" i="4"/>
  <c r="AI33" i="4"/>
  <c r="AH33" i="4"/>
  <c r="AG33" i="4"/>
  <c r="AM33" i="4" s="1"/>
  <c r="AF33" i="4"/>
  <c r="AL33" i="4" s="1"/>
  <c r="AE33" i="4"/>
  <c r="AK33" i="4" s="1"/>
  <c r="AD33" i="4"/>
  <c r="AC33" i="4"/>
  <c r="AB33" i="4"/>
  <c r="AK32" i="4"/>
  <c r="AJ32" i="4"/>
  <c r="AI32" i="4"/>
  <c r="AH32" i="4"/>
  <c r="AG32" i="4"/>
  <c r="AM32" i="4" s="1"/>
  <c r="AF32" i="4"/>
  <c r="AL32" i="4" s="1"/>
  <c r="AE32" i="4"/>
  <c r="AD32" i="4"/>
  <c r="AC32" i="4"/>
  <c r="AB32" i="4"/>
  <c r="AV31" i="4"/>
  <c r="AU31" i="4"/>
  <c r="AK31" i="4"/>
  <c r="AJ31" i="4"/>
  <c r="AI31" i="4"/>
  <c r="AH31" i="4"/>
  <c r="AG31" i="4"/>
  <c r="AM31" i="4" s="1"/>
  <c r="AF31" i="4"/>
  <c r="AL31" i="4" s="1"/>
  <c r="AE31" i="4"/>
  <c r="AD31" i="4"/>
  <c r="AC31" i="4"/>
  <c r="AB31" i="4"/>
  <c r="AL30" i="4"/>
  <c r="AK30" i="4"/>
  <c r="AJ30" i="4"/>
  <c r="AI30" i="4"/>
  <c r="AH30" i="4"/>
  <c r="AG30" i="4"/>
  <c r="AM30" i="4" s="1"/>
  <c r="AF30" i="4"/>
  <c r="AE30" i="4"/>
  <c r="AD30" i="4"/>
  <c r="AC30" i="4"/>
  <c r="AB30" i="4"/>
  <c r="BD29" i="4" a="1"/>
  <c r="BD29" i="4" s="1"/>
  <c r="AM29" i="4"/>
  <c r="AL29" i="4"/>
  <c r="AK29" i="4"/>
  <c r="AJ29" i="4"/>
  <c r="AI29" i="4"/>
  <c r="AH29" i="4"/>
  <c r="AG29" i="4"/>
  <c r="AF29" i="4"/>
  <c r="AE29" i="4"/>
  <c r="AD29" i="4"/>
  <c r="AC29" i="4"/>
  <c r="AB29" i="4"/>
  <c r="BE28" i="4"/>
  <c r="AM28" i="4"/>
  <c r="AL28" i="4"/>
  <c r="AK28" i="4"/>
  <c r="AJ28" i="4"/>
  <c r="AI28" i="4"/>
  <c r="AG28" i="4"/>
  <c r="AF28" i="4"/>
  <c r="AE28" i="4"/>
  <c r="AD28" i="4"/>
  <c r="AC28" i="4"/>
  <c r="AB28" i="4"/>
  <c r="AH28" i="4" s="1"/>
  <c r="BF27" i="4"/>
  <c r="BE27" i="4"/>
  <c r="AM27" i="4"/>
  <c r="AL27" i="4"/>
  <c r="AK27" i="4"/>
  <c r="AJ27" i="4"/>
  <c r="AG27" i="4"/>
  <c r="AF27" i="4"/>
  <c r="AE27" i="4"/>
  <c r="AD27" i="4"/>
  <c r="AC27" i="4"/>
  <c r="AI27" i="4" s="1"/>
  <c r="AB27" i="4"/>
  <c r="AH27" i="4" s="1"/>
  <c r="AM26" i="4"/>
  <c r="AL26" i="4"/>
  <c r="AK26" i="4"/>
  <c r="AG26" i="4"/>
  <c r="AF26" i="4"/>
  <c r="AE26" i="4"/>
  <c r="AD26" i="4"/>
  <c r="AJ26" i="4" s="1"/>
  <c r="AC26" i="4"/>
  <c r="AI26" i="4" s="1"/>
  <c r="AB26" i="4"/>
  <c r="AH26" i="4" s="1"/>
  <c r="BD25" i="4" a="1"/>
  <c r="BD25" i="4"/>
  <c r="AW25" i="4" a="1"/>
  <c r="AW25" i="4" s="1"/>
  <c r="AM25" i="4"/>
  <c r="AL25" i="4"/>
  <c r="AK25" i="4"/>
  <c r="AJ25" i="4"/>
  <c r="AG25" i="4"/>
  <c r="AF25" i="4"/>
  <c r="AE25" i="4"/>
  <c r="AD25" i="4"/>
  <c r="AC25" i="4"/>
  <c r="AI25" i="4" s="1"/>
  <c r="AB25" i="4"/>
  <c r="AH25" i="4" s="1"/>
  <c r="BD24" i="4" a="1"/>
  <c r="BD24" i="4"/>
  <c r="AW24" i="4" a="1"/>
  <c r="AW24" i="4" s="1"/>
  <c r="AM24" i="4"/>
  <c r="AL24" i="4"/>
  <c r="AK24" i="4"/>
  <c r="AG24" i="4"/>
  <c r="AF24" i="4"/>
  <c r="AE24" i="4"/>
  <c r="AD24" i="4"/>
  <c r="AJ24" i="4" s="1"/>
  <c r="AC24" i="4"/>
  <c r="AI24" i="4" s="1"/>
  <c r="AB24" i="4"/>
  <c r="AH24" i="4" s="1"/>
  <c r="BE23" i="4"/>
  <c r="BD23" i="4" a="1"/>
  <c r="BD23" i="4" s="1"/>
  <c r="AX23" i="4" a="1"/>
  <c r="AX23" i="4"/>
  <c r="AM23" i="4"/>
  <c r="AL23" i="4"/>
  <c r="AG23" i="4"/>
  <c r="AF23" i="4"/>
  <c r="AE23" i="4"/>
  <c r="AK23" i="4" s="1"/>
  <c r="AD23" i="4"/>
  <c r="AJ23" i="4" s="1"/>
  <c r="AC23" i="4"/>
  <c r="AI23" i="4" s="1"/>
  <c r="AB23" i="4"/>
  <c r="AH23" i="4" s="1"/>
  <c r="BF22" i="4"/>
  <c r="BE22" i="4"/>
  <c r="AX22" i="4" a="1"/>
  <c r="AX22" i="4" s="1"/>
  <c r="AM22" i="4"/>
  <c r="AG22" i="4"/>
  <c r="AF22" i="4"/>
  <c r="AL22" i="4" s="1"/>
  <c r="AE22" i="4"/>
  <c r="AK22" i="4" s="1"/>
  <c r="AD22" i="4"/>
  <c r="AJ22" i="4" s="1"/>
  <c r="AC22" i="4"/>
  <c r="AI22" i="4" s="1"/>
  <c r="AB22" i="4"/>
  <c r="AH22" i="4" s="1"/>
  <c r="BF21" i="4"/>
  <c r="AG21" i="4"/>
  <c r="AM21" i="4" s="1"/>
  <c r="AF21" i="4"/>
  <c r="AL21" i="4" s="1"/>
  <c r="AE21" i="4"/>
  <c r="AK21" i="4" s="1"/>
  <c r="AD21" i="4"/>
  <c r="AJ21" i="4" s="1"/>
  <c r="AC21" i="4"/>
  <c r="AI21" i="4" s="1"/>
  <c r="AB21" i="4"/>
  <c r="AH21" i="4" s="1"/>
  <c r="AH20" i="4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Z19" i="4" a="1"/>
  <c r="AZ19" i="4" s="1"/>
  <c r="AI19" i="4"/>
  <c r="AH19" i="4"/>
  <c r="AG19" i="4"/>
  <c r="AM19" i="4" s="1"/>
  <c r="AF19" i="4"/>
  <c r="AL19" i="4" s="1"/>
  <c r="AE19" i="4"/>
  <c r="AK19" i="4" s="1"/>
  <c r="AD19" i="4"/>
  <c r="AJ19" i="4" s="1"/>
  <c r="AC19" i="4"/>
  <c r="AB19" i="4"/>
  <c r="BA18" i="4" a="1"/>
  <c r="BA18" i="4"/>
  <c r="AJ18" i="4"/>
  <c r="AI18" i="4"/>
  <c r="AH18" i="4"/>
  <c r="AG18" i="4"/>
  <c r="AM18" i="4" s="1"/>
  <c r="AF18" i="4"/>
  <c r="AL18" i="4" s="1"/>
  <c r="AE18" i="4"/>
  <c r="AK18" i="4" s="1"/>
  <c r="AD18" i="4"/>
  <c r="AC18" i="4"/>
  <c r="AB18" i="4"/>
  <c r="BA17" i="4" a="1"/>
  <c r="BA17" i="4" s="1"/>
  <c r="AV17" i="4"/>
  <c r="AK17" i="4"/>
  <c r="AJ17" i="4"/>
  <c r="AI17" i="4"/>
  <c r="AH17" i="4"/>
  <c r="AG17" i="4"/>
  <c r="AM17" i="4" s="1"/>
  <c r="AF17" i="4"/>
  <c r="AL17" i="4" s="1"/>
  <c r="AE17" i="4"/>
  <c r="AD17" i="4"/>
  <c r="AC17" i="4"/>
  <c r="AB17" i="4"/>
  <c r="BB16" i="4" a="1"/>
  <c r="BB16" i="4"/>
  <c r="AW16" i="4" a="1"/>
  <c r="AW16" i="4" s="1"/>
  <c r="AV16" i="4"/>
  <c r="AU16" i="4"/>
  <c r="AL16" i="4"/>
  <c r="AK16" i="4"/>
  <c r="AJ16" i="4"/>
  <c r="AI16" i="4"/>
  <c r="AH16" i="4"/>
  <c r="AG16" i="4"/>
  <c r="AM16" i="4" s="1"/>
  <c r="AF16" i="4"/>
  <c r="AE16" i="4"/>
  <c r="AD16" i="4"/>
  <c r="AC16" i="4"/>
  <c r="AB16" i="4"/>
  <c r="BD15" i="4" a="1"/>
  <c r="BD15" i="4" s="1"/>
  <c r="BB15" i="4" a="1"/>
  <c r="BB15" i="4" s="1"/>
  <c r="AW15" i="4" a="1"/>
  <c r="AW15" i="4" s="1"/>
  <c r="AV15" i="4"/>
  <c r="AU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15" i="4" s="1"/>
  <c r="BD9" i="4"/>
  <c r="BE15" i="4" s="1"/>
  <c r="BC9" i="4"/>
  <c r="BB9" i="4"/>
  <c r="BC16" i="4" s="1" a="1"/>
  <c r="BC16" i="4" s="1"/>
  <c r="BA9" i="4"/>
  <c r="BB17" i="4" s="1" a="1"/>
  <c r="BB17" i="4" s="1"/>
  <c r="AZ9" i="4"/>
  <c r="AY9" i="4"/>
  <c r="AX9" i="4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66" i="1"/>
  <c r="C62" i="1"/>
  <c r="R57" i="1"/>
  <c r="Q57" i="1"/>
  <c r="P57" i="1"/>
  <c r="R56" i="1"/>
  <c r="Q56" i="1"/>
  <c r="P56" i="1"/>
  <c r="R55" i="1"/>
  <c r="Q55" i="1"/>
  <c r="P55" i="1"/>
  <c r="J9" i="1"/>
  <c r="H9" i="1"/>
  <c r="G9" i="1"/>
  <c r="F9" i="1"/>
  <c r="D9" i="1"/>
  <c r="A7" i="1"/>
  <c r="M47" i="1" l="1"/>
  <c r="AS52" i="4" s="1"/>
  <c r="L47" i="1"/>
  <c r="M35" i="1"/>
  <c r="AN40" i="4" s="1"/>
  <c r="L35" i="1"/>
  <c r="L23" i="1"/>
  <c r="M23" i="1"/>
  <c r="BQ28" i="4" s="1"/>
  <c r="M11" i="1"/>
  <c r="L11" i="1"/>
  <c r="M45" i="1"/>
  <c r="AO50" i="4" s="1"/>
  <c r="L45" i="1"/>
  <c r="M33" i="1"/>
  <c r="L33" i="1"/>
  <c r="M21" i="1"/>
  <c r="AR26" i="4" s="1"/>
  <c r="L21" i="1"/>
  <c r="L32" i="1"/>
  <c r="M32" i="1"/>
  <c r="AR37" i="4" s="1"/>
  <c r="L20" i="1"/>
  <c r="M20" i="1"/>
  <c r="M43" i="1"/>
  <c r="L43" i="1"/>
  <c r="M31" i="1"/>
  <c r="AQ36" i="4" s="1"/>
  <c r="L31" i="1"/>
  <c r="M19" i="1"/>
  <c r="BN24" i="4" s="1"/>
  <c r="L19" i="1"/>
  <c r="L42" i="1"/>
  <c r="M42" i="1"/>
  <c r="M30" i="1"/>
  <c r="L30" i="1"/>
  <c r="M18" i="1"/>
  <c r="L18" i="1"/>
  <c r="M48" i="1"/>
  <c r="L48" i="1"/>
  <c r="L36" i="1"/>
  <c r="M36" i="1"/>
  <c r="AQ41" i="4" s="1"/>
  <c r="M24" i="1"/>
  <c r="BR29" i="4" s="1"/>
  <c r="L24" i="1"/>
  <c r="M12" i="1"/>
  <c r="L12" i="1"/>
  <c r="M41" i="1"/>
  <c r="L41" i="1"/>
  <c r="L29" i="1"/>
  <c r="M29" i="1"/>
  <c r="AS34" i="4" s="1"/>
  <c r="M17" i="1"/>
  <c r="L17" i="1"/>
  <c r="L10" i="1"/>
  <c r="M10" i="1"/>
  <c r="M40" i="1"/>
  <c r="L40" i="1"/>
  <c r="M28" i="1"/>
  <c r="AS33" i="4" s="1"/>
  <c r="L28" i="1"/>
  <c r="L16" i="1"/>
  <c r="M16" i="1"/>
  <c r="L46" i="1"/>
  <c r="M46" i="1"/>
  <c r="L34" i="1"/>
  <c r="M34" i="1"/>
  <c r="L22" i="1"/>
  <c r="M22" i="1"/>
  <c r="BR27" i="4" s="1"/>
  <c r="M51" i="1"/>
  <c r="L51" i="1"/>
  <c r="M39" i="1"/>
  <c r="L39" i="1"/>
  <c r="M27" i="1"/>
  <c r="L27" i="1"/>
  <c r="M15" i="1"/>
  <c r="L15" i="1"/>
  <c r="L50" i="1"/>
  <c r="M50" i="1"/>
  <c r="M38" i="1"/>
  <c r="L38" i="1"/>
  <c r="M26" i="1"/>
  <c r="H66" i="1" s="1"/>
  <c r="L26" i="1"/>
  <c r="M14" i="1"/>
  <c r="L14" i="1"/>
  <c r="M49" i="1"/>
  <c r="L49" i="1"/>
  <c r="M37" i="1"/>
  <c r="L37" i="1"/>
  <c r="M25" i="1"/>
  <c r="L25" i="1"/>
  <c r="M13" i="1"/>
  <c r="L13" i="1"/>
  <c r="L44" i="1"/>
  <c r="BR21" i="4"/>
  <c r="H65" i="1"/>
  <c r="L24" i="3" s="1"/>
  <c r="AN21" i="4"/>
  <c r="AO21" i="4"/>
  <c r="BP15" i="4"/>
  <c r="BJ16" i="4"/>
  <c r="BP22" i="4"/>
  <c r="AR46" i="4"/>
  <c r="AP46" i="4"/>
  <c r="AS46" i="4"/>
  <c r="BL29" i="4"/>
  <c r="AS29" i="4"/>
  <c r="AR29" i="4"/>
  <c r="AQ29" i="4"/>
  <c r="AP29" i="4"/>
  <c r="AO29" i="4"/>
  <c r="AS35" i="4"/>
  <c r="AP35" i="4"/>
  <c r="BL35" i="4"/>
  <c r="AO35" i="4"/>
  <c r="AN35" i="4"/>
  <c r="BI35" i="4"/>
  <c r="AN41" i="4"/>
  <c r="BG41" i="4"/>
  <c r="AS41" i="4"/>
  <c r="AR41" i="4"/>
  <c r="AP41" i="4"/>
  <c r="AQ47" i="4"/>
  <c r="AO47" i="4"/>
  <c r="BK47" i="4"/>
  <c r="AS47" i="4"/>
  <c r="AR47" i="4"/>
  <c r="AP47" i="4"/>
  <c r="AN47" i="4"/>
  <c r="AS53" i="4"/>
  <c r="BR53" i="4"/>
  <c r="AN53" i="4"/>
  <c r="AR53" i="4"/>
  <c r="AQ53" i="4"/>
  <c r="AP53" i="4"/>
  <c r="AO53" i="4"/>
  <c r="BL53" i="4"/>
  <c r="AY53" i="4"/>
  <c r="BK53" i="4" s="1"/>
  <c r="AY41" i="4"/>
  <c r="AY50" i="4"/>
  <c r="AY38" i="4"/>
  <c r="AY37" i="4"/>
  <c r="AY48" i="4"/>
  <c r="AY55" i="4"/>
  <c r="AY42" i="4"/>
  <c r="AY49" i="4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AY30" i="4"/>
  <c r="AY29" i="4"/>
  <c r="AY52" i="4"/>
  <c r="AY28" i="4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BG40" i="4"/>
  <c r="AO40" i="4"/>
  <c r="AS40" i="4"/>
  <c r="AR40" i="4"/>
  <c r="BK30" i="4"/>
  <c r="AS30" i="4"/>
  <c r="AR30" i="4"/>
  <c r="AQ30" i="4"/>
  <c r="AP30" i="4"/>
  <c r="AO30" i="4"/>
  <c r="AN30" i="4"/>
  <c r="BP30" i="4"/>
  <c r="AR36" i="4"/>
  <c r="AO36" i="4"/>
  <c r="BR36" i="4"/>
  <c r="BQ36" i="4"/>
  <c r="AS36" i="4"/>
  <c r="AP36" i="4"/>
  <c r="AN36" i="4"/>
  <c r="BI36" i="4"/>
  <c r="BK48" i="4"/>
  <c r="AS48" i="4"/>
  <c r="AP48" i="4"/>
  <c r="BR48" i="4"/>
  <c r="AN48" i="4"/>
  <c r="AR48" i="4"/>
  <c r="AQ48" i="4"/>
  <c r="AO48" i="4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AZ46" i="4" a="1"/>
  <c r="AZ46" i="4" s="1"/>
  <c r="BL46" i="4" s="1"/>
  <c r="AZ49" i="4" a="1"/>
  <c r="AZ49" i="4" s="1"/>
  <c r="AZ37" i="4" a="1"/>
  <c r="AZ37" i="4" s="1"/>
  <c r="AZ34" i="4" a="1"/>
  <c r="AZ34" i="4" s="1"/>
  <c r="AZ50" i="4" a="1"/>
  <c r="AZ50" i="4" s="1"/>
  <c r="AZ40" i="4" a="1"/>
  <c r="AZ40" i="4" s="1"/>
  <c r="BL40" i="4" s="1"/>
  <c r="AZ33" i="4" a="1"/>
  <c r="AZ33" i="4" s="1"/>
  <c r="AZ32" i="4" a="1"/>
  <c r="AZ32" i="4" s="1"/>
  <c r="BL32" i="4" s="1"/>
  <c r="AZ45" i="4" a="1"/>
  <c r="AZ45" i="4" s="1"/>
  <c r="BL45" i="4" s="1"/>
  <c r="AZ31" i="4" a="1"/>
  <c r="AZ31" i="4" s="1"/>
  <c r="AZ30" i="4" a="1"/>
  <c r="AZ30" i="4" s="1"/>
  <c r="AZ29" i="4" a="1"/>
  <c r="AZ29" i="4" s="1"/>
  <c r="AZ28" i="4" a="1"/>
  <c r="AZ28" i="4" s="1"/>
  <c r="AZ52" i="4" a="1"/>
  <c r="AZ52" i="4" s="1"/>
  <c r="AZ44" i="4" a="1"/>
  <c r="AZ44" i="4" s="1"/>
  <c r="AZ27" i="4" a="1"/>
  <c r="AZ27" i="4" s="1"/>
  <c r="AZ53" i="4" a="1"/>
  <c r="AZ53" i="4" s="1"/>
  <c r="AZ38" i="4" a="1"/>
  <c r="AZ38" i="4" s="1"/>
  <c r="AZ36" i="4" a="1"/>
  <c r="AZ36" i="4" s="1"/>
  <c r="BL36" i="4" s="1"/>
  <c r="AZ43" i="4" a="1"/>
  <c r="AZ43" i="4" s="1"/>
  <c r="BL43" i="4" s="1"/>
  <c r="BK17" i="4"/>
  <c r="BJ18" i="4"/>
  <c r="AQ19" i="4"/>
  <c r="AP20" i="4"/>
  <c r="AY22" i="4"/>
  <c r="BR22" i="4"/>
  <c r="BQ23" i="4"/>
  <c r="BP24" i="4"/>
  <c r="BP25" i="4"/>
  <c r="BN28" i="4"/>
  <c r="BM29" i="4"/>
  <c r="BN30" i="4"/>
  <c r="BK32" i="4"/>
  <c r="AR33" i="4"/>
  <c r="AR35" i="4"/>
  <c r="AP40" i="4"/>
  <c r="AQ46" i="4"/>
  <c r="BM56" i="4"/>
  <c r="BN42" i="4"/>
  <c r="BI42" i="4"/>
  <c r="BH42" i="4"/>
  <c r="AS42" i="4"/>
  <c r="AR42" i="4"/>
  <c r="AQ42" i="4"/>
  <c r="AP42" i="4"/>
  <c r="AO42" i="4"/>
  <c r="AR54" i="4"/>
  <c r="BQ54" i="4"/>
  <c r="AS54" i="4"/>
  <c r="AQ54" i="4"/>
  <c r="AP54" i="4"/>
  <c r="AO54" i="4"/>
  <c r="AN54" i="4"/>
  <c r="BP54" i="4"/>
  <c r="H56" i="1"/>
  <c r="C24" i="3" s="1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A50" i="4" a="1"/>
  <c r="BA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A30" i="4" a="1"/>
  <c r="BA30" i="4" s="1"/>
  <c r="BM30" i="4" s="1"/>
  <c r="BA51" i="4" a="1"/>
  <c r="BA51" i="4" s="1"/>
  <c r="BA45" i="4" a="1"/>
  <c r="BA45" i="4" s="1"/>
  <c r="BA29" i="4" a="1"/>
  <c r="BA29" i="4" s="1"/>
  <c r="BA28" i="4" a="1"/>
  <c r="BA28" i="4" s="1"/>
  <c r="BM28" i="4" s="1"/>
  <c r="BA52" i="4" a="1"/>
  <c r="BA52" i="4" s="1"/>
  <c r="BM52" i="4" s="1"/>
  <c r="BA27" i="4" a="1"/>
  <c r="BA27" i="4" s="1"/>
  <c r="BA53" i="4" a="1"/>
  <c r="BA53" i="4" s="1"/>
  <c r="BM53" i="4" s="1"/>
  <c r="BA43" i="4" a="1"/>
  <c r="BA43" i="4" s="1"/>
  <c r="BA38" i="4" a="1"/>
  <c r="BA38" i="4" s="1"/>
  <c r="BA42" i="4" a="1"/>
  <c r="BA42" i="4" s="1"/>
  <c r="BC15" i="4" a="1"/>
  <c r="BC15" i="4" s="1"/>
  <c r="BN15" i="4"/>
  <c r="AU17" i="4"/>
  <c r="AS18" i="4"/>
  <c r="BK18" i="4"/>
  <c r="AR19" i="4"/>
  <c r="BA19" i="4" a="1"/>
  <c r="BA19" i="4" s="1"/>
  <c r="AQ20" i="4"/>
  <c r="AP21" i="4"/>
  <c r="AZ21" i="4" a="1"/>
  <c r="AZ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/>
  <c r="AX25" i="4" a="1"/>
  <c r="AX25" i="4" s="1"/>
  <c r="BE25" i="4"/>
  <c r="BQ25" i="4"/>
  <c r="AZ26" i="4" a="1"/>
  <c r="AZ26" i="4" s="1"/>
  <c r="BO27" i="4"/>
  <c r="BO28" i="4"/>
  <c r="BN29" i="4"/>
  <c r="AU35" i="4"/>
  <c r="BG35" i="4" s="1"/>
  <c r="BA37" i="4" a="1"/>
  <c r="BA37" i="4" s="1"/>
  <c r="BC39" i="4" a="1"/>
  <c r="BC39" i="4" s="1"/>
  <c r="AQ40" i="4"/>
  <c r="BK42" i="4"/>
  <c r="AX43" i="4" a="1"/>
  <c r="AX43" i="4" s="1"/>
  <c r="BJ43" i="4" s="1"/>
  <c r="BM48" i="4"/>
  <c r="BI52" i="4"/>
  <c r="AX53" i="4" a="1"/>
  <c r="AX53" i="4" s="1"/>
  <c r="BJ53" i="4" s="1"/>
  <c r="AQ37" i="4"/>
  <c r="AN37" i="4"/>
  <c r="BK37" i="4"/>
  <c r="BQ37" i="4"/>
  <c r="BP37" i="4"/>
  <c r="BO37" i="4"/>
  <c r="AS37" i="4"/>
  <c r="AR49" i="4"/>
  <c r="AO49" i="4"/>
  <c r="BL49" i="4"/>
  <c r="BK49" i="4"/>
  <c r="BI49" i="4"/>
  <c r="AS49" i="4"/>
  <c r="AQ49" i="4"/>
  <c r="AP49" i="4"/>
  <c r="AQ55" i="4"/>
  <c r="BK55" i="4"/>
  <c r="AS55" i="4"/>
  <c r="BL55" i="4"/>
  <c r="BJ55" i="4"/>
  <c r="AR55" i="4"/>
  <c r="AP55" i="4"/>
  <c r="AO55" i="4"/>
  <c r="AN55" i="4"/>
  <c r="H58" i="1"/>
  <c r="E24" i="3" s="1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B51" i="4" a="1"/>
  <c r="BB51" i="4" s="1"/>
  <c r="BB29" i="4" a="1"/>
  <c r="BB29" i="4" s="1"/>
  <c r="BB45" i="4" a="1"/>
  <c r="BB45" i="4" s="1"/>
  <c r="BB28" i="4" a="1"/>
  <c r="BB28" i="4" s="1"/>
  <c r="BB27" i="4" a="1"/>
  <c r="BB27" i="4" s="1"/>
  <c r="BB26" i="4" a="1"/>
  <c r="BB26" i="4" s="1"/>
  <c r="BB53" i="4" a="1"/>
  <c r="BB53" i="4" s="1"/>
  <c r="BN53" i="4" s="1"/>
  <c r="BB38" i="4" a="1"/>
  <c r="BB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B34" i="4" a="1"/>
  <c r="BB34" i="4" s="1"/>
  <c r="BO15" i="4"/>
  <c r="BN16" i="4"/>
  <c r="BM17" i="4"/>
  <c r="AU18" i="4"/>
  <c r="BB18" i="4" a="1"/>
  <c r="BB18" i="4" s="1"/>
  <c r="AS19" i="4"/>
  <c r="BK19" i="4"/>
  <c r="AR20" i="4"/>
  <c r="BA20" i="4" a="1"/>
  <c r="BA20" i="4" s="1"/>
  <c r="BJ20" i="4"/>
  <c r="AQ21" i="4"/>
  <c r="AP22" i="4"/>
  <c r="AZ22" i="4" a="1"/>
  <c r="AZ22" i="4" s="1"/>
  <c r="AO23" i="4"/>
  <c r="AN24" i="4"/>
  <c r="AY24" i="4"/>
  <c r="BK24" i="4" s="1"/>
  <c r="BF24" i="4"/>
  <c r="BR24" i="4" s="1"/>
  <c r="AY25" i="4"/>
  <c r="BF25" i="4"/>
  <c r="BR25" i="4"/>
  <c r="AO26" i="4"/>
  <c r="BA26" i="4" a="1"/>
  <c r="BA26" i="4" s="1"/>
  <c r="AN27" i="4"/>
  <c r="BP28" i="4"/>
  <c r="BO29" i="4"/>
  <c r="BB31" i="4" a="1"/>
  <c r="BB31" i="4" s="1"/>
  <c r="AU33" i="4"/>
  <c r="BB35" i="4" a="1"/>
  <c r="BB35" i="4" s="1"/>
  <c r="BA40" i="4" a="1"/>
  <c r="BA40" i="4" s="1"/>
  <c r="BM42" i="4"/>
  <c r="AY43" i="4"/>
  <c r="BK43" i="4" s="1"/>
  <c r="BB46" i="4" a="1"/>
  <c r="BB46" i="4" s="1"/>
  <c r="BN46" i="4" s="1"/>
  <c r="BN48" i="4"/>
  <c r="AY54" i="4"/>
  <c r="BK54" i="4" s="1"/>
  <c r="BK31" i="4"/>
  <c r="AS31" i="4"/>
  <c r="AR31" i="4"/>
  <c r="AQ31" i="4"/>
  <c r="BH31" i="4"/>
  <c r="AP31" i="4"/>
  <c r="BG31" i="4"/>
  <c r="AO31" i="4"/>
  <c r="BR31" i="4"/>
  <c r="BQ31" i="4"/>
  <c r="BP31" i="4"/>
  <c r="BM43" i="4"/>
  <c r="AS43" i="4"/>
  <c r="AR43" i="4"/>
  <c r="BR43" i="4"/>
  <c r="AQ43" i="4"/>
  <c r="AP43" i="4"/>
  <c r="BO43" i="4"/>
  <c r="AO43" i="4"/>
  <c r="AN43" i="4"/>
  <c r="H59" i="1"/>
  <c r="F24" i="3" s="1"/>
  <c r="BC50" i="4" a="1"/>
  <c r="BC50" i="4" s="1"/>
  <c r="BC56" i="4" a="1"/>
  <c r="BC56" i="4" s="1"/>
  <c r="BO56" i="4" s="1"/>
  <c r="BC45" i="4" a="1"/>
  <c r="BC45" i="4" s="1"/>
  <c r="BC54" i="4" a="1"/>
  <c r="BC54" i="4" s="1"/>
  <c r="BC42" i="4" a="1"/>
  <c r="BC42" i="4" s="1"/>
  <c r="BO42" i="4" s="1"/>
  <c r="BC52" i="4" a="1"/>
  <c r="BC52" i="4" s="1"/>
  <c r="BO52" i="4" s="1"/>
  <c r="BC40" i="4" a="1"/>
  <c r="BC40" i="4" s="1"/>
  <c r="BC27" i="4" a="1"/>
  <c r="BC27" i="4" s="1"/>
  <c r="BC26" i="4" a="1"/>
  <c r="BC26" i="4" s="1"/>
  <c r="BO26" i="4" s="1"/>
  <c r="BC44" i="4" a="1"/>
  <c r="BC44" i="4" s="1"/>
  <c r="BC38" i="4" a="1"/>
  <c r="BC38" i="4" s="1"/>
  <c r="BC36" i="4" a="1"/>
  <c r="BC36" i="4" s="1"/>
  <c r="BO36" i="4" s="1"/>
  <c r="BC53" i="4" a="1"/>
  <c r="BC53" i="4" s="1"/>
  <c r="BO53" i="4" s="1"/>
  <c r="BC43" i="4" a="1"/>
  <c r="BC43" i="4" s="1"/>
  <c r="BC48" i="4" a="1"/>
  <c r="BC48" i="4" s="1"/>
  <c r="BC47" i="4" a="1"/>
  <c r="BC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C33" i="4" a="1"/>
  <c r="BC33" i="4" s="1"/>
  <c r="BC32" i="4" a="1"/>
  <c r="BC32" i="4" s="1"/>
  <c r="BO16" i="4"/>
  <c r="BC17" i="4" a="1"/>
  <c r="BC17" i="4" s="1"/>
  <c r="BN17" i="4"/>
  <c r="AV18" i="4"/>
  <c r="BH18" i="4" s="1"/>
  <c r="BM18" i="4"/>
  <c r="AU19" i="4"/>
  <c r="BG19" i="4" s="1"/>
  <c r="BB19" i="4" a="1"/>
  <c r="BB19" i="4" s="1"/>
  <c r="BN19" i="4" s="1"/>
  <c r="BL19" i="4"/>
  <c r="AS20" i="4"/>
  <c r="AR21" i="4"/>
  <c r="BA21" i="4" a="1"/>
  <c r="BA21" i="4" s="1"/>
  <c r="AQ22" i="4"/>
  <c r="AP23" i="4"/>
  <c r="AZ23" i="4" a="1"/>
  <c r="AZ23" i="4" s="1"/>
  <c r="AO24" i="4"/>
  <c r="BG24" i="4"/>
  <c r="AO25" i="4"/>
  <c r="AP26" i="4"/>
  <c r="AR27" i="4"/>
  <c r="BQ27" i="4"/>
  <c r="BP29" i="4"/>
  <c r="AU30" i="4"/>
  <c r="BG30" i="4" s="1"/>
  <c r="BA33" i="4" a="1"/>
  <c r="BA33" i="4" s="1"/>
  <c r="BB37" i="4" a="1"/>
  <c r="BB37" i="4" s="1"/>
  <c r="BC46" i="4" a="1"/>
  <c r="BC46" i="4" s="1"/>
  <c r="BO46" i="4" s="1"/>
  <c r="BO48" i="4"/>
  <c r="AP56" i="4"/>
  <c r="AR56" i="4"/>
  <c r="BH56" i="4"/>
  <c r="AS56" i="4"/>
  <c r="AQ56" i="4"/>
  <c r="AO56" i="4"/>
  <c r="H60" i="1"/>
  <c r="G24" i="3" s="1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D40" i="4" a="1"/>
  <c r="BD40" i="4" s="1"/>
  <c r="BP40" i="4" s="1"/>
  <c r="BD50" i="4" a="1"/>
  <c r="BD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D47" i="4" a="1"/>
  <c r="BD47" i="4" s="1"/>
  <c r="BP47" i="4" s="1"/>
  <c r="BD42" i="4" a="1"/>
  <c r="BD42" i="4" s="1"/>
  <c r="BP42" i="4" s="1"/>
  <c r="BD34" i="4" a="1"/>
  <c r="BD34" i="4" s="1"/>
  <c r="BD56" i="4" a="1"/>
  <c r="BD56" i="4" s="1"/>
  <c r="BP56" i="4" s="1"/>
  <c r="BD41" i="4" a="1"/>
  <c r="BD41" i="4" s="1"/>
  <c r="BP41" i="4" s="1"/>
  <c r="BD37" i="4" a="1"/>
  <c r="BD37" i="4" s="1"/>
  <c r="BD33" i="4" a="1"/>
  <c r="BD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D30" i="4" a="1"/>
  <c r="BD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O17" i="4"/>
  <c r="BC18" i="4" a="1"/>
  <c r="BC18" i="4" s="1"/>
  <c r="BN18" i="4"/>
  <c r="AV19" i="4"/>
  <c r="BH19" i="4" s="1"/>
  <c r="BM19" i="4"/>
  <c r="AU20" i="4"/>
  <c r="BG20" i="4" s="1"/>
  <c r="BB20" i="4" a="1"/>
  <c r="BB20" i="4" s="1"/>
  <c r="BL20" i="4"/>
  <c r="AS21" i="4"/>
  <c r="AR22" i="4"/>
  <c r="BA22" i="4" a="1"/>
  <c r="BA22" i="4" s="1"/>
  <c r="BJ22" i="4"/>
  <c r="AQ23" i="4"/>
  <c r="AP24" i="4"/>
  <c r="AZ24" i="4" a="1"/>
  <c r="AZ24" i="4" s="1"/>
  <c r="AP25" i="4"/>
  <c r="AZ25" i="4" a="1"/>
  <c r="AZ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L37" i="4"/>
  <c r="BB40" i="4" a="1"/>
  <c r="BB40" i="4" s="1"/>
  <c r="BN40" i="4" s="1"/>
  <c r="BB49" i="4" a="1"/>
  <c r="BB49" i="4" s="1"/>
  <c r="BN49" i="4" s="1"/>
  <c r="AZ54" i="4" a="1"/>
  <c r="AZ54" i="4" s="1"/>
  <c r="BL54" i="4" s="1"/>
  <c r="BO44" i="4"/>
  <c r="BL44" i="4"/>
  <c r="BJ44" i="4"/>
  <c r="AR44" i="4"/>
  <c r="AS44" i="4"/>
  <c r="AQ44" i="4"/>
  <c r="AP44" i="4"/>
  <c r="AO44" i="4"/>
  <c r="AN44" i="4"/>
  <c r="BM44" i="4"/>
  <c r="H61" i="1"/>
  <c r="H24" i="3" s="1"/>
  <c r="BE47" i="4"/>
  <c r="BQ47" i="4" s="1"/>
  <c r="BE54" i="4"/>
  <c r="BE42" i="4"/>
  <c r="BQ42" i="4" s="1"/>
  <c r="BE51" i="4"/>
  <c r="BE39" i="4"/>
  <c r="BQ39" i="4" s="1"/>
  <c r="BE49" i="4"/>
  <c r="BQ49" i="4" s="1"/>
  <c r="BE52" i="4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E33" i="4"/>
  <c r="BE55" i="4"/>
  <c r="BE32" i="4"/>
  <c r="BE46" i="4"/>
  <c r="BE40" i="4"/>
  <c r="BE35" i="4"/>
  <c r="BQ35" i="4" s="1"/>
  <c r="BE31" i="4"/>
  <c r="BE30" i="4"/>
  <c r="BQ30" i="4" s="1"/>
  <c r="BE50" i="4"/>
  <c r="BQ50" i="4" s="1"/>
  <c r="BE29" i="4"/>
  <c r="BQ29" i="4" s="1"/>
  <c r="AB58" i="4"/>
  <c r="AN15" i="4"/>
  <c r="AY15" i="4"/>
  <c r="BK15" i="4" s="1"/>
  <c r="BR15" i="4"/>
  <c r="AX16" i="4" a="1"/>
  <c r="AX16" i="4" s="1"/>
  <c r="BE16" i="4"/>
  <c r="BQ16" i="4"/>
  <c r="BD17" i="4" a="1"/>
  <c r="BD17" i="4" s="1"/>
  <c r="BP17" i="4"/>
  <c r="AW18" i="4" a="1"/>
  <c r="AW18" i="4" s="1"/>
  <c r="BI18" i="4" s="1"/>
  <c r="BO18" i="4"/>
  <c r="BC19" i="4" a="1"/>
  <c r="BC19" i="4" s="1"/>
  <c r="AV20" i="4"/>
  <c r="BH20" i="4" s="1"/>
  <c r="BM20" i="4"/>
  <c r="AU21" i="4"/>
  <c r="BG21" i="4" s="1"/>
  <c r="BB21" i="4" a="1"/>
  <c r="BB21" i="4" s="1"/>
  <c r="BL21" i="4"/>
  <c r="AS22" i="4"/>
  <c r="BK22" i="4"/>
  <c r="AR23" i="4"/>
  <c r="BA23" i="4" a="1"/>
  <c r="BA23" i="4" s="1"/>
  <c r="BM23" i="4" s="1"/>
  <c r="BJ23" i="4"/>
  <c r="AQ24" i="4"/>
  <c r="BI24" i="4"/>
  <c r="AQ25" i="4"/>
  <c r="BI25" i="4"/>
  <c r="BD26" i="4" a="1"/>
  <c r="BD26" i="4" s="1"/>
  <c r="BP26" i="4" s="1"/>
  <c r="AW27" i="4" a="1"/>
  <c r="AW27" i="4" s="1"/>
  <c r="AW28" i="4" a="1"/>
  <c r="AW28" i="4" s="1"/>
  <c r="BI28" i="4" s="1"/>
  <c r="BB33" i="4" a="1"/>
  <c r="BB33" i="4" s="1"/>
  <c r="AQ34" i="4"/>
  <c r="BN35" i="4"/>
  <c r="BM37" i="4"/>
  <c r="BM40" i="4"/>
  <c r="AO41" i="4"/>
  <c r="AY47" i="4"/>
  <c r="BL28" i="4"/>
  <c r="BK28" i="4"/>
  <c r="AS28" i="4"/>
  <c r="BJ28" i="4"/>
  <c r="AR28" i="4"/>
  <c r="AQ28" i="4"/>
  <c r="AP28" i="4"/>
  <c r="AO28" i="4"/>
  <c r="BR28" i="4"/>
  <c r="AN28" i="4"/>
  <c r="BN26" i="4"/>
  <c r="BM26" i="4"/>
  <c r="BL26" i="4"/>
  <c r="AR32" i="4"/>
  <c r="AQ32" i="4"/>
  <c r="AP32" i="4"/>
  <c r="AO32" i="4"/>
  <c r="AN32" i="4"/>
  <c r="BQ32" i="4"/>
  <c r="BO32" i="4"/>
  <c r="AQ38" i="4"/>
  <c r="BO38" i="4"/>
  <c r="AS38" i="4"/>
  <c r="BN38" i="4"/>
  <c r="AR38" i="4"/>
  <c r="BM38" i="4"/>
  <c r="AP38" i="4"/>
  <c r="BL38" i="4"/>
  <c r="AO38" i="4"/>
  <c r="BK38" i="4"/>
  <c r="AQ50" i="4"/>
  <c r="AN50" i="4"/>
  <c r="BP50" i="4"/>
  <c r="BO50" i="4"/>
  <c r="BM50" i="4"/>
  <c r="BL50" i="4"/>
  <c r="BK50" i="4"/>
  <c r="AS50" i="4"/>
  <c r="AR50" i="4"/>
  <c r="H55" i="1"/>
  <c r="BN27" i="4"/>
  <c r="BM27" i="4"/>
  <c r="BL27" i="4"/>
  <c r="AS27" i="4"/>
  <c r="BI27" i="4"/>
  <c r="AQ27" i="4"/>
  <c r="AP27" i="4"/>
  <c r="AO27" i="4"/>
  <c r="BI33" i="4"/>
  <c r="AQ33" i="4"/>
  <c r="BH33" i="4"/>
  <c r="AP33" i="4"/>
  <c r="BG33" i="4"/>
  <c r="AO33" i="4"/>
  <c r="AN33" i="4"/>
  <c r="BQ33" i="4"/>
  <c r="BP33" i="4"/>
  <c r="BO33" i="4"/>
  <c r="BN33" i="4"/>
  <c r="BM33" i="4"/>
  <c r="BH39" i="4"/>
  <c r="AP39" i="4"/>
  <c r="BO39" i="4"/>
  <c r="BN39" i="4"/>
  <c r="AO39" i="4"/>
  <c r="BM39" i="4"/>
  <c r="AN39" i="4"/>
  <c r="BK39" i="4"/>
  <c r="BI39" i="4"/>
  <c r="BG39" i="4"/>
  <c r="BN45" i="4"/>
  <c r="BK45" i="4"/>
  <c r="AS45" i="4"/>
  <c r="AQ45" i="4"/>
  <c r="BQ45" i="4"/>
  <c r="AP45" i="4"/>
  <c r="BP45" i="4"/>
  <c r="AO45" i="4"/>
  <c r="BO45" i="4"/>
  <c r="AN45" i="4"/>
  <c r="BM45" i="4"/>
  <c r="BM51" i="4"/>
  <c r="AP51" i="4"/>
  <c r="BQ51" i="4"/>
  <c r="AO51" i="4"/>
  <c r="BR51" i="4"/>
  <c r="AN51" i="4"/>
  <c r="BN51" i="4"/>
  <c r="BK51" i="4"/>
  <c r="BF53" i="4"/>
  <c r="BF41" i="4"/>
  <c r="BR41" i="4" s="1"/>
  <c r="BF50" i="4"/>
  <c r="BR50" i="4" s="1"/>
  <c r="BF38" i="4"/>
  <c r="BR38" i="4" s="1"/>
  <c r="BF37" i="4"/>
  <c r="BR37" i="4" s="1"/>
  <c r="BF48" i="4"/>
  <c r="BF43" i="4"/>
  <c r="BF34" i="4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F30" i="4"/>
  <c r="BR30" i="4" s="1"/>
  <c r="BF29" i="4"/>
  <c r="BF39" i="4"/>
  <c r="BR39" i="4" s="1"/>
  <c r="BF28" i="4"/>
  <c r="BF45" i="4"/>
  <c r="BR45" i="4" s="1"/>
  <c r="AC58" i="4"/>
  <c r="AO15" i="4"/>
  <c r="BG15" i="4"/>
  <c r="AN16" i="4"/>
  <c r="AY16" i="4"/>
  <c r="BK16" i="4" s="1"/>
  <c r="BF16" i="4"/>
  <c r="BR16" i="4"/>
  <c r="AX17" i="4" a="1"/>
  <c r="AX17" i="4" s="1"/>
  <c r="BJ17" i="4" s="1"/>
  <c r="BE17" i="4"/>
  <c r="BQ17" i="4" s="1"/>
  <c r="BD18" i="4" a="1"/>
  <c r="BD18" i="4" s="1"/>
  <c r="BP18" i="4"/>
  <c r="AW19" i="4" a="1"/>
  <c r="AW19" i="4" s="1"/>
  <c r="BI19" i="4" s="1"/>
  <c r="BO19" i="4"/>
  <c r="BC20" i="4" a="1"/>
  <c r="BC20" i="4" s="1"/>
  <c r="BO20" i="4" s="1"/>
  <c r="BN20" i="4"/>
  <c r="AV21" i="4"/>
  <c r="BH21" i="4" s="1"/>
  <c r="BM21" i="4"/>
  <c r="BB22" i="4" a="1"/>
  <c r="BB22" i="4" s="1"/>
  <c r="BL22" i="4"/>
  <c r="AS23" i="4"/>
  <c r="AR24" i="4"/>
  <c r="BA24" i="4" a="1"/>
  <c r="BA24" i="4" s="1"/>
  <c r="BJ24" i="4"/>
  <c r="AR25" i="4"/>
  <c r="BA25" i="4" a="1"/>
  <c r="BA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BM31" i="4"/>
  <c r="AS32" i="4"/>
  <c r="AR34" i="4"/>
  <c r="BN37" i="4"/>
  <c r="AW38" i="4" a="1"/>
  <c r="AW38" i="4" s="1"/>
  <c r="BI38" i="4" s="1"/>
  <c r="BO40" i="4"/>
  <c r="AZ41" i="4" a="1"/>
  <c r="AZ41" i="4" s="1"/>
  <c r="AX44" i="4" a="1"/>
  <c r="AX44" i="4" s="1"/>
  <c r="BQ46" i="4"/>
  <c r="AZ47" i="4" a="1"/>
  <c r="AZ47" i="4" s="1"/>
  <c r="BL47" i="4" s="1"/>
  <c r="AP50" i="4"/>
  <c r="AQ51" i="4"/>
  <c r="BM54" i="4"/>
  <c r="AZ55" i="4" a="1"/>
  <c r="AZ55" i="4" s="1"/>
  <c r="AU52" i="4"/>
  <c r="BG52" i="4" s="1"/>
  <c r="AU47" i="4"/>
  <c r="BG47" i="4" s="1"/>
  <c r="AU44" i="4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AU56" i="4" a="1"/>
  <c r="AU56" i="4" s="1"/>
  <c r="BG56" i="4" s="1"/>
  <c r="AU49" i="4"/>
  <c r="BG49" i="4" s="1"/>
  <c r="AU50" i="4"/>
  <c r="BG50" i="4" s="1"/>
  <c r="AU40" i="4"/>
  <c r="AU46" i="4"/>
  <c r="BG46" i="4" s="1"/>
  <c r="AU37" i="4"/>
  <c r="BG37" i="4" s="1"/>
  <c r="AU51" i="4"/>
  <c r="BG51" i="4" s="1"/>
  <c r="AU39" i="4"/>
  <c r="AU34" i="4"/>
  <c r="BG34" i="4" s="1"/>
  <c r="AD58" i="4"/>
  <c r="AP15" i="4"/>
  <c r="AZ15" i="4" a="1"/>
  <c r="AZ15" i="4" s="1"/>
  <c r="BL15" i="4" s="1"/>
  <c r="BH15" i="4"/>
  <c r="AO16" i="4"/>
  <c r="BG16" i="4"/>
  <c r="AN17" i="4"/>
  <c r="AY17" i="4"/>
  <c r="BF17" i="4"/>
  <c r="BR17" i="4" s="1"/>
  <c r="AX18" i="4" a="1"/>
  <c r="AX18" i="4" s="1"/>
  <c r="BE18" i="4"/>
  <c r="BQ18" i="4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BM22" i="4"/>
  <c r="AU23" i="4"/>
  <c r="BG23" i="4" s="1"/>
  <c r="BB23" i="4" a="1"/>
  <c r="BB23" i="4" s="1"/>
  <c r="BN23" i="4" s="1"/>
  <c r="BL23" i="4"/>
  <c r="AS24" i="4"/>
  <c r="AS25" i="4"/>
  <c r="BK25" i="4"/>
  <c r="BF26" i="4"/>
  <c r="BR26" i="4" s="1"/>
  <c r="AX27" i="4" a="1"/>
  <c r="AX27" i="4" s="1"/>
  <c r="BJ27" i="4" s="1"/>
  <c r="AX28" i="4" a="1"/>
  <c r="AX28" i="4" s="1"/>
  <c r="BB30" i="4" a="1"/>
  <c r="BB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AR51" i="4"/>
  <c r="BO54" i="4"/>
  <c r="BA55" i="4" a="1"/>
  <c r="BA55" i="4" s="1"/>
  <c r="BM55" i="4" s="1"/>
  <c r="AV51" i="4"/>
  <c r="BH51" i="4" s="1"/>
  <c r="AV56" i="4" a="1"/>
  <c r="AV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AV34" i="4"/>
  <c r="BH34" i="4" s="1"/>
  <c r="AV35" i="4"/>
  <c r="BH35" i="4" s="1"/>
  <c r="AV33" i="4"/>
  <c r="AE58" i="4"/>
  <c r="AQ15" i="4"/>
  <c r="BI15" i="4"/>
  <c r="AP16" i="4"/>
  <c r="AZ16" i="4" a="1"/>
  <c r="AZ16" i="4" s="1"/>
  <c r="BL16" i="4" s="1"/>
  <c r="BH16" i="4"/>
  <c r="AO17" i="4"/>
  <c r="BG17" i="4"/>
  <c r="AN18" i="4"/>
  <c r="AY18" i="4"/>
  <c r="BF18" i="4"/>
  <c r="BR18" i="4"/>
  <c r="AX19" i="4" a="1"/>
  <c r="AX19" i="4" s="1"/>
  <c r="BJ19" i="4" s="1"/>
  <c r="BE19" i="4"/>
  <c r="BQ19" i="4"/>
  <c r="BD20" i="4" a="1"/>
  <c r="BD20" i="4" s="1"/>
  <c r="BP20" i="4"/>
  <c r="AW21" i="4" a="1"/>
  <c r="AW21" i="4" s="1"/>
  <c r="BI21" i="4" s="1"/>
  <c r="BC22" i="4" a="1"/>
  <c r="BC22" i="4" s="1"/>
  <c r="BN22" i="4"/>
  <c r="AV23" i="4"/>
  <c r="BH23" i="4" s="1"/>
  <c r="AU24" i="4"/>
  <c r="BB24" i="4" a="1"/>
  <c r="BB24" i="4" s="1"/>
  <c r="BL24" i="4"/>
  <c r="AU25" i="4"/>
  <c r="BG25" i="4" s="1"/>
  <c r="BB25" i="4" a="1"/>
  <c r="BB25" i="4" s="1"/>
  <c r="BN25" i="4" s="1"/>
  <c r="BL25" i="4"/>
  <c r="AW26" i="4" a="1"/>
  <c r="AW26" i="4" s="1"/>
  <c r="BI26" i="4" s="1"/>
  <c r="AY27" i="4"/>
  <c r="BK27" i="4" s="1"/>
  <c r="BC28" i="4" a="1"/>
  <c r="BC28" i="4" s="1"/>
  <c r="AV32" i="4"/>
  <c r="BH32" i="4" s="1"/>
  <c r="BL33" i="4"/>
  <c r="AX38" i="4" a="1"/>
  <c r="AX38" i="4" s="1"/>
  <c r="BJ38" i="4" s="1"/>
  <c r="AQ39" i="4"/>
  <c r="BA41" i="4" a="1"/>
  <c r="BA41" i="4" s="1"/>
  <c r="BM41" i="4" s="1"/>
  <c r="AN42" i="4"/>
  <c r="BG44" i="4"/>
  <c r="AU45" i="4"/>
  <c r="BG45" i="4" s="1"/>
  <c r="BM47" i="4"/>
  <c r="BB50" i="4" a="1"/>
  <c r="BB50" i="4" s="1"/>
  <c r="BN50" i="4" s="1"/>
  <c r="AS51" i="4"/>
  <c r="BN55" i="4"/>
  <c r="AN56" i="4"/>
  <c r="BL34" i="4"/>
  <c r="AP34" i="4"/>
  <c r="AO34" i="4"/>
  <c r="AN34" i="4"/>
  <c r="BR34" i="4"/>
  <c r="BP34" i="4"/>
  <c r="BN34" i="4"/>
  <c r="BM34" i="4"/>
  <c r="BL52" i="4"/>
  <c r="AO52" i="4"/>
  <c r="BP52" i="4"/>
  <c r="BN52" i="4"/>
  <c r="AR52" i="4"/>
  <c r="AQ52" i="4"/>
  <c r="AP52" i="4"/>
  <c r="BR52" i="4"/>
  <c r="AN52" i="4"/>
  <c r="BQ52" i="4"/>
  <c r="BK52" i="4"/>
  <c r="H64" i="1"/>
  <c r="K24" i="3" s="1"/>
  <c r="AW49" i="4" a="1"/>
  <c r="AW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AW33" i="4" a="1"/>
  <c r="AW33" i="4" s="1"/>
  <c r="AW32" i="4" a="1"/>
  <c r="AW32" i="4" s="1"/>
  <c r="BI32" i="4" s="1"/>
  <c r="AW45" i="4" a="1"/>
  <c r="AW45" i="4" s="1"/>
  <c r="BI45" i="4" s="1"/>
  <c r="AW31" i="4" a="1"/>
  <c r="AW31" i="4" s="1"/>
  <c r="BI31" i="4" s="1"/>
  <c r="AF58" i="4"/>
  <c r="AR15" i="4"/>
  <c r="BA15" i="4" a="1"/>
  <c r="BA15" i="4" s="1"/>
  <c r="BM15" i="4" s="1"/>
  <c r="BJ15" i="4"/>
  <c r="AQ16" i="4"/>
  <c r="BI16" i="4"/>
  <c r="AP17" i="4"/>
  <c r="AZ17" i="4" a="1"/>
  <c r="AZ17" i="4" s="1"/>
  <c r="BL17" i="4" s="1"/>
  <c r="BH17" i="4"/>
  <c r="AO18" i="4"/>
  <c r="BG18" i="4"/>
  <c r="AN19" i="4"/>
  <c r="AY19" i="4"/>
  <c r="BF19" i="4"/>
  <c r="BR19" i="4"/>
  <c r="BE20" i="4"/>
  <c r="BQ20" i="4" s="1"/>
  <c r="BD21" i="4" a="1"/>
  <c r="BD21" i="4" s="1"/>
  <c r="BP21" i="4"/>
  <c r="AW22" i="4" a="1"/>
  <c r="AW22" i="4" s="1"/>
  <c r="BI22" i="4" s="1"/>
  <c r="BO22" i="4"/>
  <c r="BC23" i="4" a="1"/>
  <c r="BC23" i="4" s="1"/>
  <c r="BO23" i="4" s="1"/>
  <c r="AV24" i="4"/>
  <c r="BH24" i="4" s="1"/>
  <c r="BM24" i="4"/>
  <c r="AV25" i="4"/>
  <c r="BH25" i="4" s="1"/>
  <c r="BM25" i="4"/>
  <c r="BH26" i="4"/>
  <c r="BC29" i="4" a="1"/>
  <c r="BC29" i="4" s="1"/>
  <c r="BC30" i="4" a="1"/>
  <c r="BC30" i="4" s="1"/>
  <c r="BO30" i="4" s="1"/>
  <c r="BA34" i="4" a="1"/>
  <c r="BA34" i="4" s="1"/>
  <c r="BE38" i="4"/>
  <c r="BQ38" i="4" s="1"/>
  <c r="AR39" i="4"/>
  <c r="BK41" i="4"/>
  <c r="BH44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G58" i="4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L30" i="4"/>
  <c r="BB32" i="4" a="1"/>
  <c r="BB32" i="4" s="1"/>
  <c r="BN32" i="4" s="1"/>
  <c r="AX36" i="4" a="1"/>
  <c r="AX36" i="4" s="1"/>
  <c r="BJ36" i="4" s="1"/>
  <c r="AO37" i="4"/>
  <c r="BG38" i="4"/>
  <c r="AS39" i="4"/>
  <c r="BL41" i="4"/>
  <c r="AZ42" i="4" a="1"/>
  <c r="AZ42" i="4" s="1"/>
  <c r="BL42" i="4" s="1"/>
  <c r="AN46" i="4"/>
  <c r="BO47" i="4"/>
  <c r="BD51" i="4" a="1"/>
  <c r="BD51" i="4" s="1"/>
  <c r="BP51" i="4" s="1"/>
  <c r="AW52" i="4" a="1"/>
  <c r="AW52" i="4" s="1"/>
  <c r="BQ55" i="4"/>
  <c r="AZ56" i="4" a="1"/>
  <c r="AZ56" i="4" s="1"/>
  <c r="BL56" i="4" s="1"/>
  <c r="H63" i="1" l="1"/>
  <c r="J24" i="3" s="1"/>
  <c r="H62" i="1"/>
  <c r="I24" i="3" s="1"/>
  <c r="H57" i="1"/>
  <c r="D24" i="3" s="1"/>
  <c r="BL31" i="4"/>
  <c r="BK29" i="4"/>
  <c r="AN29" i="4"/>
  <c r="AJ58" i="4"/>
  <c r="J60" i="3" s="1"/>
  <c r="BE58" i="4"/>
  <c r="AU58" i="4"/>
  <c r="AK58" i="4"/>
  <c r="K60" i="3" s="1"/>
  <c r="AI58" i="4"/>
  <c r="I60" i="3" s="1"/>
  <c r="BF58" i="4"/>
  <c r="AL58" i="4"/>
  <c r="L60" i="3" s="1"/>
  <c r="AM58" i="4"/>
  <c r="M60" i="3" s="1"/>
  <c r="AH58" i="4"/>
  <c r="H60" i="3" s="1"/>
  <c r="BK58" i="4"/>
  <c r="BP58" i="4"/>
  <c r="BG58" i="4"/>
  <c r="BD58" i="4"/>
  <c r="AP58" i="4"/>
  <c r="AO58" i="4"/>
  <c r="B24" i="3"/>
  <c r="H67" i="1"/>
  <c r="H25" i="3" s="1"/>
  <c r="M24" i="3"/>
  <c r="G31" i="3"/>
  <c r="BI58" i="4"/>
  <c r="AQ58" i="4"/>
  <c r="AV58" i="4"/>
  <c r="AS58" i="4"/>
  <c r="AW58" i="4"/>
  <c r="BM58" i="4"/>
  <c r="AX58" i="4"/>
  <c r="BQ58" i="4"/>
  <c r="BN58" i="4"/>
  <c r="AY58" i="4"/>
  <c r="AZ58" i="4"/>
  <c r="BR58" i="4"/>
  <c r="BO58" i="4"/>
  <c r="AR58" i="4"/>
  <c r="BA58" i="4"/>
  <c r="BJ58" i="4"/>
  <c r="BB58" i="4"/>
  <c r="BH58" i="4"/>
  <c r="AN58" i="4"/>
  <c r="BC58" i="4"/>
  <c r="BL58" i="4"/>
  <c r="M25" i="3" l="1"/>
  <c r="D7" i="5"/>
  <c r="H59" i="3"/>
  <c r="D8" i="5"/>
  <c r="I59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D9" i="5"/>
  <c r="J59" i="3"/>
  <c r="D12" i="5"/>
  <c r="M59" i="3"/>
  <c r="C25" i="3"/>
  <c r="D11" i="5"/>
  <c r="L59" i="3"/>
  <c r="F25" i="3"/>
  <c r="D10" i="5"/>
  <c r="K59" i="3"/>
  <c r="K25" i="3"/>
  <c r="N25" i="3" l="1"/>
  <c r="H32" i="3"/>
  <c r="H30" i="3"/>
  <c r="H31" i="3"/>
  <c r="H33" i="3"/>
</calcChain>
</file>

<file path=xl/sharedStrings.xml><?xml version="1.0" encoding="utf-8"?>
<sst xmlns="http://schemas.openxmlformats.org/spreadsheetml/2006/main" count="314" uniqueCount="165">
  <si>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</si>
  <si>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</si>
  <si>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</si>
  <si>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</si>
  <si>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</si>
  <si>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</si>
  <si>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</si>
  <si>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</si>
  <si>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</si>
  <si>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</si>
  <si>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</si>
  <si>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</si>
  <si>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</si>
  <si>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</si>
  <si>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</si>
  <si>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</si>
  <si>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</si>
  <si>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</si>
  <si>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</si>
  <si>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</si>
  <si>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</si>
  <si>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</si>
  <si>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</si>
  <si>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</si>
  <si>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</si>
  <si>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</si>
  <si>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</si>
  <si>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</si>
  <si>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</si>
  <si>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</si>
  <si>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</si>
  <si>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</si>
  <si>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</si>
  <si>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</si>
  <si>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</si>
  <si>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</si>
  <si>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</si>
  <si>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</si>
  <si>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</si>
  <si>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</si>
  <si>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</si>
  <si>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</si>
  <si>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</si>
  <si>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</si>
  <si>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</si>
  <si>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</si>
  <si>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</si>
  <si>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C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</si>
  <si>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</si>
  <si>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</si>
  <si>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</si>
  <si>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</si>
  <si>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</si>
  <si>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</si>
  <si>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</si>
  <si>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</si>
  <si>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</si>
  <si>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</si>
  <si>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</si>
  <si>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</si>
  <si>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</si>
  <si>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</si>
  <si>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</si>
  <si>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</si>
  <si>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</si>
  <si>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</si>
  <si>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</si>
  <si>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</si>
  <si>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</si>
  <si>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</si>
  <si>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</si>
  <si>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</si>
  <si>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</si>
  <si>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</si>
  <si>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</si>
  <si>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</si>
  <si>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</si>
  <si>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</si>
  <si>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</si>
  <si>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</si>
  <si>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</si>
  <si>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</si>
  <si>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</si>
  <si>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</si>
  <si>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</si>
  <si>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</si>
  <si>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</si>
  <si>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</si>
  <si>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</si>
  <si>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</si>
  <si>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</si>
  <si>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</si>
  <si>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</si>
  <si>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</si>
  <si>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</si>
  <si>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</si>
  <si>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</si>
  <si>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</si>
  <si>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</si>
  <si>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</si>
  <si>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</si>
  <si>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</si>
  <si>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</si>
  <si>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</si>
  <si>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</si>
  <si>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</si>
  <si>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</si>
  <si>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</si>
  <si>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</si>
  <si>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</si>
  <si>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</si>
  <si>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</si>
  <si>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</si>
  <si>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</si>
  <si>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</si>
  <si>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</si>
  <si>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</si>
  <si>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</si>
  <si>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</si>
  <si>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</si>
  <si>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</si>
  <si>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</si>
  <si>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</si>
  <si>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</si>
  <si>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</si>
  <si>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</si>
  <si>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</si>
  <si>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</si>
  <si>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</si>
  <si>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</si>
  <si>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</si>
  <si>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</si>
  <si>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</si>
  <si>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</si>
  <si>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</si>
  <si>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</si>
  <si>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</si>
  <si>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</si>
  <si>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</si>
  <si>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</si>
  <si>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</si>
  <si>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</si>
  <si>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</si>
  <si>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</si>
  <si>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</si>
  <si>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 xml:space="preserve"> 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</si>
  <si>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</si>
  <si>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</si>
  <si>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</si>
  <si>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</si>
  <si>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</si>
  <si>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</si>
  <si>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</si>
  <si>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</si>
  <si>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</si>
  <si>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</si>
  <si>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</si>
  <si>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</si>
  <si>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</si>
  <si>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</si>
  <si>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</si>
  <si>
    <t>Assignment</t>
  </si>
  <si>
    <t>90% to 94%</t>
  </si>
  <si>
    <t>85% to 89%</t>
  </si>
  <si>
    <t>50% to 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</si>
</sst>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7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  <font>
      <sz val="8"/>
      <name val="Arimo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9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96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2" borderId="35" xfId="0" applyFont="1" applyFill="1" applyBorder="1" applyAlignment="1">
      <alignment horizontal="center" vertical="center"/>
    </xf>
    <xf numFmtId="1" fontId="7" fillId="2" borderId="36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2" borderId="39" xfId="0" applyFont="1" applyFill="1" applyBorder="1" applyAlignment="1">
      <alignment horizontal="center" vertical="center"/>
    </xf>
    <xf numFmtId="1" fontId="7" fillId="2" borderId="1" xfId="0" applyFont="1" applyFill="1" applyBorder="1" applyAlignment="1">
      <alignment horizontal="center" vertical="center"/>
    </xf>
    <xf numFmtId="1" fontId="7" fillId="2" borderId="40" xfId="0" applyFont="1" applyFill="1" applyBorder="1" applyAlignment="1">
      <alignment horizontal="center" vertical="center"/>
    </xf>
    <xf numFmtId="1" fontId="7" fillId="0" borderId="13" xfId="0" applyFont="1" applyBorder="1" applyAlignment="1">
      <alignment horizontal="center" vertical="center"/>
    </xf>
    <xf numFmtId="1" fontId="7" fillId="0" borderId="41" xfId="0" applyFont="1" applyBorder="1" applyAlignment="1">
      <alignment horizontal="center"/>
    </xf>
    <xf numFmtId="1" fontId="7" fillId="2" borderId="42" xfId="0" applyFont="1" applyFill="1" applyBorder="1" applyAlignment="1">
      <alignment horizontal="center" vertical="center"/>
    </xf>
    <xf numFmtId="1" fontId="7" fillId="2" borderId="43" xfId="0" applyFont="1" applyFill="1" applyBorder="1" applyAlignment="1">
      <alignment horizontal="center" vertical="center"/>
    </xf>
    <xf numFmtId="1" fontId="7" fillId="2" borderId="44" xfId="0" applyFont="1" applyFill="1" applyBorder="1" applyAlignment="1">
      <alignment horizontal="center" vertical="center"/>
    </xf>
    <xf numFmtId="1" fontId="7" fillId="0" borderId="45" xfId="0" applyFont="1" applyBorder="1" applyAlignment="1">
      <alignment horizontal="center" vertical="center"/>
    </xf>
    <xf numFmtId="1" fontId="7" fillId="0" borderId="46" xfId="0" applyFont="1" applyBorder="1" applyAlignment="1">
      <alignment horizontal="center" vertical="center"/>
    </xf>
    <xf numFmtId="1" fontId="7" fillId="0" borderId="47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8" xfId="0" applyFont="1" applyBorder="1"/>
    <xf numFmtId="1" fontId="16" fillId="0" borderId="46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4" xfId="0" applyFont="1" applyBorder="1" applyAlignment="1">
      <alignment horizontal="center" vertical="center"/>
    </xf>
    <xf numFmtId="1" fontId="7" fillId="0" borderId="55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/>
    </xf>
    <xf numFmtId="1" fontId="7" fillId="0" borderId="58" xfId="0" applyFont="1" applyBorder="1" applyAlignment="1">
      <alignment horizontal="center"/>
    </xf>
    <xf numFmtId="1" fontId="7" fillId="0" borderId="52" xfId="0" applyFont="1" applyBorder="1" applyAlignment="1">
      <alignment horizontal="center"/>
    </xf>
    <xf numFmtId="1" fontId="7" fillId="0" borderId="59" xfId="0" applyFont="1" applyBorder="1" applyAlignment="1">
      <alignment horizontal="center" vertical="center"/>
    </xf>
    <xf numFmtId="1" fontId="7" fillId="0" borderId="60" xfId="0" applyFont="1" applyBorder="1" applyAlignment="1">
      <alignment horizontal="center" vertical="center"/>
    </xf>
    <xf numFmtId="1" fontId="7" fillId="0" borderId="61" xfId="0" applyFont="1" applyBorder="1" applyAlignment="1">
      <alignment horizontal="center" vertical="center"/>
    </xf>
    <xf numFmtId="1" fontId="7" fillId="0" borderId="62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63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9" fontId="7" fillId="6" borderId="66" xfId="0" applyNumberFormat="1" applyFont="1" applyFill="1" applyBorder="1" applyAlignment="1">
      <alignment horizontal="center" vertical="center"/>
    </xf>
    <xf numFmtId="9" fontId="7" fillId="6" borderId="67" xfId="0" applyNumberFormat="1" applyFont="1" applyFill="1" applyBorder="1" applyAlignment="1">
      <alignment horizontal="center" vertical="center"/>
    </xf>
    <xf numFmtId="9" fontId="7" fillId="6" borderId="68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11" borderId="73" xfId="0" applyNumberFormat="1" applyFont="1" applyFill="1" applyBorder="1" applyAlignment="1">
      <alignment horizontal="center" vertical="center"/>
    </xf>
    <xf numFmtId="2" fontId="7" fillId="2" borderId="73" xfId="0" applyNumberFormat="1" applyFont="1" applyFill="1" applyBorder="1" applyAlignment="1">
      <alignment horizontal="center" vertical="center"/>
    </xf>
    <xf numFmtId="2" fontId="5" fillId="2" borderId="74" xfId="0" applyNumberFormat="1" applyFont="1" applyFill="1" applyBorder="1"/>
    <xf numFmtId="2" fontId="5" fillId="2" borderId="75" xfId="0" applyNumberFormat="1" applyFont="1" applyFill="1" applyBorder="1"/>
    <xf numFmtId="2" fontId="5" fillId="2" borderId="76" xfId="0" applyNumberFormat="1" applyFont="1" applyFill="1" applyBorder="1"/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1" fillId="11" borderId="7" xfId="0" applyNumberFormat="1" applyFont="1" applyFill="1" applyBorder="1" applyAlignment="1">
      <alignment horizontal="center"/>
    </xf>
    <xf numFmtId="2" fontId="5" fillId="11" borderId="7" xfId="0" applyNumberFormat="1" applyFont="1" applyFill="1" applyBorder="1"/>
    <xf numFmtId="2" fontId="1" fillId="2" borderId="7" xfId="0" applyNumberFormat="1" applyFont="1" applyFill="1" applyBorder="1" applyAlignment="1">
      <alignment horizontal="center"/>
    </xf>
    <xf numFmtId="2" fontId="5" fillId="2" borderId="7" xfId="0" applyNumberFormat="1" applyFont="1" applyFill="1" applyBorder="1"/>
    <xf numFmtId="2" fontId="5" fillId="2" borderId="77" xfId="0" applyNumberFormat="1" applyFont="1" applyFill="1" applyBorder="1"/>
    <xf numFmtId="2" fontId="7" fillId="0" borderId="4" xfId="0" applyNumberFormat="1" applyFont="1" applyBorder="1" applyAlignment="1">
      <alignment horizontal="center"/>
    </xf>
    <xf numFmtId="9" fontId="7" fillId="0" borderId="78" xfId="0" applyNumberFormat="1" applyFont="1" applyBorder="1" applyAlignment="1">
      <alignment horizontal="center"/>
    </xf>
    <xf numFmtId="1" fontId="7" fillId="0" borderId="46" xfId="0" applyFont="1" applyBorder="1" applyAlignment="1">
      <alignment horizontal="center"/>
    </xf>
    <xf numFmtId="1" fontId="7" fillId="0" borderId="45" xfId="0" applyFont="1" applyBorder="1" applyAlignment="1">
      <alignment horizontal="center"/>
    </xf>
    <xf numFmtId="1" fontId="5" fillId="0" borderId="51" xfId="0" applyFont="1" applyBorder="1"/>
    <xf numFmtId="9" fontId="7" fillId="0" borderId="79" xfId="0" applyNumberFormat="1" applyFont="1" applyBorder="1" applyAlignment="1">
      <alignment horizontal="center"/>
    </xf>
    <xf numFmtId="1" fontId="7" fillId="0" borderId="50" xfId="0" applyFont="1" applyBorder="1" applyAlignment="1">
      <alignment horizontal="center" wrapText="1"/>
    </xf>
    <xf numFmtId="49" fontId="5" fillId="0" borderId="0" xfId="0" applyNumberFormat="1" applyFont="1" applyAlignment="1">
      <alignment vertical="top"/>
    </xf>
    <xf numFmtId="1" fontId="5" fillId="0" borderId="0" xfId="0" applyFont="1" applyAlignment="1">
      <alignment vertical="top"/>
    </xf>
    <xf numFmtId="2" fontId="5" fillId="11" borderId="80" xfId="0" applyNumberFormat="1" applyFont="1" applyFill="1" applyBorder="1"/>
    <xf numFmtId="2" fontId="5" fillId="2" borderId="80" xfId="0" applyNumberFormat="1" applyFont="1" applyFill="1" applyBorder="1"/>
    <xf numFmtId="2" fontId="5" fillId="2" borderId="72" xfId="0" applyNumberFormat="1" applyFont="1" applyFill="1" applyBorder="1"/>
    <xf numFmtId="2" fontId="7" fillId="0" borderId="18" xfId="0" applyNumberFormat="1" applyFont="1" applyBorder="1" applyAlignment="1">
      <alignment horizontal="center"/>
    </xf>
    <xf numFmtId="9" fontId="7" fillId="0" borderId="28" xfId="0" applyNumberFormat="1" applyFont="1" applyBorder="1" applyAlignment="1">
      <alignment horizontal="center"/>
    </xf>
    <xf numFmtId="1" fontId="7" fillId="0" borderId="48" xfId="0" applyFont="1" applyBorder="1" applyAlignment="1">
      <alignment horizontal="center"/>
    </xf>
    <xf numFmtId="1" fontId="5" fillId="0" borderId="0" xfId="0" applyFont="1"/>
    <xf numFmtId="9" fontId="7" fillId="0" borderId="0" xfId="0" applyNumberFormat="1" applyFont="1" applyAlignment="1">
      <alignment horizontal="center"/>
    </xf>
    <xf numFmtId="1" fontId="16" fillId="6" borderId="81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1" fontId="16" fillId="0" borderId="0" xfId="0" applyFont="1"/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77" xfId="0" applyFont="1" applyFill="1" applyBorder="1" applyAlignment="1">
      <alignment horizontal="center" vertical="center" wrapText="1"/>
    </xf>
    <xf numFmtId="164" fontId="9" fillId="12" borderId="82" xfId="0" applyNumberFormat="1" applyFont="1" applyFill="1" applyBorder="1" applyAlignment="1">
      <alignment horizontal="center" vertical="center"/>
    </xf>
    <xf numFmtId="0" fontId="9" fillId="12" borderId="82" xfId="0" applyNumberFormat="1" applyFont="1" applyFill="1" applyBorder="1" applyAlignment="1">
      <alignment horizontal="center" vertical="center"/>
    </xf>
    <xf numFmtId="1" fontId="9" fillId="12" borderId="83" xfId="0" applyFont="1" applyFill="1" applyBorder="1" applyAlignment="1">
      <alignment horizontal="center" vertical="center"/>
    </xf>
    <xf numFmtId="0" fontId="9" fillId="0" borderId="60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87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90" xfId="0" applyNumberFormat="1" applyFont="1" applyFill="1" applyBorder="1" applyAlignment="1">
      <alignment horizontal="center"/>
    </xf>
    <xf numFmtId="0" fontId="11" fillId="13" borderId="91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6" fillId="0" borderId="5" xfId="0" applyFont="1" applyBorder="1" applyAlignment="1">
      <alignment horizontal="center" vertical="center"/>
    </xf>
    <xf numFmtId="0" fontId="7" fillId="0" borderId="90" xfId="0" applyNumberFormat="1" applyFont="1" applyBorder="1" applyAlignment="1">
      <alignment horizontal="center" vertical="top"/>
    </xf>
    <xf numFmtId="2" fontId="7" fillId="11" borderId="75" xfId="0" applyNumberFormat="1" applyFont="1" applyFill="1" applyBorder="1" applyAlignment="1">
      <alignment horizontal="center" vertical="center"/>
    </xf>
    <xf numFmtId="1" fontId="7" fillId="6" borderId="66" xfId="0" applyFont="1" applyFill="1" applyBorder="1" applyAlignment="1">
      <alignment horizontal="center" vertical="center"/>
    </xf>
    <xf numFmtId="1" fontId="7" fillId="6" borderId="67" xfId="0" applyFont="1" applyFill="1" applyBorder="1" applyAlignment="1">
      <alignment horizontal="center" vertical="center"/>
    </xf>
    <xf numFmtId="0" fontId="1" fillId="11" borderId="92" xfId="0" applyNumberFormat="1" applyFont="1" applyFill="1" applyBorder="1" applyAlignment="1">
      <alignment horizontal="center"/>
    </xf>
    <xf numFmtId="2" fontId="7" fillId="11" borderId="92" xfId="0" applyNumberFormat="1" applyFont="1" applyFill="1" applyBorder="1" applyAlignment="1">
      <alignment horizontal="center" vertical="center"/>
    </xf>
    <xf numFmtId="0" fontId="8" fillId="11" borderId="92" xfId="0" applyNumberFormat="1" applyFont="1" applyFill="1" applyBorder="1" applyAlignment="1">
      <alignment horizontal="center"/>
    </xf>
    <xf numFmtId="2" fontId="7" fillId="2" borderId="92" xfId="0" applyNumberFormat="1" applyFont="1" applyFill="1" applyBorder="1" applyAlignment="1">
      <alignment horizontal="center" vertical="center"/>
    </xf>
    <xf numFmtId="1" fontId="1" fillId="0" borderId="0" xfId="0" applyFont="1" applyAlignment="1">
      <alignment horizontal="left"/>
    </xf>
    <xf numFmtId="1" fontId="0" fillId="0" borderId="0" xfId="0"/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1" fontId="2" fillId="3" borderId="2" xfId="0" applyFont="1" applyFill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0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0" fontId="3" fillId="0" borderId="8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1" fontId="17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49" xfId="0" applyFont="1" applyBorder="1" applyAlignment="1">
      <alignment horizontal="center"/>
    </xf>
    <xf numFmtId="0" fontId="3" fillId="0" borderId="48" xfId="0" applyNumberFormat="1" applyFont="1" applyBorder="1"/>
    <xf numFmtId="0" fontId="3" fillId="0" borderId="46" xfId="0" applyNumberFormat="1" applyFont="1" applyBorder="1"/>
    <xf numFmtId="1" fontId="16" fillId="0" borderId="27" xfId="0" applyFont="1" applyBorder="1" applyAlignment="1">
      <alignment horizontal="center"/>
    </xf>
    <xf numFmtId="1" fontId="7" fillId="6" borderId="65" xfId="0" applyFont="1" applyFill="1" applyBorder="1" applyAlignment="1">
      <alignment horizontal="center" vertical="center"/>
    </xf>
    <xf numFmtId="1" fontId="16" fillId="0" borderId="53" xfId="0" applyFont="1" applyBorder="1" applyAlignment="1">
      <alignment horizontal="center"/>
    </xf>
    <xf numFmtId="0" fontId="3" fillId="0" borderId="23" xfId="0" applyNumberFormat="1" applyFont="1" applyBorder="1"/>
    <xf numFmtId="0" fontId="3" fillId="0" borderId="52" xfId="0" applyNumberFormat="1" applyFont="1" applyBorder="1"/>
    <xf numFmtId="1" fontId="16" fillId="6" borderId="49" xfId="0" applyFont="1" applyFill="1" applyBorder="1" applyAlignment="1">
      <alignment horizontal="center" vertical="center"/>
    </xf>
    <xf numFmtId="1" fontId="7" fillId="6" borderId="69" xfId="0" applyFont="1" applyFill="1" applyBorder="1" applyAlignment="1">
      <alignment horizontal="center" vertical="center"/>
    </xf>
    <xf numFmtId="0" fontId="3" fillId="0" borderId="70" xfId="0" applyNumberFormat="1" applyFont="1" applyBorder="1"/>
    <xf numFmtId="0" fontId="3" fillId="0" borderId="71" xfId="0" applyNumberFormat="1" applyFont="1" applyBorder="1"/>
    <xf numFmtId="1" fontId="7" fillId="0" borderId="0" xfId="0" applyFont="1" applyAlignment="1">
      <alignment horizontal="center"/>
    </xf>
    <xf numFmtId="1" fontId="16" fillId="0" borderId="27" xfId="0" applyFont="1" applyBorder="1" applyAlignment="1">
      <alignment horizontal="center" vertical="center" wrapText="1"/>
    </xf>
    <xf numFmtId="0" fontId="3" fillId="0" borderId="50" xfId="0" applyNumberFormat="1" applyFont="1" applyBorder="1"/>
    <xf numFmtId="0" fontId="3" fillId="0" borderId="51" xfId="0" applyNumberFormat="1" applyFont="1" applyBorder="1"/>
    <xf numFmtId="0" fontId="3" fillId="0" borderId="53" xfId="0" applyNumberFormat="1" applyFont="1" applyBorder="1"/>
    <xf numFmtId="1" fontId="16" fillId="10" borderId="49" xfId="0" applyFont="1" applyFill="1" applyBorder="1" applyAlignment="1">
      <alignment horizontal="center"/>
    </xf>
    <xf numFmtId="1" fontId="16" fillId="7" borderId="49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  <xf numFmtId="0" fontId="9" fillId="0" borderId="84" xfId="0" applyNumberFormat="1" applyFont="1" applyBorder="1" applyAlignment="1">
      <alignment horizontal="center" vertical="center"/>
    </xf>
    <xf numFmtId="0" fontId="3" fillId="0" borderId="85" xfId="0" applyNumberFormat="1" applyFont="1" applyBorder="1"/>
    <xf numFmtId="0" fontId="18" fillId="0" borderId="49" xfId="0" applyNumberFormat="1" applyFont="1" applyBorder="1" applyAlignment="1">
      <alignment horizontal="center" vertical="center"/>
    </xf>
    <xf numFmtId="0" fontId="9" fillId="0" borderId="49" xfId="0" applyNumberFormat="1" applyFont="1" applyBorder="1" applyAlignment="1">
      <alignment horizontal="center" vertical="center"/>
    </xf>
    <xf numFmtId="0" fontId="3" fillId="0" borderId="45" xfId="0" applyNumberFormat="1" applyFont="1" applyBorder="1"/>
    <xf numFmtId="9" fontId="13" fillId="0" borderId="86" xfId="0" applyNumberFormat="1" applyFont="1" applyBorder="1" applyAlignment="1">
      <alignment horizontal="center" vertical="center" wrapText="1"/>
    </xf>
    <xf numFmtId="0" fontId="3" fillId="0" borderId="88" xfId="0" applyNumberFormat="1" applyFont="1" applyBorder="1"/>
    <xf numFmtId="0" fontId="3" fillId="0" borderId="89" xfId="0" applyNumberFormat="1" applyFont="1" applyBorder="1"/>
    <xf numFmtId="0" fontId="11" fillId="13" borderId="2" xfId="0" applyNumberFormat="1" applyFont="1" applyFill="1" applyBorder="1" applyAlignment="1">
      <alignment horizontal="center"/>
    </xf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  <xf numFmtId="0" fontId="1" fillId="0" borderId="1" xfId="0" applyNumberFormat="1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GradeSheet!$G$55:$G$66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GradeSheet!$H$55:$H$66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53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24000" y="1424940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2"/>
  <sheetViews>
    <sheetView tabSelected="1" topLeftCell="A42" workbookViewId="0">
      <selection activeCell="E64" sqref="E64"/>
    </sheetView>
  </sheetViews>
  <sheetFormatPr defaultColWidth="14.42578125" defaultRowHeight="15" customHeight="1"/>
  <cols>
    <col min="1" max="1" width="4.42578125" customWidth="1"/>
    <col min="2" max="2" width="15" bestFit="1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12.140625" bestFit="1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17" t="s">
        <v>1</v>
      </c>
      <c r="I2" s="218"/>
      <c r="J2" s="219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217" t="s">
        <v>4</v>
      </c>
      <c r="I3" s="218"/>
      <c r="J3" s="219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217">
        <v>3</v>
      </c>
      <c r="I4" s="218"/>
      <c r="J4" s="219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17" t="s">
        <v>10</v>
      </c>
      <c r="I5" s="218"/>
      <c r="J5" s="219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20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218"/>
      <c r="C7" s="218"/>
      <c r="D7" s="218"/>
      <c r="E7" s="218"/>
      <c r="F7" s="218"/>
      <c r="G7" s="218"/>
      <c r="H7" s="218"/>
      <c r="I7" s="218"/>
      <c r="J7" s="218"/>
      <c r="K7" s="218"/>
      <c r="L7" s="218"/>
      <c r="M7" s="219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31</v>
      </c>
      <c r="S8" s="12" t="s">
        <v>161</v>
      </c>
      <c r="T8" s="13" t="s">
        <v>160</v>
      </c>
      <c r="U8" s="14" t="s">
        <v>40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204" t="s">
        <v>16</v>
      </c>
      <c r="D9" s="13" t="str">
        <f>CONCATENATE("Attendance (",GradeSheet!$C$55, ")")</f>
        <v>Attendance (5)</v>
      </c>
      <c r="E9" s="13" t="str">
        <f>CONCATENATE("Performance (",GradeSheet!$C$56, ")")</f>
        <v>Performance (5)</v>
      </c>
      <c r="F9" s="17" t="str">
        <f>CONCATENATE("Quiz (",GradeSheet!$C$57, ")")</f>
        <v>Quiz (15)</v>
      </c>
      <c r="G9" s="13" t="str">
        <f>CONCATENATE("Assignment (",GradeSheet!$C$58, ")")</f>
        <v>Assignment (10)</v>
      </c>
      <c r="H9" s="17" t="str">
        <f>CONCATENATE("Midterm (",GradeSheet!$C$59, ")")</f>
        <v>Midterm (25)</v>
      </c>
      <c r="I9" s="16" t="str">
        <f>CONCATENATE("Project (",GradeSheet!$C$60, ")")</f>
        <v>Project (0)</v>
      </c>
      <c r="J9" s="16" t="str">
        <f>CONCATENATE("Final (",GradeSheet!$C$61, ")")</f>
        <v>Final (40)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C55</f>
        <v>5</v>
      </c>
      <c r="Q9" s="19">
        <f>C56</f>
        <v>5</v>
      </c>
      <c r="R9" s="19">
        <f>C57</f>
        <v>15</v>
      </c>
      <c r="S9" s="19">
        <f>C58</f>
        <v>10</v>
      </c>
      <c r="T9" s="19">
        <f>C59</f>
        <v>25</v>
      </c>
      <c r="U9" s="19">
        <f>C60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294">
        <f>X10</f>
        <v>1</v>
      </c>
      <c r="C10" s="23">
        <f>W10</f>
        <v>0</v>
      </c>
      <c r="D10" s="295">
        <f>P10</f>
        <v>0</v>
      </c>
      <c r="E10" s="24">
        <f>Q10</f>
        <v>0</v>
      </c>
      <c r="F10" s="25">
        <f>R10</f>
        <v>0</v>
      </c>
      <c r="G10" s="25">
        <f>S10</f>
        <v>0</v>
      </c>
      <c r="H10" s="25">
        <f>T10</f>
        <v>0</v>
      </c>
      <c r="I10" s="26">
        <f>U10</f>
        <v>0</v>
      </c>
      <c r="J10" s="26">
        <f>V10</f>
        <v>0</v>
      </c>
      <c r="K10" s="26">
        <f>ROUND(SUM(D10:J10),0)</f>
        <v>0</v>
      </c>
      <c r="L10" s="27">
        <f t="shared" ref="L10:L51" si="0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294">
        <v>1</v>
      </c>
      <c r="Y10" s="1"/>
      <c r="Z10" s="1"/>
      <c r="AA10" s="1"/>
    </row>
    <row r="11" spans="1:27" ht="15.75" customHeight="1">
      <c r="A11" s="31">
        <v>2</v>
      </c>
      <c r="B11" s="294">
        <f t="shared" ref="B11:B51" si="1">X11</f>
        <v>0</v>
      </c>
      <c r="C11" s="23">
        <f t="shared" ref="C11:C51" si="2">W11</f>
        <v>0</v>
      </c>
      <c r="D11" s="295">
        <f t="shared" ref="D11:D51" si="3">P11</f>
        <v>0</v>
      </c>
      <c r="E11" s="24">
        <f t="shared" ref="E11:E51" si="4">Q11</f>
        <v>0</v>
      </c>
      <c r="F11" s="25">
        <f t="shared" ref="F11:F51" si="5">R11</f>
        <v>0</v>
      </c>
      <c r="G11" s="25">
        <f t="shared" ref="G11:G51" si="6">S11</f>
        <v>0</v>
      </c>
      <c r="H11" s="25">
        <f t="shared" ref="H11:H51" si="7">T11</f>
        <v>0</v>
      </c>
      <c r="I11" s="26">
        <f t="shared" ref="I11:I51" si="8">U11</f>
        <v>0</v>
      </c>
      <c r="J11" s="26">
        <f t="shared" ref="J11:J51" si="9">V11</f>
        <v>0</v>
      </c>
      <c r="K11" s="26">
        <f t="shared" ref="K11:K51" si="10">ROUND(SUM(D11:J11),0)</f>
        <v>0</v>
      </c>
      <c r="L11" s="27">
        <f t="shared" si="0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294">
        <f t="shared" si="1"/>
        <v>0</v>
      </c>
      <c r="C12" s="23">
        <f t="shared" si="2"/>
        <v>0</v>
      </c>
      <c r="D12" s="295">
        <f t="shared" si="3"/>
        <v>0</v>
      </c>
      <c r="E12" s="24">
        <f t="shared" si="4"/>
        <v>0</v>
      </c>
      <c r="F12" s="25">
        <f t="shared" si="5"/>
        <v>0</v>
      </c>
      <c r="G12" s="25">
        <f t="shared" si="6"/>
        <v>0</v>
      </c>
      <c r="H12" s="25">
        <f t="shared" si="7"/>
        <v>0</v>
      </c>
      <c r="I12" s="26">
        <f t="shared" si="8"/>
        <v>0</v>
      </c>
      <c r="J12" s="26">
        <f t="shared" si="9"/>
        <v>0</v>
      </c>
      <c r="K12" s="26">
        <f t="shared" si="10"/>
        <v>0</v>
      </c>
      <c r="L12" s="27">
        <f t="shared" si="0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294">
        <f t="shared" si="1"/>
        <v>0</v>
      </c>
      <c r="C13" s="23">
        <f t="shared" si="2"/>
        <v>0</v>
      </c>
      <c r="D13" s="295">
        <f t="shared" si="3"/>
        <v>0</v>
      </c>
      <c r="E13" s="24">
        <f t="shared" si="4"/>
        <v>0</v>
      </c>
      <c r="F13" s="25">
        <f t="shared" si="5"/>
        <v>0</v>
      </c>
      <c r="G13" s="25">
        <f t="shared" si="6"/>
        <v>0</v>
      </c>
      <c r="H13" s="25">
        <f t="shared" si="7"/>
        <v>0</v>
      </c>
      <c r="I13" s="26">
        <f t="shared" si="8"/>
        <v>0</v>
      </c>
      <c r="J13" s="26">
        <f t="shared" si="9"/>
        <v>0</v>
      </c>
      <c r="K13" s="26">
        <f t="shared" si="10"/>
        <v>0</v>
      </c>
      <c r="L13" s="27">
        <f t="shared" si="0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294">
        <f t="shared" si="1"/>
        <v>0</v>
      </c>
      <c r="C14" s="23">
        <f t="shared" si="2"/>
        <v>0</v>
      </c>
      <c r="D14" s="295">
        <f t="shared" si="3"/>
        <v>0</v>
      </c>
      <c r="E14" s="24">
        <f t="shared" si="4"/>
        <v>0</v>
      </c>
      <c r="F14" s="25">
        <f t="shared" si="5"/>
        <v>0</v>
      </c>
      <c r="G14" s="25">
        <f t="shared" si="6"/>
        <v>0</v>
      </c>
      <c r="H14" s="25">
        <f t="shared" si="7"/>
        <v>0</v>
      </c>
      <c r="I14" s="26">
        <f t="shared" si="8"/>
        <v>0</v>
      </c>
      <c r="J14" s="26">
        <f t="shared" si="9"/>
        <v>0</v>
      </c>
      <c r="K14" s="26">
        <f t="shared" si="10"/>
        <v>0</v>
      </c>
      <c r="L14" s="27">
        <f t="shared" si="0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294">
        <f t="shared" si="1"/>
        <v>0</v>
      </c>
      <c r="C15" s="23">
        <f t="shared" si="2"/>
        <v>0</v>
      </c>
      <c r="D15" s="295">
        <f t="shared" si="3"/>
        <v>0</v>
      </c>
      <c r="E15" s="24">
        <f t="shared" si="4"/>
        <v>0</v>
      </c>
      <c r="F15" s="25">
        <f t="shared" si="5"/>
        <v>0</v>
      </c>
      <c r="G15" s="25">
        <f t="shared" si="6"/>
        <v>0</v>
      </c>
      <c r="H15" s="25">
        <f t="shared" si="7"/>
        <v>0</v>
      </c>
      <c r="I15" s="26">
        <f t="shared" si="8"/>
        <v>0</v>
      </c>
      <c r="J15" s="26">
        <f t="shared" si="9"/>
        <v>0</v>
      </c>
      <c r="K15" s="26">
        <f t="shared" si="10"/>
        <v>0</v>
      </c>
      <c r="L15" s="27">
        <f t="shared" si="0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294">
        <f t="shared" si="1"/>
        <v>0</v>
      </c>
      <c r="C16" s="23">
        <f t="shared" si="2"/>
        <v>0</v>
      </c>
      <c r="D16" s="295">
        <f t="shared" si="3"/>
        <v>0</v>
      </c>
      <c r="E16" s="24">
        <f t="shared" si="4"/>
        <v>0</v>
      </c>
      <c r="F16" s="25">
        <f t="shared" si="5"/>
        <v>0</v>
      </c>
      <c r="G16" s="25">
        <f t="shared" si="6"/>
        <v>0</v>
      </c>
      <c r="H16" s="25">
        <f t="shared" si="7"/>
        <v>0</v>
      </c>
      <c r="I16" s="26">
        <f t="shared" si="8"/>
        <v>0</v>
      </c>
      <c r="J16" s="26">
        <f t="shared" si="9"/>
        <v>0</v>
      </c>
      <c r="K16" s="26">
        <f t="shared" si="10"/>
        <v>0</v>
      </c>
      <c r="L16" s="27">
        <f t="shared" si="0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294">
        <f t="shared" si="1"/>
        <v>0</v>
      </c>
      <c r="C17" s="23">
        <f t="shared" si="2"/>
        <v>0</v>
      </c>
      <c r="D17" s="295">
        <f t="shared" si="3"/>
        <v>0</v>
      </c>
      <c r="E17" s="24">
        <f t="shared" si="4"/>
        <v>0</v>
      </c>
      <c r="F17" s="25">
        <f t="shared" si="5"/>
        <v>0</v>
      </c>
      <c r="G17" s="25">
        <f t="shared" si="6"/>
        <v>0</v>
      </c>
      <c r="H17" s="25">
        <f t="shared" si="7"/>
        <v>0</v>
      </c>
      <c r="I17" s="26">
        <f t="shared" si="8"/>
        <v>0</v>
      </c>
      <c r="J17" s="26">
        <f t="shared" si="9"/>
        <v>0</v>
      </c>
      <c r="K17" s="26">
        <f t="shared" si="10"/>
        <v>0</v>
      </c>
      <c r="L17" s="27">
        <f t="shared" si="0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294">
        <f t="shared" si="1"/>
        <v>0</v>
      </c>
      <c r="C18" s="23">
        <f t="shared" si="2"/>
        <v>0</v>
      </c>
      <c r="D18" s="295">
        <f t="shared" si="3"/>
        <v>0</v>
      </c>
      <c r="E18" s="24">
        <f t="shared" si="4"/>
        <v>0</v>
      </c>
      <c r="F18" s="25">
        <f t="shared" si="5"/>
        <v>0</v>
      </c>
      <c r="G18" s="25">
        <f t="shared" si="6"/>
        <v>0</v>
      </c>
      <c r="H18" s="25">
        <f t="shared" si="7"/>
        <v>0</v>
      </c>
      <c r="I18" s="26">
        <f t="shared" si="8"/>
        <v>0</v>
      </c>
      <c r="J18" s="26">
        <f t="shared" si="9"/>
        <v>0</v>
      </c>
      <c r="K18" s="26">
        <f t="shared" si="10"/>
        <v>0</v>
      </c>
      <c r="L18" s="27">
        <f t="shared" si="0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294">
        <f t="shared" si="1"/>
        <v>0</v>
      </c>
      <c r="C19" s="23">
        <f t="shared" si="2"/>
        <v>0</v>
      </c>
      <c r="D19" s="295">
        <f t="shared" si="3"/>
        <v>0</v>
      </c>
      <c r="E19" s="24">
        <f t="shared" si="4"/>
        <v>0</v>
      </c>
      <c r="F19" s="25">
        <f t="shared" si="5"/>
        <v>0</v>
      </c>
      <c r="G19" s="25">
        <f t="shared" si="6"/>
        <v>0</v>
      </c>
      <c r="H19" s="25">
        <f t="shared" si="7"/>
        <v>0</v>
      </c>
      <c r="I19" s="26">
        <f t="shared" si="8"/>
        <v>0</v>
      </c>
      <c r="J19" s="26">
        <f t="shared" si="9"/>
        <v>0</v>
      </c>
      <c r="K19" s="26">
        <f t="shared" si="10"/>
        <v>0</v>
      </c>
      <c r="L19" s="27">
        <f t="shared" si="0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294">
        <f t="shared" si="1"/>
        <v>0</v>
      </c>
      <c r="C20" s="23">
        <f t="shared" si="2"/>
        <v>0</v>
      </c>
      <c r="D20" s="295">
        <f t="shared" si="3"/>
        <v>0</v>
      </c>
      <c r="E20" s="24">
        <f t="shared" si="4"/>
        <v>0</v>
      </c>
      <c r="F20" s="25">
        <f t="shared" si="5"/>
        <v>0</v>
      </c>
      <c r="G20" s="25">
        <f t="shared" si="6"/>
        <v>0</v>
      </c>
      <c r="H20" s="25">
        <f t="shared" si="7"/>
        <v>0</v>
      </c>
      <c r="I20" s="26">
        <f t="shared" si="8"/>
        <v>0</v>
      </c>
      <c r="J20" s="26">
        <f t="shared" si="9"/>
        <v>0</v>
      </c>
      <c r="K20" s="26">
        <f t="shared" si="10"/>
        <v>0</v>
      </c>
      <c r="L20" s="27">
        <f t="shared" si="0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294">
        <f t="shared" si="1"/>
        <v>0</v>
      </c>
      <c r="C21" s="23">
        <f t="shared" si="2"/>
        <v>0</v>
      </c>
      <c r="D21" s="295">
        <f t="shared" si="3"/>
        <v>0</v>
      </c>
      <c r="E21" s="24">
        <f t="shared" si="4"/>
        <v>0</v>
      </c>
      <c r="F21" s="25">
        <f t="shared" si="5"/>
        <v>0</v>
      </c>
      <c r="G21" s="25">
        <f t="shared" si="6"/>
        <v>0</v>
      </c>
      <c r="H21" s="25">
        <f t="shared" si="7"/>
        <v>0</v>
      </c>
      <c r="I21" s="26">
        <f t="shared" si="8"/>
        <v>0</v>
      </c>
      <c r="J21" s="26">
        <f t="shared" si="9"/>
        <v>0</v>
      </c>
      <c r="K21" s="26">
        <f t="shared" si="10"/>
        <v>0</v>
      </c>
      <c r="L21" s="27">
        <f t="shared" si="0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294">
        <f t="shared" si="1"/>
        <v>0</v>
      </c>
      <c r="C22" s="23">
        <f t="shared" si="2"/>
        <v>0</v>
      </c>
      <c r="D22" s="295">
        <f t="shared" si="3"/>
        <v>0</v>
      </c>
      <c r="E22" s="24">
        <f t="shared" si="4"/>
        <v>0</v>
      </c>
      <c r="F22" s="25">
        <f t="shared" si="5"/>
        <v>0</v>
      </c>
      <c r="G22" s="25">
        <f t="shared" si="6"/>
        <v>0</v>
      </c>
      <c r="H22" s="25">
        <f t="shared" si="7"/>
        <v>0</v>
      </c>
      <c r="I22" s="26">
        <f t="shared" si="8"/>
        <v>0</v>
      </c>
      <c r="J22" s="26">
        <f t="shared" si="9"/>
        <v>0</v>
      </c>
      <c r="K22" s="26">
        <f t="shared" si="10"/>
        <v>0</v>
      </c>
      <c r="L22" s="27">
        <f t="shared" si="0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294">
        <f t="shared" si="1"/>
        <v>0</v>
      </c>
      <c r="C23" s="23">
        <f t="shared" si="2"/>
        <v>0</v>
      </c>
      <c r="D23" s="295">
        <f t="shared" si="3"/>
        <v>0</v>
      </c>
      <c r="E23" s="24">
        <f t="shared" si="4"/>
        <v>0</v>
      </c>
      <c r="F23" s="25">
        <f t="shared" si="5"/>
        <v>0</v>
      </c>
      <c r="G23" s="25">
        <f t="shared" si="6"/>
        <v>0</v>
      </c>
      <c r="H23" s="25">
        <f t="shared" si="7"/>
        <v>0</v>
      </c>
      <c r="I23" s="26">
        <f t="shared" si="8"/>
        <v>0</v>
      </c>
      <c r="J23" s="26">
        <f t="shared" si="9"/>
        <v>0</v>
      </c>
      <c r="K23" s="26">
        <f t="shared" si="10"/>
        <v>0</v>
      </c>
      <c r="L23" s="27">
        <f t="shared" si="0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294">
        <f t="shared" si="1"/>
        <v>0</v>
      </c>
      <c r="C24" s="23">
        <f t="shared" si="2"/>
        <v>0</v>
      </c>
      <c r="D24" s="295">
        <f t="shared" si="3"/>
        <v>0</v>
      </c>
      <c r="E24" s="24">
        <f t="shared" si="4"/>
        <v>0</v>
      </c>
      <c r="F24" s="25">
        <f t="shared" si="5"/>
        <v>0</v>
      </c>
      <c r="G24" s="25">
        <f t="shared" si="6"/>
        <v>0</v>
      </c>
      <c r="H24" s="25">
        <f t="shared" si="7"/>
        <v>0</v>
      </c>
      <c r="I24" s="26">
        <f t="shared" si="8"/>
        <v>0</v>
      </c>
      <c r="J24" s="26">
        <f t="shared" si="9"/>
        <v>0</v>
      </c>
      <c r="K24" s="26">
        <f t="shared" si="10"/>
        <v>0</v>
      </c>
      <c r="L24" s="27">
        <f t="shared" si="0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294">
        <f t="shared" si="1"/>
        <v>0</v>
      </c>
      <c r="C25" s="23">
        <f t="shared" si="2"/>
        <v>0</v>
      </c>
      <c r="D25" s="295">
        <f t="shared" si="3"/>
        <v>0</v>
      </c>
      <c r="E25" s="24">
        <f t="shared" si="4"/>
        <v>0</v>
      </c>
      <c r="F25" s="25">
        <f t="shared" si="5"/>
        <v>0</v>
      </c>
      <c r="G25" s="25">
        <f t="shared" si="6"/>
        <v>0</v>
      </c>
      <c r="H25" s="25">
        <f t="shared" si="7"/>
        <v>0</v>
      </c>
      <c r="I25" s="26">
        <f t="shared" si="8"/>
        <v>0</v>
      </c>
      <c r="J25" s="26">
        <f t="shared" si="9"/>
        <v>0</v>
      </c>
      <c r="K25" s="26">
        <f t="shared" si="10"/>
        <v>0</v>
      </c>
      <c r="L25" s="27">
        <f t="shared" si="0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294">
        <f t="shared" si="1"/>
        <v>0</v>
      </c>
      <c r="C26" s="23">
        <f t="shared" si="2"/>
        <v>0</v>
      </c>
      <c r="D26" s="295">
        <f t="shared" si="3"/>
        <v>0</v>
      </c>
      <c r="E26" s="24">
        <f t="shared" si="4"/>
        <v>0</v>
      </c>
      <c r="F26" s="25">
        <f t="shared" si="5"/>
        <v>0</v>
      </c>
      <c r="G26" s="25">
        <f t="shared" si="6"/>
        <v>0</v>
      </c>
      <c r="H26" s="25">
        <f t="shared" si="7"/>
        <v>0</v>
      </c>
      <c r="I26" s="26">
        <f t="shared" si="8"/>
        <v>0</v>
      </c>
      <c r="J26" s="26">
        <f t="shared" si="9"/>
        <v>0</v>
      </c>
      <c r="K26" s="26">
        <f t="shared" si="10"/>
        <v>0</v>
      </c>
      <c r="L26" s="27">
        <f t="shared" si="0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294">
        <f t="shared" si="1"/>
        <v>0</v>
      </c>
      <c r="C27" s="23">
        <f t="shared" si="2"/>
        <v>0</v>
      </c>
      <c r="D27" s="295">
        <f t="shared" si="3"/>
        <v>0</v>
      </c>
      <c r="E27" s="24">
        <f t="shared" si="4"/>
        <v>0</v>
      </c>
      <c r="F27" s="25">
        <f t="shared" si="5"/>
        <v>0</v>
      </c>
      <c r="G27" s="25">
        <f t="shared" si="6"/>
        <v>0</v>
      </c>
      <c r="H27" s="25">
        <f t="shared" si="7"/>
        <v>0</v>
      </c>
      <c r="I27" s="26">
        <f t="shared" si="8"/>
        <v>0</v>
      </c>
      <c r="J27" s="26">
        <f t="shared" si="9"/>
        <v>0</v>
      </c>
      <c r="K27" s="26">
        <f t="shared" si="10"/>
        <v>0</v>
      </c>
      <c r="L27" s="27">
        <f t="shared" si="0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294">
        <f t="shared" si="1"/>
        <v>0</v>
      </c>
      <c r="C28" s="23">
        <f t="shared" si="2"/>
        <v>0</v>
      </c>
      <c r="D28" s="295">
        <f t="shared" si="3"/>
        <v>0</v>
      </c>
      <c r="E28" s="24">
        <f t="shared" si="4"/>
        <v>0</v>
      </c>
      <c r="F28" s="25">
        <f t="shared" si="5"/>
        <v>0</v>
      </c>
      <c r="G28" s="25">
        <f t="shared" si="6"/>
        <v>0</v>
      </c>
      <c r="H28" s="25">
        <f t="shared" si="7"/>
        <v>0</v>
      </c>
      <c r="I28" s="26">
        <f t="shared" si="8"/>
        <v>0</v>
      </c>
      <c r="J28" s="26">
        <f t="shared" si="9"/>
        <v>0</v>
      </c>
      <c r="K28" s="26">
        <f t="shared" si="10"/>
        <v>0</v>
      </c>
      <c r="L28" s="27">
        <f t="shared" si="0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294">
        <f t="shared" si="1"/>
        <v>0</v>
      </c>
      <c r="C29" s="23">
        <f t="shared" si="2"/>
        <v>0</v>
      </c>
      <c r="D29" s="295">
        <f t="shared" si="3"/>
        <v>0</v>
      </c>
      <c r="E29" s="24">
        <f t="shared" si="4"/>
        <v>0</v>
      </c>
      <c r="F29" s="25">
        <f t="shared" si="5"/>
        <v>0</v>
      </c>
      <c r="G29" s="25">
        <f t="shared" si="6"/>
        <v>0</v>
      </c>
      <c r="H29" s="25">
        <f t="shared" si="7"/>
        <v>0</v>
      </c>
      <c r="I29" s="26">
        <f t="shared" si="8"/>
        <v>0</v>
      </c>
      <c r="J29" s="26">
        <f t="shared" si="9"/>
        <v>0</v>
      </c>
      <c r="K29" s="26">
        <f t="shared" si="10"/>
        <v>0</v>
      </c>
      <c r="L29" s="27">
        <f t="shared" si="0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294">
        <f t="shared" si="1"/>
        <v>0</v>
      </c>
      <c r="C30" s="23">
        <f t="shared" si="2"/>
        <v>0</v>
      </c>
      <c r="D30" s="295">
        <f t="shared" si="3"/>
        <v>0</v>
      </c>
      <c r="E30" s="24">
        <f t="shared" si="4"/>
        <v>0</v>
      </c>
      <c r="F30" s="25">
        <f t="shared" si="5"/>
        <v>0</v>
      </c>
      <c r="G30" s="25">
        <f t="shared" si="6"/>
        <v>0</v>
      </c>
      <c r="H30" s="25">
        <f t="shared" si="7"/>
        <v>0</v>
      </c>
      <c r="I30" s="26">
        <f t="shared" si="8"/>
        <v>0</v>
      </c>
      <c r="J30" s="26">
        <f t="shared" si="9"/>
        <v>0</v>
      </c>
      <c r="K30" s="26">
        <f t="shared" si="10"/>
        <v>0</v>
      </c>
      <c r="L30" s="27">
        <f t="shared" si="0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294">
        <f t="shared" si="1"/>
        <v>0</v>
      </c>
      <c r="C31" s="23">
        <f t="shared" si="2"/>
        <v>0</v>
      </c>
      <c r="D31" s="295">
        <f t="shared" si="3"/>
        <v>0</v>
      </c>
      <c r="E31" s="24">
        <f t="shared" si="4"/>
        <v>0</v>
      </c>
      <c r="F31" s="25">
        <f t="shared" si="5"/>
        <v>0</v>
      </c>
      <c r="G31" s="25">
        <f t="shared" si="6"/>
        <v>0</v>
      </c>
      <c r="H31" s="25">
        <f t="shared" si="7"/>
        <v>0</v>
      </c>
      <c r="I31" s="26">
        <f t="shared" si="8"/>
        <v>0</v>
      </c>
      <c r="J31" s="26">
        <f t="shared" si="9"/>
        <v>0</v>
      </c>
      <c r="K31" s="26">
        <f t="shared" si="10"/>
        <v>0</v>
      </c>
      <c r="L31" s="27">
        <f t="shared" si="0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294">
        <f t="shared" si="1"/>
        <v>0</v>
      </c>
      <c r="C32" s="23">
        <f t="shared" si="2"/>
        <v>0</v>
      </c>
      <c r="D32" s="295">
        <f t="shared" si="3"/>
        <v>0</v>
      </c>
      <c r="E32" s="24">
        <f t="shared" si="4"/>
        <v>0</v>
      </c>
      <c r="F32" s="25">
        <f t="shared" si="5"/>
        <v>0</v>
      </c>
      <c r="G32" s="25">
        <f t="shared" si="6"/>
        <v>0</v>
      </c>
      <c r="H32" s="25">
        <f t="shared" si="7"/>
        <v>0</v>
      </c>
      <c r="I32" s="26">
        <f t="shared" si="8"/>
        <v>0</v>
      </c>
      <c r="J32" s="26">
        <f t="shared" si="9"/>
        <v>0</v>
      </c>
      <c r="K32" s="26">
        <f t="shared" si="10"/>
        <v>0</v>
      </c>
      <c r="L32" s="27">
        <f t="shared" si="0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294">
        <f t="shared" si="1"/>
        <v>0</v>
      </c>
      <c r="C33" s="23">
        <f t="shared" si="2"/>
        <v>0</v>
      </c>
      <c r="D33" s="295">
        <f t="shared" si="3"/>
        <v>0</v>
      </c>
      <c r="E33" s="24">
        <f t="shared" si="4"/>
        <v>0</v>
      </c>
      <c r="F33" s="25">
        <f t="shared" si="5"/>
        <v>0</v>
      </c>
      <c r="G33" s="25">
        <f t="shared" si="6"/>
        <v>0</v>
      </c>
      <c r="H33" s="25">
        <f t="shared" si="7"/>
        <v>0</v>
      </c>
      <c r="I33" s="26">
        <f t="shared" si="8"/>
        <v>0</v>
      </c>
      <c r="J33" s="26">
        <f t="shared" si="9"/>
        <v>0</v>
      </c>
      <c r="K33" s="26">
        <f t="shared" si="10"/>
        <v>0</v>
      </c>
      <c r="L33" s="27">
        <f t="shared" si="0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294">
        <f t="shared" si="1"/>
        <v>0</v>
      </c>
      <c r="C34" s="23">
        <f t="shared" si="2"/>
        <v>0</v>
      </c>
      <c r="D34" s="295">
        <f t="shared" si="3"/>
        <v>0</v>
      </c>
      <c r="E34" s="24">
        <f t="shared" si="4"/>
        <v>0</v>
      </c>
      <c r="F34" s="25">
        <f t="shared" si="5"/>
        <v>0</v>
      </c>
      <c r="G34" s="25">
        <f t="shared" si="6"/>
        <v>0</v>
      </c>
      <c r="H34" s="25">
        <f t="shared" si="7"/>
        <v>0</v>
      </c>
      <c r="I34" s="26">
        <f t="shared" si="8"/>
        <v>0</v>
      </c>
      <c r="J34" s="26">
        <f t="shared" si="9"/>
        <v>0</v>
      </c>
      <c r="K34" s="26">
        <f t="shared" si="10"/>
        <v>0</v>
      </c>
      <c r="L34" s="27">
        <f t="shared" si="0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294">
        <f t="shared" si="1"/>
        <v>0</v>
      </c>
      <c r="C35" s="23">
        <f t="shared" si="2"/>
        <v>0</v>
      </c>
      <c r="D35" s="295">
        <f t="shared" si="3"/>
        <v>0</v>
      </c>
      <c r="E35" s="24">
        <f t="shared" si="4"/>
        <v>0</v>
      </c>
      <c r="F35" s="25">
        <f t="shared" si="5"/>
        <v>0</v>
      </c>
      <c r="G35" s="25">
        <f t="shared" si="6"/>
        <v>0</v>
      </c>
      <c r="H35" s="25">
        <f t="shared" si="7"/>
        <v>0</v>
      </c>
      <c r="I35" s="26">
        <f t="shared" si="8"/>
        <v>0</v>
      </c>
      <c r="J35" s="26">
        <f t="shared" si="9"/>
        <v>0</v>
      </c>
      <c r="K35" s="26">
        <f t="shared" si="10"/>
        <v>0</v>
      </c>
      <c r="L35" s="27">
        <f t="shared" si="0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294">
        <f t="shared" si="1"/>
        <v>0</v>
      </c>
      <c r="C36" s="23">
        <f t="shared" si="2"/>
        <v>0</v>
      </c>
      <c r="D36" s="295">
        <f t="shared" si="3"/>
        <v>0</v>
      </c>
      <c r="E36" s="24">
        <f t="shared" si="4"/>
        <v>0</v>
      </c>
      <c r="F36" s="25">
        <f t="shared" si="5"/>
        <v>0</v>
      </c>
      <c r="G36" s="25">
        <f t="shared" si="6"/>
        <v>0</v>
      </c>
      <c r="H36" s="25">
        <f t="shared" si="7"/>
        <v>0</v>
      </c>
      <c r="I36" s="26">
        <f t="shared" si="8"/>
        <v>0</v>
      </c>
      <c r="J36" s="26">
        <f t="shared" si="9"/>
        <v>0</v>
      </c>
      <c r="K36" s="26">
        <f t="shared" si="10"/>
        <v>0</v>
      </c>
      <c r="L36" s="27">
        <f t="shared" si="0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294">
        <f t="shared" si="1"/>
        <v>0</v>
      </c>
      <c r="C37" s="23">
        <f t="shared" si="2"/>
        <v>0</v>
      </c>
      <c r="D37" s="295">
        <f t="shared" si="3"/>
        <v>0</v>
      </c>
      <c r="E37" s="24">
        <f t="shared" si="4"/>
        <v>0</v>
      </c>
      <c r="F37" s="25">
        <f t="shared" si="5"/>
        <v>0</v>
      </c>
      <c r="G37" s="25">
        <f t="shared" si="6"/>
        <v>0</v>
      </c>
      <c r="H37" s="25">
        <f t="shared" si="7"/>
        <v>0</v>
      </c>
      <c r="I37" s="26">
        <f t="shared" si="8"/>
        <v>0</v>
      </c>
      <c r="J37" s="26">
        <f t="shared" si="9"/>
        <v>0</v>
      </c>
      <c r="K37" s="26">
        <f t="shared" si="10"/>
        <v>0</v>
      </c>
      <c r="L37" s="27">
        <f t="shared" si="0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294">
        <f t="shared" si="1"/>
        <v>0</v>
      </c>
      <c r="C38" s="23">
        <f t="shared" si="2"/>
        <v>0</v>
      </c>
      <c r="D38" s="295">
        <f t="shared" si="3"/>
        <v>0</v>
      </c>
      <c r="E38" s="24">
        <f t="shared" si="4"/>
        <v>0</v>
      </c>
      <c r="F38" s="25">
        <f t="shared" si="5"/>
        <v>0</v>
      </c>
      <c r="G38" s="25">
        <f t="shared" si="6"/>
        <v>0</v>
      </c>
      <c r="H38" s="25">
        <f t="shared" si="7"/>
        <v>0</v>
      </c>
      <c r="I38" s="26">
        <f t="shared" si="8"/>
        <v>0</v>
      </c>
      <c r="J38" s="26">
        <f t="shared" si="9"/>
        <v>0</v>
      </c>
      <c r="K38" s="26">
        <f t="shared" si="10"/>
        <v>0</v>
      </c>
      <c r="L38" s="27">
        <f t="shared" si="0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294">
        <f t="shared" si="1"/>
        <v>0</v>
      </c>
      <c r="C39" s="23">
        <f t="shared" si="2"/>
        <v>0</v>
      </c>
      <c r="D39" s="295">
        <f t="shared" si="3"/>
        <v>0</v>
      </c>
      <c r="E39" s="24">
        <f t="shared" si="4"/>
        <v>0</v>
      </c>
      <c r="F39" s="25">
        <f t="shared" si="5"/>
        <v>0</v>
      </c>
      <c r="G39" s="25">
        <f t="shared" si="6"/>
        <v>0</v>
      </c>
      <c r="H39" s="25">
        <f t="shared" si="7"/>
        <v>0</v>
      </c>
      <c r="I39" s="26">
        <f t="shared" si="8"/>
        <v>0</v>
      </c>
      <c r="J39" s="26">
        <f t="shared" si="9"/>
        <v>0</v>
      </c>
      <c r="K39" s="26">
        <f t="shared" si="10"/>
        <v>0</v>
      </c>
      <c r="L39" s="27">
        <f t="shared" si="0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294">
        <f t="shared" si="1"/>
        <v>0</v>
      </c>
      <c r="C40" s="23">
        <f t="shared" si="2"/>
        <v>0</v>
      </c>
      <c r="D40" s="295">
        <f t="shared" si="3"/>
        <v>0</v>
      </c>
      <c r="E40" s="24">
        <f t="shared" si="4"/>
        <v>0</v>
      </c>
      <c r="F40" s="25">
        <f t="shared" si="5"/>
        <v>0</v>
      </c>
      <c r="G40" s="25">
        <f t="shared" si="6"/>
        <v>0</v>
      </c>
      <c r="H40" s="25">
        <f t="shared" si="7"/>
        <v>0</v>
      </c>
      <c r="I40" s="26">
        <f t="shared" si="8"/>
        <v>0</v>
      </c>
      <c r="J40" s="26">
        <f t="shared" si="9"/>
        <v>0</v>
      </c>
      <c r="K40" s="26">
        <f t="shared" si="10"/>
        <v>0</v>
      </c>
      <c r="L40" s="27">
        <f t="shared" si="0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294">
        <f t="shared" si="1"/>
        <v>0</v>
      </c>
      <c r="C41" s="23">
        <f t="shared" si="2"/>
        <v>0</v>
      </c>
      <c r="D41" s="295">
        <f t="shared" si="3"/>
        <v>0</v>
      </c>
      <c r="E41" s="24">
        <f t="shared" si="4"/>
        <v>0</v>
      </c>
      <c r="F41" s="25">
        <f t="shared" si="5"/>
        <v>0</v>
      </c>
      <c r="G41" s="25">
        <f t="shared" si="6"/>
        <v>0</v>
      </c>
      <c r="H41" s="25">
        <f t="shared" si="7"/>
        <v>0</v>
      </c>
      <c r="I41" s="26">
        <f t="shared" si="8"/>
        <v>0</v>
      </c>
      <c r="J41" s="26">
        <f t="shared" si="9"/>
        <v>0</v>
      </c>
      <c r="K41" s="26">
        <f t="shared" si="10"/>
        <v>0</v>
      </c>
      <c r="L41" s="27">
        <f t="shared" si="0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294">
        <f t="shared" si="1"/>
        <v>0</v>
      </c>
      <c r="C42" s="23">
        <f t="shared" si="2"/>
        <v>0</v>
      </c>
      <c r="D42" s="295">
        <f t="shared" si="3"/>
        <v>0</v>
      </c>
      <c r="E42" s="24">
        <f t="shared" si="4"/>
        <v>0</v>
      </c>
      <c r="F42" s="25">
        <f t="shared" si="5"/>
        <v>0</v>
      </c>
      <c r="G42" s="25">
        <f t="shared" si="6"/>
        <v>0</v>
      </c>
      <c r="H42" s="25">
        <f t="shared" si="7"/>
        <v>0</v>
      </c>
      <c r="I42" s="26">
        <f t="shared" si="8"/>
        <v>0</v>
      </c>
      <c r="J42" s="26">
        <f t="shared" si="9"/>
        <v>0</v>
      </c>
      <c r="K42" s="26">
        <f t="shared" si="10"/>
        <v>0</v>
      </c>
      <c r="L42" s="27">
        <f t="shared" si="0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294">
        <f t="shared" si="1"/>
        <v>0</v>
      </c>
      <c r="C43" s="23">
        <f t="shared" si="2"/>
        <v>0</v>
      </c>
      <c r="D43" s="295">
        <f t="shared" si="3"/>
        <v>0</v>
      </c>
      <c r="E43" s="24">
        <f t="shared" si="4"/>
        <v>0</v>
      </c>
      <c r="F43" s="25">
        <f t="shared" si="5"/>
        <v>0</v>
      </c>
      <c r="G43" s="25">
        <f t="shared" si="6"/>
        <v>0</v>
      </c>
      <c r="H43" s="25">
        <f t="shared" si="7"/>
        <v>0</v>
      </c>
      <c r="I43" s="26">
        <f t="shared" si="8"/>
        <v>0</v>
      </c>
      <c r="J43" s="26">
        <f t="shared" si="9"/>
        <v>0</v>
      </c>
      <c r="K43" s="26">
        <f t="shared" si="10"/>
        <v>0</v>
      </c>
      <c r="L43" s="27">
        <f t="shared" si="0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294">
        <f t="shared" si="1"/>
        <v>0</v>
      </c>
      <c r="C44" s="23">
        <f t="shared" si="2"/>
        <v>0</v>
      </c>
      <c r="D44" s="295">
        <f t="shared" si="3"/>
        <v>0</v>
      </c>
      <c r="E44" s="24">
        <f t="shared" si="4"/>
        <v>0</v>
      </c>
      <c r="F44" s="25">
        <f t="shared" si="5"/>
        <v>0</v>
      </c>
      <c r="G44" s="25">
        <f t="shared" si="6"/>
        <v>0</v>
      </c>
      <c r="H44" s="25">
        <f t="shared" si="7"/>
        <v>0</v>
      </c>
      <c r="I44" s="26">
        <f t="shared" si="8"/>
        <v>0</v>
      </c>
      <c r="J44" s="26">
        <f t="shared" si="9"/>
        <v>0</v>
      </c>
      <c r="K44" s="26">
        <f t="shared" si="10"/>
        <v>0</v>
      </c>
      <c r="L44" s="27">
        <f t="shared" si="0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294">
        <f t="shared" si="1"/>
        <v>0</v>
      </c>
      <c r="C45" s="23">
        <f t="shared" si="2"/>
        <v>0</v>
      </c>
      <c r="D45" s="295">
        <f t="shared" si="3"/>
        <v>0</v>
      </c>
      <c r="E45" s="24">
        <f t="shared" si="4"/>
        <v>0</v>
      </c>
      <c r="F45" s="25">
        <f t="shared" si="5"/>
        <v>0</v>
      </c>
      <c r="G45" s="25">
        <f t="shared" si="6"/>
        <v>0</v>
      </c>
      <c r="H45" s="25">
        <f t="shared" si="7"/>
        <v>0</v>
      </c>
      <c r="I45" s="26">
        <f t="shared" si="8"/>
        <v>0</v>
      </c>
      <c r="J45" s="26">
        <f t="shared" si="9"/>
        <v>0</v>
      </c>
      <c r="K45" s="26">
        <f t="shared" si="10"/>
        <v>0</v>
      </c>
      <c r="L45" s="27">
        <f t="shared" si="0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294">
        <f t="shared" si="1"/>
        <v>0</v>
      </c>
      <c r="C46" s="23">
        <f t="shared" si="2"/>
        <v>0</v>
      </c>
      <c r="D46" s="295">
        <f t="shared" si="3"/>
        <v>0</v>
      </c>
      <c r="E46" s="24">
        <f t="shared" si="4"/>
        <v>0</v>
      </c>
      <c r="F46" s="25">
        <f t="shared" si="5"/>
        <v>0</v>
      </c>
      <c r="G46" s="25">
        <f t="shared" si="6"/>
        <v>0</v>
      </c>
      <c r="H46" s="25">
        <f t="shared" si="7"/>
        <v>0</v>
      </c>
      <c r="I46" s="26">
        <f t="shared" si="8"/>
        <v>0</v>
      </c>
      <c r="J46" s="26">
        <f t="shared" si="9"/>
        <v>0</v>
      </c>
      <c r="K46" s="26">
        <f t="shared" si="10"/>
        <v>0</v>
      </c>
      <c r="L46" s="27">
        <f t="shared" si="0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294">
        <f t="shared" si="1"/>
        <v>0</v>
      </c>
      <c r="C47" s="23">
        <f t="shared" si="2"/>
        <v>0</v>
      </c>
      <c r="D47" s="295">
        <f t="shared" si="3"/>
        <v>0</v>
      </c>
      <c r="E47" s="24">
        <f t="shared" si="4"/>
        <v>0</v>
      </c>
      <c r="F47" s="25">
        <f t="shared" si="5"/>
        <v>0</v>
      </c>
      <c r="G47" s="25">
        <f t="shared" si="6"/>
        <v>0</v>
      </c>
      <c r="H47" s="25">
        <f t="shared" si="7"/>
        <v>0</v>
      </c>
      <c r="I47" s="26">
        <f t="shared" si="8"/>
        <v>0</v>
      </c>
      <c r="J47" s="26">
        <f t="shared" si="9"/>
        <v>0</v>
      </c>
      <c r="K47" s="26">
        <f t="shared" si="10"/>
        <v>0</v>
      </c>
      <c r="L47" s="27">
        <f t="shared" si="0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294">
        <f t="shared" si="1"/>
        <v>0</v>
      </c>
      <c r="C48" s="23">
        <f t="shared" si="2"/>
        <v>0</v>
      </c>
      <c r="D48" s="295">
        <f t="shared" si="3"/>
        <v>0</v>
      </c>
      <c r="E48" s="24">
        <f t="shared" si="4"/>
        <v>0</v>
      </c>
      <c r="F48" s="25">
        <f t="shared" si="5"/>
        <v>0</v>
      </c>
      <c r="G48" s="25">
        <f t="shared" si="6"/>
        <v>0</v>
      </c>
      <c r="H48" s="25">
        <f t="shared" si="7"/>
        <v>0</v>
      </c>
      <c r="I48" s="26">
        <f t="shared" si="8"/>
        <v>0</v>
      </c>
      <c r="J48" s="26">
        <f t="shared" si="9"/>
        <v>0</v>
      </c>
      <c r="K48" s="26">
        <f t="shared" si="10"/>
        <v>0</v>
      </c>
      <c r="L48" s="27">
        <f t="shared" si="0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294">
        <f t="shared" si="1"/>
        <v>0</v>
      </c>
      <c r="C49" s="23">
        <f t="shared" si="2"/>
        <v>0</v>
      </c>
      <c r="D49" s="295">
        <f t="shared" si="3"/>
        <v>0</v>
      </c>
      <c r="E49" s="24">
        <f t="shared" si="4"/>
        <v>0</v>
      </c>
      <c r="F49" s="25">
        <f t="shared" si="5"/>
        <v>0</v>
      </c>
      <c r="G49" s="25">
        <f t="shared" si="6"/>
        <v>0</v>
      </c>
      <c r="H49" s="25">
        <f t="shared" si="7"/>
        <v>0</v>
      </c>
      <c r="I49" s="26">
        <f t="shared" si="8"/>
        <v>0</v>
      </c>
      <c r="J49" s="26">
        <f t="shared" si="9"/>
        <v>0</v>
      </c>
      <c r="K49" s="26">
        <f t="shared" si="10"/>
        <v>0</v>
      </c>
      <c r="L49" s="27">
        <f t="shared" si="0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294">
        <f t="shared" si="1"/>
        <v>0</v>
      </c>
      <c r="C50" s="23">
        <f t="shared" si="2"/>
        <v>0</v>
      </c>
      <c r="D50" s="295">
        <f t="shared" si="3"/>
        <v>0</v>
      </c>
      <c r="E50" s="24">
        <f t="shared" si="4"/>
        <v>0</v>
      </c>
      <c r="F50" s="25">
        <f t="shared" si="5"/>
        <v>0</v>
      </c>
      <c r="G50" s="25">
        <f t="shared" si="6"/>
        <v>0</v>
      </c>
      <c r="H50" s="25">
        <f t="shared" si="7"/>
        <v>0</v>
      </c>
      <c r="I50" s="26">
        <f t="shared" si="8"/>
        <v>0</v>
      </c>
      <c r="J50" s="26">
        <f t="shared" si="9"/>
        <v>0</v>
      </c>
      <c r="K50" s="26">
        <f t="shared" si="10"/>
        <v>0</v>
      </c>
      <c r="L50" s="27">
        <f t="shared" si="0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294">
        <f t="shared" si="1"/>
        <v>0</v>
      </c>
      <c r="C51" s="23">
        <f t="shared" si="2"/>
        <v>0</v>
      </c>
      <c r="D51" s="295">
        <f t="shared" si="3"/>
        <v>0</v>
      </c>
      <c r="E51" s="24">
        <f t="shared" si="4"/>
        <v>0</v>
      </c>
      <c r="F51" s="25">
        <f t="shared" si="5"/>
        <v>0</v>
      </c>
      <c r="G51" s="25">
        <f t="shared" si="6"/>
        <v>0</v>
      </c>
      <c r="H51" s="25">
        <f t="shared" si="7"/>
        <v>0</v>
      </c>
      <c r="I51" s="26">
        <f t="shared" si="8"/>
        <v>0</v>
      </c>
      <c r="J51" s="26">
        <f t="shared" si="9"/>
        <v>0</v>
      </c>
      <c r="K51" s="26">
        <f t="shared" si="10"/>
        <v>0</v>
      </c>
      <c r="L51" s="27">
        <f t="shared" si="0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1"/>
      <c r="B52" s="2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1"/>
      <c r="B53" s="2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1"/>
      <c r="B54" s="11" t="s">
        <v>20</v>
      </c>
      <c r="C54" s="33" t="s">
        <v>21</v>
      </c>
      <c r="D54" s="34"/>
      <c r="E54" s="34"/>
      <c r="F54" s="35" t="s">
        <v>22</v>
      </c>
      <c r="G54" s="35" t="s">
        <v>23</v>
      </c>
      <c r="H54" s="14" t="s">
        <v>24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customHeight="1">
      <c r="A55" s="1"/>
      <c r="B55" s="36" t="s">
        <v>25</v>
      </c>
      <c r="C55" s="37">
        <v>5</v>
      </c>
      <c r="D55" s="2"/>
      <c r="E55" s="2"/>
      <c r="F55" s="38" t="s">
        <v>26</v>
      </c>
      <c r="G55" s="39" t="s">
        <v>27</v>
      </c>
      <c r="H55" s="40">
        <f>COUNTIF(M10:M51, "A+ (Plus)")</f>
        <v>0</v>
      </c>
      <c r="I55" s="1"/>
      <c r="J55" s="1"/>
      <c r="K55" s="1"/>
      <c r="L55" s="1"/>
      <c r="M55" s="1"/>
      <c r="N55" s="1"/>
      <c r="O55" s="41" t="s">
        <v>28</v>
      </c>
      <c r="P55" s="26">
        <f t="shared" ref="P55:V55" si="11">MAX(P10:P49)</f>
        <v>0</v>
      </c>
      <c r="Q55" s="42">
        <f t="shared" si="11"/>
        <v>0</v>
      </c>
      <c r="R55" s="42">
        <f t="shared" si="11"/>
        <v>0</v>
      </c>
      <c r="S55" s="42">
        <f t="shared" si="11"/>
        <v>0</v>
      </c>
      <c r="T55" s="42">
        <f t="shared" si="11"/>
        <v>0</v>
      </c>
      <c r="U55" s="42">
        <f t="shared" si="11"/>
        <v>0</v>
      </c>
      <c r="V55" s="42">
        <f t="shared" si="11"/>
        <v>0</v>
      </c>
      <c r="W55" s="1"/>
      <c r="X55" s="1"/>
      <c r="Y55" s="1"/>
      <c r="Z55" s="1"/>
      <c r="AA55" s="1"/>
    </row>
    <row r="56" spans="1:27" ht="15.75" customHeight="1">
      <c r="A56" s="1"/>
      <c r="B56" s="36" t="s">
        <v>11</v>
      </c>
      <c r="C56" s="37">
        <v>5</v>
      </c>
      <c r="D56" s="2"/>
      <c r="E56" s="2"/>
      <c r="F56" s="38" t="s">
        <v>162</v>
      </c>
      <c r="G56" s="40" t="s">
        <v>29</v>
      </c>
      <c r="H56" s="40">
        <f>COUNTIF(M10:M51, "A (Plain)")</f>
        <v>0</v>
      </c>
      <c r="I56" s="1"/>
      <c r="J56" s="1"/>
      <c r="K56" s="1"/>
      <c r="L56" s="1"/>
      <c r="M56" s="1"/>
      <c r="N56" s="1"/>
      <c r="O56" s="41" t="s">
        <v>30</v>
      </c>
      <c r="P56" s="26" t="e">
        <f t="shared" ref="P56:V56" si="12">AVERAGE(P10:P49)</f>
        <v>#DIV/0!</v>
      </c>
      <c r="Q56" s="26" t="e">
        <f t="shared" si="12"/>
        <v>#DIV/0!</v>
      </c>
      <c r="R56" s="26" t="e">
        <f t="shared" si="12"/>
        <v>#DIV/0!</v>
      </c>
      <c r="S56" s="26" t="e">
        <f t="shared" si="12"/>
        <v>#DIV/0!</v>
      </c>
      <c r="T56" s="26" t="e">
        <f t="shared" si="12"/>
        <v>#DIV/0!</v>
      </c>
      <c r="U56" s="26" t="e">
        <f t="shared" si="12"/>
        <v>#DIV/0!</v>
      </c>
      <c r="V56" s="26" t="e">
        <f t="shared" si="12"/>
        <v>#DIV/0!</v>
      </c>
      <c r="W56" s="1"/>
      <c r="X56" s="1"/>
      <c r="Y56" s="1"/>
      <c r="Z56" s="1"/>
      <c r="AA56" s="1"/>
    </row>
    <row r="57" spans="1:27" ht="15.75" customHeight="1">
      <c r="A57" s="1"/>
      <c r="B57" s="21" t="s">
        <v>31</v>
      </c>
      <c r="C57" s="43">
        <v>15</v>
      </c>
      <c r="D57" s="2"/>
      <c r="E57" s="2"/>
      <c r="F57" s="38" t="s">
        <v>163</v>
      </c>
      <c r="G57" s="40" t="s">
        <v>33</v>
      </c>
      <c r="H57" s="40">
        <f>COUNTIF(M10:M51, "A- (Minus)")</f>
        <v>0</v>
      </c>
      <c r="I57" s="1"/>
      <c r="J57" s="1"/>
      <c r="K57" s="1"/>
      <c r="L57" s="1"/>
      <c r="M57" s="1"/>
      <c r="N57" s="1"/>
      <c r="O57" s="41" t="s">
        <v>34</v>
      </c>
      <c r="P57" s="26">
        <f t="shared" ref="P57:V57" si="13">MIN(P10:P49)</f>
        <v>0</v>
      </c>
      <c r="Q57" s="42">
        <f t="shared" si="13"/>
        <v>0</v>
      </c>
      <c r="R57" s="42">
        <f t="shared" si="13"/>
        <v>0</v>
      </c>
      <c r="S57" s="42">
        <f t="shared" si="13"/>
        <v>0</v>
      </c>
      <c r="T57" s="42">
        <f t="shared" si="13"/>
        <v>0</v>
      </c>
      <c r="U57" s="42">
        <f t="shared" si="13"/>
        <v>0</v>
      </c>
      <c r="V57" s="42">
        <f t="shared" si="13"/>
        <v>0</v>
      </c>
      <c r="W57" s="1"/>
      <c r="X57" s="1"/>
      <c r="Y57" s="1"/>
      <c r="Z57" s="1"/>
      <c r="AA57" s="1"/>
    </row>
    <row r="58" spans="1:27" ht="15.75" customHeight="1">
      <c r="A58" s="1"/>
      <c r="B58" s="21" t="s">
        <v>12</v>
      </c>
      <c r="C58" s="43">
        <v>10</v>
      </c>
      <c r="D58" s="2"/>
      <c r="E58" s="2"/>
      <c r="F58" s="38" t="s">
        <v>32</v>
      </c>
      <c r="G58" s="40" t="s">
        <v>36</v>
      </c>
      <c r="H58" s="40">
        <f>COUNTIF(M10:M51, "B+ (Plus)")</f>
        <v>0</v>
      </c>
      <c r="I58" s="1"/>
      <c r="J58" s="1"/>
      <c r="K58" s="1"/>
      <c r="L58" s="1"/>
      <c r="M58" s="1"/>
      <c r="N58" s="1"/>
      <c r="O58" s="1"/>
      <c r="P58" s="1"/>
      <c r="Q58" s="44"/>
      <c r="R58" s="44"/>
      <c r="S58" s="44"/>
      <c r="T58" s="44"/>
      <c r="U58" s="44"/>
      <c r="V58" s="44"/>
      <c r="W58" s="1"/>
      <c r="X58" s="1"/>
      <c r="Y58" s="1"/>
      <c r="Z58" s="1"/>
      <c r="AA58" s="1"/>
    </row>
    <row r="59" spans="1:27" ht="15.75" customHeight="1">
      <c r="A59" s="1"/>
      <c r="B59" s="21" t="s">
        <v>37</v>
      </c>
      <c r="C59" s="43">
        <v>25</v>
      </c>
      <c r="D59" s="2"/>
      <c r="E59" s="2"/>
      <c r="F59" s="38" t="s">
        <v>35</v>
      </c>
      <c r="G59" s="40" t="s">
        <v>39</v>
      </c>
      <c r="H59" s="40">
        <f>COUNTIF(M10:M51, "B (Plain)")</f>
        <v>0</v>
      </c>
      <c r="I59" s="1"/>
      <c r="J59" s="1"/>
      <c r="K59" s="1"/>
      <c r="L59" s="1"/>
      <c r="M59" s="1"/>
      <c r="N59" s="1"/>
      <c r="O59" s="1"/>
      <c r="P59" s="1"/>
      <c r="Q59" s="44"/>
      <c r="R59" s="44"/>
      <c r="S59" s="44"/>
      <c r="T59" s="44"/>
      <c r="U59" s="44"/>
      <c r="V59" s="44"/>
      <c r="W59" s="1"/>
      <c r="X59" s="1"/>
      <c r="Y59" s="1"/>
      <c r="Z59" s="1"/>
      <c r="AA59" s="1"/>
    </row>
    <row r="60" spans="1:27" ht="15.75" customHeight="1">
      <c r="A60" s="1"/>
      <c r="B60" s="21" t="s">
        <v>40</v>
      </c>
      <c r="C60" s="43">
        <v>0</v>
      </c>
      <c r="D60" s="2"/>
      <c r="E60" s="2"/>
      <c r="F60" s="38" t="s">
        <v>38</v>
      </c>
      <c r="G60" s="40" t="s">
        <v>42</v>
      </c>
      <c r="H60" s="40">
        <f>COUNTIF($M$10:$M$51, "B- (Minus)")</f>
        <v>0</v>
      </c>
      <c r="I60" s="1"/>
      <c r="J60" s="1"/>
      <c r="K60" s="1"/>
      <c r="L60" s="1"/>
      <c r="M60" s="1"/>
      <c r="N60" s="1"/>
      <c r="O60" s="1"/>
      <c r="P60" s="1"/>
      <c r="Q60" s="44"/>
      <c r="R60" s="44"/>
      <c r="S60" s="44"/>
      <c r="T60" s="44"/>
      <c r="U60" s="44"/>
      <c r="V60" s="44"/>
      <c r="W60" s="1"/>
      <c r="X60" s="1"/>
      <c r="Y60" s="1"/>
      <c r="Z60" s="1"/>
      <c r="AA60" s="1"/>
    </row>
    <row r="61" spans="1:27" ht="15.75" customHeight="1">
      <c r="A61" s="1"/>
      <c r="B61" s="21" t="s">
        <v>43</v>
      </c>
      <c r="C61" s="43">
        <v>40</v>
      </c>
      <c r="D61" s="2"/>
      <c r="E61" s="2"/>
      <c r="F61" s="38" t="s">
        <v>41</v>
      </c>
      <c r="G61" s="40" t="s">
        <v>45</v>
      </c>
      <c r="H61" s="40">
        <f>COUNTIF(M10:M51, "C+ (Plus)")</f>
        <v>0</v>
      </c>
      <c r="I61" s="1"/>
      <c r="J61" s="1"/>
      <c r="K61" s="1"/>
      <c r="L61" s="1"/>
      <c r="M61" s="1"/>
      <c r="N61" s="1"/>
      <c r="O61" s="1"/>
      <c r="P61" s="1"/>
      <c r="Q61" s="44"/>
      <c r="R61" s="44"/>
      <c r="S61" s="44"/>
      <c r="T61" s="44"/>
      <c r="U61" s="44"/>
      <c r="V61" s="44"/>
      <c r="W61" s="1"/>
      <c r="X61" s="1"/>
      <c r="Y61" s="1"/>
      <c r="Z61" s="1"/>
      <c r="AA61" s="1"/>
    </row>
    <row r="62" spans="1:27" ht="15.75" customHeight="1">
      <c r="A62" s="1"/>
      <c r="B62" s="21" t="s">
        <v>46</v>
      </c>
      <c r="C62" s="21">
        <f>SUM(C55:C61)</f>
        <v>100</v>
      </c>
      <c r="D62" s="45"/>
      <c r="E62" s="45"/>
      <c r="F62" s="38" t="s">
        <v>44</v>
      </c>
      <c r="G62" s="40" t="s">
        <v>47</v>
      </c>
      <c r="H62" s="40">
        <f>COUNTIF(M10:M51, "C (Plain)")</f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1"/>
      <c r="B63" s="2"/>
      <c r="C63" s="3"/>
      <c r="D63" s="1"/>
      <c r="E63" s="1"/>
      <c r="F63" s="38" t="s">
        <v>164</v>
      </c>
      <c r="G63" s="40" t="s">
        <v>48</v>
      </c>
      <c r="H63" s="40">
        <f>COUNTIF(M10:M51, "D (Plain)")</f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2"/>
      <c r="C64" s="3"/>
      <c r="D64" s="1"/>
      <c r="E64" s="1"/>
      <c r="F64" s="38" t="s">
        <v>49</v>
      </c>
      <c r="G64" s="40" t="s">
        <v>50</v>
      </c>
      <c r="H64" s="40">
        <f>COUNTIF(M10:M51, "F (Fail)")</f>
        <v>42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1"/>
      <c r="B65" s="2"/>
      <c r="C65" s="3"/>
      <c r="D65" s="1"/>
      <c r="E65" s="1"/>
      <c r="F65" s="46" t="s">
        <v>51</v>
      </c>
      <c r="G65" s="40" t="s">
        <v>52</v>
      </c>
      <c r="H65" s="40">
        <f>COUNTIF(M10:M51, "I (Incomplete)")</f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1"/>
      <c r="B66" s="213" t="str">
        <f>GradeSheet!$H$5</f>
        <v>Rubaiya Hafiz</v>
      </c>
      <c r="C66" s="214"/>
      <c r="D66" s="1"/>
      <c r="E66" s="1"/>
      <c r="F66" s="46" t="s">
        <v>53</v>
      </c>
      <c r="G66" s="40" t="s">
        <v>54</v>
      </c>
      <c r="H66" s="40">
        <f>COUNTIF(M10:M51, "W (Withdrawn)")</f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1"/>
      <c r="B67" s="215" t="s">
        <v>55</v>
      </c>
      <c r="C67" s="216"/>
      <c r="D67" s="1"/>
      <c r="E67" s="1"/>
      <c r="F67" s="46" t="s">
        <v>56</v>
      </c>
      <c r="G67" s="46"/>
      <c r="H67" s="40">
        <f>SUM(H55:H66)</f>
        <v>42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"/>
      <c r="B68" s="215" t="s">
        <v>57</v>
      </c>
      <c r="C68" s="216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1"/>
      <c r="B69" s="2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1"/>
      <c r="B70" s="2"/>
      <c r="C70" s="3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1"/>
      <c r="B71" s="2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2"/>
      <c r="C75" s="3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2"/>
      <c r="C76" s="3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2"/>
      <c r="C77" s="3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B78" s="2"/>
      <c r="C78" s="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1"/>
      <c r="B79" s="2"/>
      <c r="C79" s="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1"/>
      <c r="B83" s="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6.5" customHeight="1">
      <c r="A84" s="1"/>
      <c r="B84" s="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66:C66"/>
    <mergeCell ref="B67:C67"/>
    <mergeCell ref="B68:C68"/>
    <mergeCell ref="H2:J2"/>
    <mergeCell ref="H3:J3"/>
    <mergeCell ref="H4:J4"/>
    <mergeCell ref="H5:J5"/>
    <mergeCell ref="A7:M7"/>
  </mergeCells>
  <phoneticPr fontId="26" type="noConversion"/>
  <pageMargins left="0.60938967136150235" right="0.85727699530516432" top="1" bottom="1" header="0" footer="0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>
      <selection activeCell="E11" sqref="E11"/>
    </sheetView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58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49</v>
      </c>
      <c r="B2" s="50">
        <v>0</v>
      </c>
      <c r="C2" s="50" t="s">
        <v>59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164</v>
      </c>
      <c r="B3" s="52">
        <v>50</v>
      </c>
      <c r="C3" s="52" t="s">
        <v>60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44</v>
      </c>
      <c r="B4" s="52">
        <v>60</v>
      </c>
      <c r="C4" s="52" t="s">
        <v>61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41</v>
      </c>
      <c r="B5" s="52">
        <v>65</v>
      </c>
      <c r="C5" s="52" t="s">
        <v>62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38</v>
      </c>
      <c r="B6" s="52">
        <v>70</v>
      </c>
      <c r="C6" s="52" t="s">
        <v>63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35</v>
      </c>
      <c r="B7" s="52">
        <v>75</v>
      </c>
      <c r="C7" s="52" t="s">
        <v>64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32</v>
      </c>
      <c r="B8" s="52">
        <v>80</v>
      </c>
      <c r="C8" s="52" t="s">
        <v>65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163</v>
      </c>
      <c r="B9" s="52">
        <v>85</v>
      </c>
      <c r="C9" s="52" t="s">
        <v>66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162</v>
      </c>
      <c r="B10" s="52">
        <v>90</v>
      </c>
      <c r="C10" s="52" t="s">
        <v>67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 thickBot="1">
      <c r="A11" s="54" t="s">
        <v>26</v>
      </c>
      <c r="B11" s="55">
        <v>95</v>
      </c>
      <c r="C11" s="56" t="s">
        <v>68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A3:A11">
    <sortCondition ref="A3:A11"/>
  </sortState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showGridLines="0" topLeftCell="A14" workbookViewId="0">
      <selection activeCell="AT12" sqref="AT12"/>
    </sheetView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22" t="s">
        <v>0</v>
      </c>
      <c r="C2" s="218"/>
      <c r="D2" s="219"/>
      <c r="E2" s="223" t="str">
        <f>GradeSheet!$H$2</f>
        <v>CSE</v>
      </c>
      <c r="F2" s="218"/>
      <c r="G2" s="218"/>
      <c r="H2" s="218"/>
      <c r="I2" s="218"/>
      <c r="J2" s="218"/>
      <c r="K2" s="218"/>
      <c r="L2" s="218"/>
      <c r="M2" s="218"/>
      <c r="N2" s="219"/>
      <c r="O2" s="222" t="str">
        <f>CONCATENATE("Section ", GradeSheet!$L$2,)</f>
        <v>Section 1</v>
      </c>
      <c r="P2" s="218"/>
      <c r="Q2" s="219"/>
      <c r="R2" s="59"/>
      <c r="S2" s="58"/>
      <c r="T2" s="224" t="s">
        <v>69</v>
      </c>
      <c r="U2" s="218"/>
      <c r="V2" s="218"/>
      <c r="W2" s="218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9"/>
      <c r="AO2" s="60"/>
      <c r="AP2" s="60"/>
      <c r="AQ2" s="60"/>
      <c r="AR2" s="58"/>
    </row>
    <row r="3" spans="1:44" ht="16.5" customHeight="1">
      <c r="A3" s="58"/>
      <c r="B3" s="225" t="s">
        <v>3</v>
      </c>
      <c r="C3" s="218"/>
      <c r="D3" s="219"/>
      <c r="E3" s="226" t="str">
        <f>GradeSheet!$H$3</f>
        <v>Operating Systems</v>
      </c>
      <c r="F3" s="218"/>
      <c r="G3" s="218"/>
      <c r="H3" s="218"/>
      <c r="I3" s="218"/>
      <c r="J3" s="218"/>
      <c r="K3" s="218"/>
      <c r="L3" s="218"/>
      <c r="M3" s="218"/>
      <c r="N3" s="219"/>
      <c r="O3" s="225" t="str">
        <f>CONCATENATE(GradeSheet!$H$67," students")</f>
        <v>42 students</v>
      </c>
      <c r="P3" s="218"/>
      <c r="Q3" s="219"/>
      <c r="R3" s="59"/>
      <c r="S3" s="58"/>
      <c r="T3" s="221" t="s">
        <v>70</v>
      </c>
      <c r="U3" s="218"/>
      <c r="V3" s="218"/>
      <c r="W3" s="218"/>
      <c r="X3" s="218"/>
      <c r="Y3" s="218"/>
      <c r="Z3" s="218"/>
      <c r="AA3" s="218"/>
      <c r="AB3" s="218"/>
      <c r="AC3" s="218"/>
      <c r="AD3" s="218"/>
      <c r="AE3" s="218"/>
      <c r="AF3" s="219"/>
      <c r="AG3" s="221" t="s">
        <v>71</v>
      </c>
      <c r="AH3" s="218"/>
      <c r="AI3" s="218"/>
      <c r="AJ3" s="218"/>
      <c r="AK3" s="218"/>
      <c r="AL3" s="218"/>
      <c r="AM3" s="218"/>
      <c r="AN3" s="219"/>
      <c r="AO3" s="60"/>
      <c r="AP3" s="60"/>
      <c r="AQ3" s="60"/>
      <c r="AR3" s="58"/>
    </row>
    <row r="4" spans="1:44" ht="16.5" customHeight="1">
      <c r="A4" s="58"/>
      <c r="B4" s="227" t="s">
        <v>7</v>
      </c>
      <c r="C4" s="218"/>
      <c r="D4" s="219"/>
      <c r="E4" s="228">
        <f>GradeSheet!$H$4</f>
        <v>3</v>
      </c>
      <c r="F4" s="218"/>
      <c r="G4" s="218"/>
      <c r="H4" s="218"/>
      <c r="I4" s="218"/>
      <c r="J4" s="218"/>
      <c r="K4" s="218"/>
      <c r="L4" s="218"/>
      <c r="M4" s="218"/>
      <c r="N4" s="219"/>
      <c r="O4" s="228" t="str">
        <f>GradeSheet!$L$3</f>
        <v>Spring 2025</v>
      </c>
      <c r="P4" s="218"/>
      <c r="Q4" s="219"/>
      <c r="R4" s="59"/>
      <c r="S4" s="58"/>
      <c r="T4" s="229">
        <v>1</v>
      </c>
      <c r="U4" s="218"/>
      <c r="V4" s="218"/>
      <c r="W4" s="218"/>
      <c r="X4" s="218"/>
      <c r="Y4" s="218"/>
      <c r="Z4" s="218"/>
      <c r="AA4" s="218"/>
      <c r="AB4" s="218"/>
      <c r="AC4" s="218"/>
      <c r="AD4" s="218"/>
      <c r="AE4" s="218"/>
      <c r="AF4" s="219"/>
      <c r="AG4" s="230">
        <v>4</v>
      </c>
      <c r="AH4" s="218"/>
      <c r="AI4" s="218"/>
      <c r="AJ4" s="218"/>
      <c r="AK4" s="218"/>
      <c r="AL4" s="218"/>
      <c r="AM4" s="218"/>
      <c r="AN4" s="219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29">
        <v>2</v>
      </c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9"/>
      <c r="AG5" s="230">
        <v>4</v>
      </c>
      <c r="AH5" s="218"/>
      <c r="AI5" s="218"/>
      <c r="AJ5" s="218"/>
      <c r="AK5" s="218"/>
      <c r="AL5" s="218"/>
      <c r="AM5" s="218"/>
      <c r="AN5" s="219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230">
        <v>3</v>
      </c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9"/>
      <c r="AG6" s="230">
        <v>5</v>
      </c>
      <c r="AH6" s="218"/>
      <c r="AI6" s="218"/>
      <c r="AJ6" s="218"/>
      <c r="AK6" s="218"/>
      <c r="AL6" s="218"/>
      <c r="AM6" s="218"/>
      <c r="AN6" s="219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30">
        <v>4</v>
      </c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9"/>
      <c r="AG7" s="230">
        <v>5</v>
      </c>
      <c r="AH7" s="218"/>
      <c r="AI7" s="218"/>
      <c r="AJ7" s="218"/>
      <c r="AK7" s="218"/>
      <c r="AL7" s="218"/>
      <c r="AM7" s="218"/>
      <c r="AN7" s="219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230">
        <v>5</v>
      </c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9"/>
      <c r="AG8" s="230">
        <v>6</v>
      </c>
      <c r="AH8" s="218"/>
      <c r="AI8" s="218"/>
      <c r="AJ8" s="218"/>
      <c r="AK8" s="218"/>
      <c r="AL8" s="218"/>
      <c r="AM8" s="218"/>
      <c r="AN8" s="219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230"/>
      <c r="U9" s="218"/>
      <c r="V9" s="218"/>
      <c r="W9" s="218"/>
      <c r="X9" s="218"/>
      <c r="Y9" s="218"/>
      <c r="Z9" s="218"/>
      <c r="AA9" s="218"/>
      <c r="AB9" s="218"/>
      <c r="AC9" s="218"/>
      <c r="AD9" s="218"/>
      <c r="AE9" s="218"/>
      <c r="AF9" s="219"/>
      <c r="AG9" s="230"/>
      <c r="AH9" s="218"/>
      <c r="AI9" s="218"/>
      <c r="AJ9" s="218"/>
      <c r="AK9" s="218"/>
      <c r="AL9" s="218"/>
      <c r="AM9" s="218"/>
      <c r="AN9" s="219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230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9"/>
      <c r="AG10" s="230"/>
      <c r="AH10" s="218"/>
      <c r="AI10" s="218"/>
      <c r="AJ10" s="218"/>
      <c r="AK10" s="218"/>
      <c r="AL10" s="218"/>
      <c r="AM10" s="218"/>
      <c r="AN10" s="219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230"/>
      <c r="U11" s="218"/>
      <c r="V11" s="218"/>
      <c r="W11" s="218"/>
      <c r="X11" s="218"/>
      <c r="Y11" s="218"/>
      <c r="Z11" s="218"/>
      <c r="AA11" s="218"/>
      <c r="AB11" s="218"/>
      <c r="AC11" s="218"/>
      <c r="AD11" s="218"/>
      <c r="AE11" s="218"/>
      <c r="AF11" s="219"/>
      <c r="AG11" s="230"/>
      <c r="AH11" s="218"/>
      <c r="AI11" s="218"/>
      <c r="AJ11" s="218"/>
      <c r="AK11" s="218"/>
      <c r="AL11" s="218"/>
      <c r="AM11" s="218"/>
      <c r="AN11" s="219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230"/>
      <c r="U12" s="218"/>
      <c r="V12" s="218"/>
      <c r="W12" s="218"/>
      <c r="X12" s="218"/>
      <c r="Y12" s="218"/>
      <c r="Z12" s="218"/>
      <c r="AA12" s="218"/>
      <c r="AB12" s="218"/>
      <c r="AC12" s="218"/>
      <c r="AD12" s="218"/>
      <c r="AE12" s="218"/>
      <c r="AF12" s="219"/>
      <c r="AG12" s="230"/>
      <c r="AH12" s="218"/>
      <c r="AI12" s="218"/>
      <c r="AJ12" s="218"/>
      <c r="AK12" s="218"/>
      <c r="AL12" s="218"/>
      <c r="AM12" s="218"/>
      <c r="AN12" s="219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31" t="s">
        <v>72</v>
      </c>
      <c r="U14" s="214"/>
      <c r="V14" s="214"/>
      <c r="W14" s="214"/>
      <c r="X14" s="214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73</v>
      </c>
      <c r="V15" s="231" t="s">
        <v>74</v>
      </c>
      <c r="W15" s="214"/>
      <c r="X15" s="214"/>
      <c r="Y15" s="232" t="s">
        <v>75</v>
      </c>
      <c r="Z15" s="219"/>
      <c r="AA15" s="64"/>
      <c r="AB15" s="64" t="s">
        <v>76</v>
      </c>
      <c r="AC15" s="231" t="s">
        <v>77</v>
      </c>
      <c r="AD15" s="214"/>
      <c r="AE15" s="214"/>
      <c r="AF15" s="221"/>
      <c r="AG15" s="218"/>
      <c r="AH15" s="219"/>
      <c r="AI15" s="62"/>
      <c r="AJ15" s="64" t="s">
        <v>78</v>
      </c>
      <c r="AK15" s="65" t="s">
        <v>79</v>
      </c>
      <c r="AL15" s="221"/>
      <c r="AM15" s="219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31" t="s">
        <v>80</v>
      </c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33"/>
      <c r="U17" s="234"/>
      <c r="V17" s="234"/>
      <c r="W17" s="234"/>
      <c r="X17" s="234"/>
      <c r="Y17" s="234"/>
      <c r="Z17" s="234"/>
      <c r="AA17" s="234"/>
      <c r="AB17" s="234"/>
      <c r="AC17" s="234"/>
      <c r="AD17" s="234"/>
      <c r="AE17" s="234"/>
      <c r="AF17" s="234"/>
      <c r="AG17" s="234"/>
      <c r="AH17" s="234"/>
      <c r="AI17" s="234"/>
      <c r="AJ17" s="234"/>
      <c r="AK17" s="234"/>
      <c r="AL17" s="234"/>
      <c r="AM17" s="234"/>
      <c r="AN17" s="234"/>
      <c r="AO17" s="234"/>
      <c r="AP17" s="234"/>
      <c r="AQ17" s="235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36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37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38"/>
      <c r="U19" s="239"/>
      <c r="V19" s="239"/>
      <c r="W19" s="239"/>
      <c r="X19" s="239"/>
      <c r="Y19" s="239"/>
      <c r="Z19" s="239"/>
      <c r="AA19" s="239"/>
      <c r="AB19" s="239"/>
      <c r="AC19" s="239"/>
      <c r="AD19" s="239"/>
      <c r="AE19" s="239"/>
      <c r="AF19" s="239"/>
      <c r="AG19" s="239"/>
      <c r="AH19" s="239"/>
      <c r="AI19" s="239"/>
      <c r="AJ19" s="239"/>
      <c r="AK19" s="239"/>
      <c r="AL19" s="239"/>
      <c r="AM19" s="239"/>
      <c r="AN19" s="239"/>
      <c r="AO19" s="239"/>
      <c r="AP19" s="239"/>
      <c r="AQ19" s="240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24" t="s">
        <v>81</v>
      </c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9"/>
      <c r="AR21" s="62"/>
    </row>
    <row r="22" spans="1:44" ht="16.5" customHeight="1">
      <c r="A22" s="62"/>
      <c r="B22" s="241" t="s">
        <v>82</v>
      </c>
      <c r="C22" s="218"/>
      <c r="D22" s="218"/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9"/>
      <c r="P22" s="62"/>
      <c r="Q22" s="62"/>
      <c r="R22" s="62"/>
      <c r="S22" s="62"/>
      <c r="T22" s="221" t="s">
        <v>83</v>
      </c>
      <c r="U22" s="218"/>
      <c r="V22" s="218"/>
      <c r="W22" s="218"/>
      <c r="X22" s="218"/>
      <c r="Y22" s="218"/>
      <c r="Z22" s="218"/>
      <c r="AA22" s="218"/>
      <c r="AB22" s="218"/>
      <c r="AC22" s="218"/>
      <c r="AD22" s="218"/>
      <c r="AE22" s="218"/>
      <c r="AF22" s="219"/>
      <c r="AG22" s="221" t="s">
        <v>71</v>
      </c>
      <c r="AH22" s="218"/>
      <c r="AI22" s="218"/>
      <c r="AJ22" s="218"/>
      <c r="AK22" s="219"/>
      <c r="AL22" s="221" t="s">
        <v>84</v>
      </c>
      <c r="AM22" s="218"/>
      <c r="AN22" s="218"/>
      <c r="AO22" s="218"/>
      <c r="AP22" s="218"/>
      <c r="AQ22" s="219"/>
      <c r="AR22" s="62"/>
    </row>
    <row r="23" spans="1:44" ht="16.5" customHeight="1">
      <c r="A23" s="62"/>
      <c r="B23" s="66" t="s">
        <v>27</v>
      </c>
      <c r="C23" s="66" t="s">
        <v>29</v>
      </c>
      <c r="D23" s="66" t="s">
        <v>33</v>
      </c>
      <c r="E23" s="66" t="s">
        <v>36</v>
      </c>
      <c r="F23" s="66" t="s">
        <v>39</v>
      </c>
      <c r="G23" s="66" t="s">
        <v>42</v>
      </c>
      <c r="H23" s="66" t="s">
        <v>45</v>
      </c>
      <c r="I23" s="66" t="s">
        <v>47</v>
      </c>
      <c r="J23" s="66" t="s">
        <v>48</v>
      </c>
      <c r="K23" s="66" t="s">
        <v>50</v>
      </c>
      <c r="L23" s="66" t="s">
        <v>52</v>
      </c>
      <c r="M23" s="66" t="s">
        <v>54</v>
      </c>
      <c r="N23" s="242" t="s">
        <v>46</v>
      </c>
      <c r="O23" s="219"/>
      <c r="P23" s="62"/>
      <c r="Q23" s="62"/>
      <c r="R23" s="62"/>
      <c r="S23" s="62"/>
      <c r="T23" s="230" t="s">
        <v>85</v>
      </c>
      <c r="U23" s="218"/>
      <c r="V23" s="218"/>
      <c r="W23" s="218"/>
      <c r="X23" s="218"/>
      <c r="Y23" s="218"/>
      <c r="Z23" s="218"/>
      <c r="AA23" s="218"/>
      <c r="AB23" s="218"/>
      <c r="AC23" s="218"/>
      <c r="AD23" s="218"/>
      <c r="AE23" s="218"/>
      <c r="AF23" s="219"/>
      <c r="AG23" s="230">
        <v>20</v>
      </c>
      <c r="AH23" s="218"/>
      <c r="AI23" s="218"/>
      <c r="AJ23" s="218"/>
      <c r="AK23" s="219"/>
      <c r="AL23" s="243">
        <f>AG23/P33</f>
        <v>1.0526315789473684</v>
      </c>
      <c r="AM23" s="218"/>
      <c r="AN23" s="218"/>
      <c r="AO23" s="218"/>
      <c r="AP23" s="218"/>
      <c r="AQ23" s="219"/>
      <c r="AR23" s="59"/>
    </row>
    <row r="24" spans="1:44" ht="16.5" customHeight="1">
      <c r="A24" s="62"/>
      <c r="B24" s="67">
        <f>GradeSheet!$H$55</f>
        <v>0</v>
      </c>
      <c r="C24" s="67">
        <f>GradeSheet!$H$56</f>
        <v>0</v>
      </c>
      <c r="D24" s="67">
        <f>GradeSheet!$H$57</f>
        <v>0</v>
      </c>
      <c r="E24" s="67">
        <f>GradeSheet!$H$58</f>
        <v>0</v>
      </c>
      <c r="F24" s="67">
        <f>GradeSheet!$H$59</f>
        <v>0</v>
      </c>
      <c r="G24" s="67">
        <f>GradeSheet!$H$60</f>
        <v>0</v>
      </c>
      <c r="H24" s="67">
        <f>GradeSheet!$H$61</f>
        <v>0</v>
      </c>
      <c r="I24" s="67">
        <f>GradeSheet!$H$62</f>
        <v>0</v>
      </c>
      <c r="J24" s="67">
        <f>GradeSheet!$H$63</f>
        <v>0</v>
      </c>
      <c r="K24" s="67">
        <f>GradeSheet!$H$64</f>
        <v>42</v>
      </c>
      <c r="L24" s="67">
        <f>GradeSheet!$H$65</f>
        <v>0</v>
      </c>
      <c r="M24" s="67">
        <f>GradeSheet!$H$66</f>
        <v>0</v>
      </c>
      <c r="N24" s="248">
        <f t="shared" ref="N24:N25" si="0">SUM(B24:M24)</f>
        <v>42</v>
      </c>
      <c r="O24" s="219"/>
      <c r="P24" s="62"/>
      <c r="Q24" s="62"/>
      <c r="R24" s="62"/>
      <c r="S24" s="62"/>
      <c r="T24" s="230" t="s">
        <v>86</v>
      </c>
      <c r="U24" s="218"/>
      <c r="V24" s="218"/>
      <c r="W24" s="218"/>
      <c r="X24" s="218"/>
      <c r="Y24" s="218"/>
      <c r="Z24" s="218"/>
      <c r="AA24" s="218"/>
      <c r="AB24" s="218"/>
      <c r="AC24" s="218"/>
      <c r="AD24" s="218"/>
      <c r="AE24" s="218"/>
      <c r="AF24" s="219"/>
      <c r="AG24" s="230">
        <v>10</v>
      </c>
      <c r="AH24" s="218"/>
      <c r="AI24" s="218"/>
      <c r="AJ24" s="218"/>
      <c r="AK24" s="219"/>
      <c r="AL24" s="243">
        <f>AG24/P33</f>
        <v>0.52631578947368418</v>
      </c>
      <c r="AM24" s="218"/>
      <c r="AN24" s="218"/>
      <c r="AO24" s="218"/>
      <c r="AP24" s="218"/>
      <c r="AQ24" s="219"/>
      <c r="AR24" s="62"/>
    </row>
    <row r="25" spans="1:44" ht="16.5" customHeight="1">
      <c r="A25" s="62"/>
      <c r="B25" s="68">
        <f>B24/GradeSheet!$H$67</f>
        <v>0</v>
      </c>
      <c r="C25" s="68">
        <f>C24/GradeSheet!$H$67</f>
        <v>0</v>
      </c>
      <c r="D25" s="68">
        <f>D24/GradeSheet!$H$67</f>
        <v>0</v>
      </c>
      <c r="E25" s="68">
        <f>E24/GradeSheet!$H$67</f>
        <v>0</v>
      </c>
      <c r="F25" s="68">
        <f>F24/GradeSheet!$H$67</f>
        <v>0</v>
      </c>
      <c r="G25" s="68">
        <f>G24/GradeSheet!$H$67</f>
        <v>0</v>
      </c>
      <c r="H25" s="68">
        <f>H24/GradeSheet!$H$67</f>
        <v>0</v>
      </c>
      <c r="I25" s="68">
        <f>I24/GradeSheet!$H$67</f>
        <v>0</v>
      </c>
      <c r="J25" s="68">
        <f>J24/GradeSheet!$H$67</f>
        <v>0</v>
      </c>
      <c r="K25" s="68">
        <f>K24/GradeSheet!$H$67</f>
        <v>1</v>
      </c>
      <c r="L25" s="68">
        <f>L24/GradeSheet!$H$67</f>
        <v>0</v>
      </c>
      <c r="M25" s="68">
        <f>M24/GradeSheet!$H$67</f>
        <v>0</v>
      </c>
      <c r="N25" s="255">
        <f t="shared" si="0"/>
        <v>1</v>
      </c>
      <c r="O25" s="219"/>
      <c r="P25" s="62"/>
      <c r="Q25" s="62"/>
      <c r="R25" s="62"/>
      <c r="S25" s="62"/>
      <c r="T25" s="230" t="s">
        <v>87</v>
      </c>
      <c r="U25" s="218"/>
      <c r="V25" s="218"/>
      <c r="W25" s="218"/>
      <c r="X25" s="218"/>
      <c r="Y25" s="218"/>
      <c r="Z25" s="218"/>
      <c r="AA25" s="218"/>
      <c r="AB25" s="218"/>
      <c r="AC25" s="218"/>
      <c r="AD25" s="218"/>
      <c r="AE25" s="218"/>
      <c r="AF25" s="219"/>
      <c r="AG25" s="230">
        <v>0</v>
      </c>
      <c r="AH25" s="218"/>
      <c r="AI25" s="218"/>
      <c r="AJ25" s="218"/>
      <c r="AK25" s="219"/>
      <c r="AL25" s="243">
        <f>AG25/P33</f>
        <v>0</v>
      </c>
      <c r="AM25" s="218"/>
      <c r="AN25" s="218"/>
      <c r="AO25" s="218"/>
      <c r="AP25" s="218"/>
      <c r="AQ25" s="219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30" t="s">
        <v>88</v>
      </c>
      <c r="U26" s="218"/>
      <c r="V26" s="218"/>
      <c r="W26" s="218"/>
      <c r="X26" s="218"/>
      <c r="Y26" s="218"/>
      <c r="Z26" s="218"/>
      <c r="AA26" s="218"/>
      <c r="AB26" s="218"/>
      <c r="AC26" s="218"/>
      <c r="AD26" s="218"/>
      <c r="AE26" s="218"/>
      <c r="AF26" s="219"/>
      <c r="AG26" s="230">
        <v>8</v>
      </c>
      <c r="AH26" s="218"/>
      <c r="AI26" s="218"/>
      <c r="AJ26" s="218"/>
      <c r="AK26" s="219"/>
      <c r="AL26" s="243">
        <f>AG26/P33</f>
        <v>0.42105263157894735</v>
      </c>
      <c r="AM26" s="218"/>
      <c r="AN26" s="218"/>
      <c r="AO26" s="218"/>
      <c r="AP26" s="218"/>
      <c r="AQ26" s="219"/>
      <c r="AR26" s="62"/>
    </row>
    <row r="27" spans="1:44" ht="16.5" customHeight="1">
      <c r="A27" s="62"/>
      <c r="B27" s="69" t="s">
        <v>89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230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9"/>
      <c r="AG27" s="230"/>
      <c r="AH27" s="218"/>
      <c r="AI27" s="218"/>
      <c r="AJ27" s="218"/>
      <c r="AK27" s="219"/>
      <c r="AL27" s="243"/>
      <c r="AM27" s="218"/>
      <c r="AN27" s="218"/>
      <c r="AO27" s="218"/>
      <c r="AP27" s="218"/>
      <c r="AQ27" s="219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254"/>
      <c r="U28" s="214"/>
      <c r="V28" s="214"/>
      <c r="W28" s="214"/>
      <c r="X28" s="214"/>
      <c r="Y28" s="214"/>
      <c r="Z28" s="214"/>
      <c r="AA28" s="214"/>
      <c r="AB28" s="214"/>
      <c r="AC28" s="214"/>
      <c r="AD28" s="214"/>
      <c r="AE28" s="214"/>
      <c r="AF28" s="214"/>
      <c r="AG28" s="254"/>
      <c r="AH28" s="214"/>
      <c r="AI28" s="214"/>
      <c r="AJ28" s="214"/>
      <c r="AK28" s="214"/>
      <c r="AL28" s="254"/>
      <c r="AM28" s="214"/>
      <c r="AN28" s="214"/>
      <c r="AO28" s="214"/>
      <c r="AP28" s="214"/>
      <c r="AQ28" s="214"/>
      <c r="AR28" s="62"/>
    </row>
    <row r="29" spans="1:44" ht="16.5" customHeight="1">
      <c r="A29" s="62"/>
      <c r="B29" s="221"/>
      <c r="C29" s="218"/>
      <c r="D29" s="218"/>
      <c r="E29" s="218"/>
      <c r="F29" s="219"/>
      <c r="G29" s="70" t="s">
        <v>14</v>
      </c>
      <c r="H29" s="70" t="s">
        <v>90</v>
      </c>
      <c r="I29" s="62"/>
      <c r="J29" s="221"/>
      <c r="K29" s="218"/>
      <c r="L29" s="218"/>
      <c r="M29" s="218"/>
      <c r="N29" s="218"/>
      <c r="O29" s="219"/>
      <c r="P29" s="70" t="s">
        <v>91</v>
      </c>
      <c r="Q29" s="70" t="s">
        <v>90</v>
      </c>
      <c r="R29" s="62"/>
      <c r="S29" s="62"/>
      <c r="T29" s="254"/>
      <c r="U29" s="214"/>
      <c r="V29" s="214"/>
      <c r="W29" s="214"/>
      <c r="X29" s="214"/>
      <c r="Y29" s="214"/>
      <c r="Z29" s="214"/>
      <c r="AA29" s="214"/>
      <c r="AB29" s="214"/>
      <c r="AC29" s="214"/>
      <c r="AD29" s="214"/>
      <c r="AE29" s="214"/>
      <c r="AF29" s="214"/>
      <c r="AG29" s="254"/>
      <c r="AH29" s="214"/>
      <c r="AI29" s="214"/>
      <c r="AJ29" s="214"/>
      <c r="AK29" s="214"/>
      <c r="AL29" s="254"/>
      <c r="AM29" s="214"/>
      <c r="AN29" s="214"/>
      <c r="AO29" s="214"/>
      <c r="AP29" s="214"/>
      <c r="AQ29" s="214"/>
      <c r="AR29" s="62"/>
    </row>
    <row r="30" spans="1:44" ht="16.5" customHeight="1">
      <c r="A30" s="62"/>
      <c r="B30" s="221" t="s">
        <v>92</v>
      </c>
      <c r="C30" s="218"/>
      <c r="D30" s="218"/>
      <c r="E30" s="218"/>
      <c r="F30" s="219"/>
      <c r="G30" s="71">
        <f>GradeSheet!$H$67</f>
        <v>42</v>
      </c>
      <c r="H30" s="72">
        <f>G30/G30</f>
        <v>1</v>
      </c>
      <c r="I30" s="62"/>
      <c r="J30" s="221" t="s">
        <v>93</v>
      </c>
      <c r="K30" s="218"/>
      <c r="L30" s="218"/>
      <c r="M30" s="218"/>
      <c r="N30" s="218"/>
      <c r="O30" s="219"/>
      <c r="P30" s="73">
        <v>20</v>
      </c>
      <c r="Q30" s="72">
        <f>P30/P30</f>
        <v>1</v>
      </c>
      <c r="R30" s="62"/>
      <c r="S30" s="62"/>
      <c r="T30" s="224" t="s">
        <v>94</v>
      </c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9"/>
      <c r="AG30" s="221" t="s">
        <v>71</v>
      </c>
      <c r="AH30" s="218"/>
      <c r="AI30" s="218"/>
      <c r="AJ30" s="218"/>
      <c r="AK30" s="219"/>
      <c r="AL30" s="221" t="s">
        <v>84</v>
      </c>
      <c r="AM30" s="218"/>
      <c r="AN30" s="218"/>
      <c r="AO30" s="218"/>
      <c r="AP30" s="218"/>
      <c r="AQ30" s="219"/>
      <c r="AR30" s="62"/>
    </row>
    <row r="31" spans="1:44" ht="16.5" customHeight="1">
      <c r="A31" s="62"/>
      <c r="B31" s="221" t="s">
        <v>95</v>
      </c>
      <c r="C31" s="218"/>
      <c r="D31" s="218"/>
      <c r="E31" s="218"/>
      <c r="F31" s="219"/>
      <c r="G31" s="71">
        <f>GradeSheet!$H$66</f>
        <v>0</v>
      </c>
      <c r="H31" s="72">
        <f>G31/G30</f>
        <v>0</v>
      </c>
      <c r="I31" s="62"/>
      <c r="J31" s="221" t="s">
        <v>96</v>
      </c>
      <c r="K31" s="218"/>
      <c r="L31" s="218"/>
      <c r="M31" s="218"/>
      <c r="N31" s="218"/>
      <c r="O31" s="219"/>
      <c r="P31" s="73">
        <v>0</v>
      </c>
      <c r="Q31" s="72">
        <f>P31/P30</f>
        <v>0</v>
      </c>
      <c r="R31" s="62"/>
      <c r="S31" s="62"/>
      <c r="T31" s="230" t="s">
        <v>88</v>
      </c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9"/>
      <c r="AG31" s="230">
        <v>8</v>
      </c>
      <c r="AH31" s="218"/>
      <c r="AI31" s="218"/>
      <c r="AJ31" s="218"/>
      <c r="AK31" s="219"/>
      <c r="AL31" s="243">
        <f>AG31/P33</f>
        <v>0.42105263157894735</v>
      </c>
      <c r="AM31" s="218"/>
      <c r="AN31" s="218"/>
      <c r="AO31" s="218"/>
      <c r="AP31" s="218"/>
      <c r="AQ31" s="219"/>
      <c r="AR31" s="62"/>
    </row>
    <row r="32" spans="1:44" ht="16.5" customHeight="1">
      <c r="A32" s="74"/>
      <c r="B32" s="221" t="s">
        <v>97</v>
      </c>
      <c r="C32" s="218"/>
      <c r="D32" s="218"/>
      <c r="E32" s="218"/>
      <c r="F32" s="219"/>
      <c r="G32" s="73">
        <v>41</v>
      </c>
      <c r="H32" s="72">
        <f>G32/G30</f>
        <v>0.97619047619047616</v>
      </c>
      <c r="I32" s="62"/>
      <c r="J32" s="221" t="s">
        <v>98</v>
      </c>
      <c r="K32" s="218"/>
      <c r="L32" s="218"/>
      <c r="M32" s="218"/>
      <c r="N32" s="218"/>
      <c r="O32" s="219"/>
      <c r="P32" s="73">
        <v>0</v>
      </c>
      <c r="Q32" s="72">
        <f>P32/P30</f>
        <v>0</v>
      </c>
      <c r="R32" s="62"/>
      <c r="S32" s="62"/>
      <c r="T32" s="230" t="s">
        <v>86</v>
      </c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9"/>
      <c r="AG32" s="230">
        <v>10</v>
      </c>
      <c r="AH32" s="218"/>
      <c r="AI32" s="218"/>
      <c r="AJ32" s="218"/>
      <c r="AK32" s="219"/>
      <c r="AL32" s="243">
        <f>AG32/P33</f>
        <v>0.52631578947368418</v>
      </c>
      <c r="AM32" s="218"/>
      <c r="AN32" s="218"/>
      <c r="AO32" s="218"/>
      <c r="AP32" s="218"/>
      <c r="AQ32" s="219"/>
      <c r="AR32" s="62"/>
    </row>
    <row r="33" spans="1:44" ht="17.25" customHeight="1">
      <c r="A33" s="62"/>
      <c r="B33" s="221" t="s">
        <v>99</v>
      </c>
      <c r="C33" s="218"/>
      <c r="D33" s="218"/>
      <c r="E33" s="218"/>
      <c r="F33" s="219"/>
      <c r="G33" s="71">
        <f>GradeSheet!$H$67-(GradeSheet!$H$64+GradeSheet!$H$65+GradeSheet!$H$66)</f>
        <v>0</v>
      </c>
      <c r="H33" s="72">
        <f>G33/G30</f>
        <v>0</v>
      </c>
      <c r="I33" s="62"/>
      <c r="J33" s="233" t="s">
        <v>100</v>
      </c>
      <c r="K33" s="234"/>
      <c r="L33" s="234"/>
      <c r="M33" s="234"/>
      <c r="N33" s="234"/>
      <c r="O33" s="235"/>
      <c r="P33" s="244">
        <v>19</v>
      </c>
      <c r="Q33" s="247">
        <f>P33/P30</f>
        <v>0.95</v>
      </c>
      <c r="R33" s="62"/>
      <c r="S33" s="62"/>
      <c r="T33" s="221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9"/>
      <c r="AG33" s="221"/>
      <c r="AH33" s="218"/>
      <c r="AI33" s="218"/>
      <c r="AJ33" s="218"/>
      <c r="AK33" s="219"/>
      <c r="AL33" s="221"/>
      <c r="AM33" s="218"/>
      <c r="AN33" s="218"/>
      <c r="AO33" s="218"/>
      <c r="AP33" s="218"/>
      <c r="AQ33" s="219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36"/>
      <c r="K34" s="214"/>
      <c r="L34" s="214"/>
      <c r="M34" s="214"/>
      <c r="N34" s="214"/>
      <c r="O34" s="237"/>
      <c r="P34" s="245"/>
      <c r="Q34" s="245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38"/>
      <c r="K35" s="239"/>
      <c r="L35" s="239"/>
      <c r="M35" s="239"/>
      <c r="N35" s="239"/>
      <c r="O35" s="240"/>
      <c r="P35" s="246"/>
      <c r="Q35" s="246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221" t="s">
        <v>101</v>
      </c>
      <c r="C37" s="218"/>
      <c r="D37" s="218"/>
      <c r="E37" s="218"/>
      <c r="F37" s="218"/>
      <c r="G37" s="219"/>
      <c r="H37" s="62"/>
      <c r="I37" s="62"/>
      <c r="J37" s="221"/>
      <c r="K37" s="218"/>
      <c r="L37" s="218"/>
      <c r="M37" s="218"/>
      <c r="N37" s="218"/>
      <c r="O37" s="219"/>
      <c r="P37" s="256" t="s">
        <v>91</v>
      </c>
      <c r="Q37" s="219"/>
      <c r="R37" s="62"/>
      <c r="S37" s="62"/>
      <c r="T37" s="224" t="s">
        <v>102</v>
      </c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9"/>
      <c r="AG37" s="221" t="s">
        <v>71</v>
      </c>
      <c r="AH37" s="218"/>
      <c r="AI37" s="218"/>
      <c r="AJ37" s="218"/>
      <c r="AK37" s="219"/>
      <c r="AL37" s="221" t="s">
        <v>84</v>
      </c>
      <c r="AM37" s="218"/>
      <c r="AN37" s="218"/>
      <c r="AO37" s="218"/>
      <c r="AP37" s="218"/>
      <c r="AQ37" s="219"/>
      <c r="AR37" s="62"/>
    </row>
    <row r="38" spans="1:44" ht="16.5" customHeight="1">
      <c r="A38" s="62"/>
      <c r="B38" s="221" t="s">
        <v>103</v>
      </c>
      <c r="C38" s="218"/>
      <c r="D38" s="218"/>
      <c r="E38" s="218"/>
      <c r="F38" s="219"/>
      <c r="G38" s="73">
        <v>2</v>
      </c>
      <c r="H38" s="62"/>
      <c r="I38" s="62"/>
      <c r="J38" s="221" t="s">
        <v>104</v>
      </c>
      <c r="K38" s="218"/>
      <c r="L38" s="218"/>
      <c r="M38" s="218"/>
      <c r="N38" s="218"/>
      <c r="O38" s="219"/>
      <c r="P38" s="230" t="s">
        <v>105</v>
      </c>
      <c r="Q38" s="219"/>
      <c r="R38" s="62"/>
      <c r="S38" s="62"/>
      <c r="T38" s="230" t="s">
        <v>106</v>
      </c>
      <c r="U38" s="218"/>
      <c r="V38" s="218"/>
      <c r="W38" s="218"/>
      <c r="X38" s="218"/>
      <c r="Y38" s="218"/>
      <c r="Z38" s="218"/>
      <c r="AA38" s="218"/>
      <c r="AB38" s="218"/>
      <c r="AC38" s="218"/>
      <c r="AD38" s="218"/>
      <c r="AE38" s="218"/>
      <c r="AF38" s="219"/>
      <c r="AG38" s="230">
        <v>0</v>
      </c>
      <c r="AH38" s="218"/>
      <c r="AI38" s="218"/>
      <c r="AJ38" s="218"/>
      <c r="AK38" s="219"/>
      <c r="AL38" s="243">
        <f>AG38/P33</f>
        <v>0</v>
      </c>
      <c r="AM38" s="218"/>
      <c r="AN38" s="218"/>
      <c r="AO38" s="218"/>
      <c r="AP38" s="218"/>
      <c r="AQ38" s="219"/>
      <c r="AR38" s="62"/>
    </row>
    <row r="39" spans="1:44" ht="16.5" customHeight="1">
      <c r="A39" s="62"/>
      <c r="B39" s="221" t="s">
        <v>107</v>
      </c>
      <c r="C39" s="218"/>
      <c r="D39" s="218"/>
      <c r="E39" s="218"/>
      <c r="F39" s="219"/>
      <c r="G39" s="73">
        <v>3</v>
      </c>
      <c r="H39" s="62"/>
      <c r="I39" s="62"/>
      <c r="J39" s="221" t="s">
        <v>108</v>
      </c>
      <c r="K39" s="218"/>
      <c r="L39" s="218"/>
      <c r="M39" s="218"/>
      <c r="N39" s="218"/>
      <c r="O39" s="219"/>
      <c r="P39" s="230" t="s">
        <v>105</v>
      </c>
      <c r="Q39" s="219"/>
      <c r="R39" s="62"/>
      <c r="S39" s="62"/>
      <c r="T39" s="230" t="s">
        <v>109</v>
      </c>
      <c r="U39" s="218"/>
      <c r="V39" s="218"/>
      <c r="W39" s="218"/>
      <c r="X39" s="218"/>
      <c r="Y39" s="218"/>
      <c r="Z39" s="218"/>
      <c r="AA39" s="218"/>
      <c r="AB39" s="218"/>
      <c r="AC39" s="218"/>
      <c r="AD39" s="218"/>
      <c r="AE39" s="218"/>
      <c r="AF39" s="219"/>
      <c r="AG39" s="230">
        <v>20</v>
      </c>
      <c r="AH39" s="218"/>
      <c r="AI39" s="218"/>
      <c r="AJ39" s="218"/>
      <c r="AK39" s="219"/>
      <c r="AL39" s="243">
        <f>AG39/P33</f>
        <v>1.0526315789473684</v>
      </c>
      <c r="AM39" s="218"/>
      <c r="AN39" s="218"/>
      <c r="AO39" s="218"/>
      <c r="AP39" s="218"/>
      <c r="AQ39" s="219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230" t="s">
        <v>110</v>
      </c>
      <c r="U40" s="218"/>
      <c r="V40" s="218"/>
      <c r="W40" s="218"/>
      <c r="X40" s="218"/>
      <c r="Y40" s="218"/>
      <c r="Z40" s="218"/>
      <c r="AA40" s="218"/>
      <c r="AB40" s="218"/>
      <c r="AC40" s="218"/>
      <c r="AD40" s="218"/>
      <c r="AE40" s="218"/>
      <c r="AF40" s="219"/>
      <c r="AG40" s="230">
        <v>12</v>
      </c>
      <c r="AH40" s="218"/>
      <c r="AI40" s="218"/>
      <c r="AJ40" s="218"/>
      <c r="AK40" s="219"/>
      <c r="AL40" s="243">
        <f>AG40/P33</f>
        <v>0.63157894736842102</v>
      </c>
      <c r="AM40" s="218"/>
      <c r="AN40" s="218"/>
      <c r="AO40" s="218"/>
      <c r="AP40" s="218"/>
      <c r="AQ40" s="219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230" t="s">
        <v>111</v>
      </c>
      <c r="U41" s="218"/>
      <c r="V41" s="218"/>
      <c r="W41" s="218"/>
      <c r="X41" s="218"/>
      <c r="Y41" s="218"/>
      <c r="Z41" s="218"/>
      <c r="AA41" s="218"/>
      <c r="AB41" s="218"/>
      <c r="AC41" s="218"/>
      <c r="AD41" s="218"/>
      <c r="AE41" s="218"/>
      <c r="AF41" s="219"/>
      <c r="AG41" s="230">
        <v>0</v>
      </c>
      <c r="AH41" s="218"/>
      <c r="AI41" s="218"/>
      <c r="AJ41" s="218"/>
      <c r="AK41" s="219"/>
      <c r="AL41" s="243">
        <f>AG41/P33</f>
        <v>0</v>
      </c>
      <c r="AM41" s="218"/>
      <c r="AN41" s="218"/>
      <c r="AO41" s="218"/>
      <c r="AP41" s="218"/>
      <c r="AQ41" s="219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230"/>
      <c r="U42" s="218"/>
      <c r="V42" s="218"/>
      <c r="W42" s="218"/>
      <c r="X42" s="218"/>
      <c r="Y42" s="218"/>
      <c r="Z42" s="218"/>
      <c r="AA42" s="218"/>
      <c r="AB42" s="218"/>
      <c r="AC42" s="218"/>
      <c r="AD42" s="218"/>
      <c r="AE42" s="218"/>
      <c r="AF42" s="219"/>
      <c r="AG42" s="230"/>
      <c r="AH42" s="218"/>
      <c r="AI42" s="218"/>
      <c r="AJ42" s="218"/>
      <c r="AK42" s="219"/>
      <c r="AL42" s="243"/>
      <c r="AM42" s="218"/>
      <c r="AN42" s="218"/>
      <c r="AO42" s="218"/>
      <c r="AP42" s="218"/>
      <c r="AQ42" s="219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112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22" t="s">
        <v>0</v>
      </c>
      <c r="C51" s="218"/>
      <c r="D51" s="219"/>
      <c r="E51" s="223" t="str">
        <f>GradeSheet!$H$2</f>
        <v>CSE</v>
      </c>
      <c r="F51" s="218"/>
      <c r="G51" s="218"/>
      <c r="H51" s="218"/>
      <c r="I51" s="218"/>
      <c r="J51" s="218"/>
      <c r="K51" s="218"/>
      <c r="L51" s="218"/>
      <c r="M51" s="218"/>
      <c r="N51" s="219"/>
      <c r="O51" s="222" t="str">
        <f>CONCATENATE("Section ", GradeSheet!$L$2,)</f>
        <v>Section 1</v>
      </c>
      <c r="P51" s="218"/>
      <c r="Q51" s="219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25" t="s">
        <v>3</v>
      </c>
      <c r="C52" s="218"/>
      <c r="D52" s="219"/>
      <c r="E52" s="226" t="str">
        <f>GradeSheet!$H$3</f>
        <v>Operating Systems</v>
      </c>
      <c r="F52" s="218"/>
      <c r="G52" s="218"/>
      <c r="H52" s="218"/>
      <c r="I52" s="218"/>
      <c r="J52" s="218"/>
      <c r="K52" s="218"/>
      <c r="L52" s="218"/>
      <c r="M52" s="218"/>
      <c r="N52" s="219"/>
      <c r="O52" s="225" t="str">
        <f>CONCATENATE(GradeSheet!$H$67," students")</f>
        <v>42 students</v>
      </c>
      <c r="P52" s="218"/>
      <c r="Q52" s="219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27" t="s">
        <v>7</v>
      </c>
      <c r="C53" s="218"/>
      <c r="D53" s="219"/>
      <c r="E53" s="228">
        <f>GradeSheet!$H$4</f>
        <v>3</v>
      </c>
      <c r="F53" s="218"/>
      <c r="G53" s="218"/>
      <c r="H53" s="218"/>
      <c r="I53" s="218"/>
      <c r="J53" s="218"/>
      <c r="K53" s="218"/>
      <c r="L53" s="218"/>
      <c r="M53" s="218"/>
      <c r="N53" s="219"/>
      <c r="O53" s="228" t="str">
        <f>GradeSheet!$L$3</f>
        <v>Spring 2025</v>
      </c>
      <c r="P53" s="218"/>
      <c r="Q53" s="219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249" t="s">
        <v>113</v>
      </c>
      <c r="F57" s="250"/>
      <c r="G57" s="250"/>
      <c r="H57" s="250"/>
      <c r="I57" s="250"/>
      <c r="J57" s="250"/>
      <c r="K57" s="250"/>
      <c r="L57" s="250"/>
      <c r="M57" s="251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52"/>
      <c r="F58" s="218"/>
      <c r="G58" s="219"/>
      <c r="H58" s="66" t="s">
        <v>114</v>
      </c>
      <c r="I58" s="66" t="s">
        <v>115</v>
      </c>
      <c r="J58" s="66" t="s">
        <v>116</v>
      </c>
      <c r="K58" s="66" t="s">
        <v>117</v>
      </c>
      <c r="L58" s="66" t="s">
        <v>118</v>
      </c>
      <c r="M58" s="66" t="s">
        <v>119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53" t="s">
        <v>120</v>
      </c>
      <c r="F59" s="218"/>
      <c r="G59" s="219"/>
      <c r="H59" s="67">
        <f>CO_PO_AttainmentAnalysis!AN58</f>
        <v>4</v>
      </c>
      <c r="I59" s="67">
        <f>CO_PO_AttainmentAnalysis!AO58</f>
        <v>0</v>
      </c>
      <c r="J59" s="67">
        <f>CO_PO_AttainmentAnalysis!AP58</f>
        <v>0</v>
      </c>
      <c r="K59" s="67">
        <f>CO_PO_AttainmentAnalysis!AQ58</f>
        <v>0</v>
      </c>
      <c r="L59" s="67">
        <f>CO_PO_AttainmentAnalysis!AR58</f>
        <v>0</v>
      </c>
      <c r="M59" s="67">
        <f>CO_PO_AttainmentAnalysis!AS58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53" t="s">
        <v>121</v>
      </c>
      <c r="F60" s="218"/>
      <c r="G60" s="219"/>
      <c r="H60" s="68">
        <f>CO_PO_AttainmentAnalysis!AH58</f>
        <v>0</v>
      </c>
      <c r="I60" s="68">
        <f>CO_PO_AttainmentAnalysis!AI58</f>
        <v>0</v>
      </c>
      <c r="J60" s="68">
        <f>CO_PO_AttainmentAnalysis!AJ58</f>
        <v>0</v>
      </c>
      <c r="K60" s="68">
        <f>CO_PO_AttainmentAnalysis!AK58</f>
        <v>0</v>
      </c>
      <c r="L60" s="68">
        <f>CO_PO_AttainmentAnalysis!AL58</f>
        <v>0</v>
      </c>
      <c r="M60" s="68">
        <f>CO_PO_AttainmentAnalysis!AM58</f>
        <v>0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B38:F38"/>
    <mergeCell ref="AL38:AQ38"/>
    <mergeCell ref="J38:O38"/>
    <mergeCell ref="P38:Q38"/>
    <mergeCell ref="T31:AF31"/>
    <mergeCell ref="AG31:AK31"/>
    <mergeCell ref="AL31:AQ31"/>
    <mergeCell ref="AG32:AK32"/>
    <mergeCell ref="AL32:AQ32"/>
    <mergeCell ref="AG29:AK29"/>
    <mergeCell ref="AL29:AQ29"/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8:AF38"/>
    <mergeCell ref="AG38:AK38"/>
    <mergeCell ref="B37:G37"/>
    <mergeCell ref="J37:O37"/>
    <mergeCell ref="P37:Q37"/>
    <mergeCell ref="T37:AF37"/>
    <mergeCell ref="AG37:AK37"/>
    <mergeCell ref="AL37:AQ37"/>
    <mergeCell ref="T27:AF27"/>
    <mergeCell ref="T28:AF28"/>
    <mergeCell ref="AG28:AK28"/>
    <mergeCell ref="AL28:AQ28"/>
    <mergeCell ref="B29:F29"/>
    <mergeCell ref="T29:AF29"/>
    <mergeCell ref="B30:F30"/>
    <mergeCell ref="AL30:AQ30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30:AF30"/>
    <mergeCell ref="AG30:AK30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3:AF3"/>
    <mergeCell ref="AG3:AN3"/>
    <mergeCell ref="B2:D2"/>
    <mergeCell ref="E2:N2"/>
    <mergeCell ref="O2:Q2"/>
    <mergeCell ref="T2:AN2"/>
    <mergeCell ref="B3:D3"/>
    <mergeCell ref="E3:N3"/>
    <mergeCell ref="O3:Q3"/>
  </mergeCells>
  <pageMargins left="0.45" right="0.19302061950427407" top="0.75" bottom="0.75" header="0" footer="0"/>
  <pageSetup paperSize="9" scale="50" orientation="portrait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opLeftCell="A58" workbookViewId="0">
      <selection activeCell="G27" sqref="G27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72"/>
      <c r="D1" s="214"/>
      <c r="E1" s="214"/>
      <c r="F1" s="214"/>
      <c r="G1" s="214"/>
      <c r="H1" s="214"/>
      <c r="I1" s="214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63" t="s">
        <v>122</v>
      </c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58"/>
      <c r="BG1" s="259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123</v>
      </c>
      <c r="D2" s="80" t="s">
        <v>114</v>
      </c>
      <c r="E2" s="81" t="s">
        <v>115</v>
      </c>
      <c r="F2" s="81" t="s">
        <v>116</v>
      </c>
      <c r="G2" s="82" t="s">
        <v>117</v>
      </c>
      <c r="H2" s="82" t="s">
        <v>118</v>
      </c>
      <c r="I2" s="82" t="s">
        <v>119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124</v>
      </c>
      <c r="AU2" s="81" t="s">
        <v>125</v>
      </c>
      <c r="AV2" s="81" t="s">
        <v>126</v>
      </c>
      <c r="AW2" s="81" t="s">
        <v>127</v>
      </c>
      <c r="AX2" s="81" t="s">
        <v>128</v>
      </c>
      <c r="AY2" s="81" t="s">
        <v>129</v>
      </c>
      <c r="AZ2" s="81" t="s">
        <v>130</v>
      </c>
      <c r="BA2" s="81" t="s">
        <v>131</v>
      </c>
      <c r="BB2" s="81" t="s">
        <v>132</v>
      </c>
      <c r="BC2" s="81" t="s">
        <v>133</v>
      </c>
      <c r="BD2" s="81" t="s">
        <v>134</v>
      </c>
      <c r="BE2" s="82" t="s">
        <v>135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>
      <c r="A3" s="78"/>
      <c r="B3" s="78"/>
      <c r="C3" s="85" t="s">
        <v>37</v>
      </c>
      <c r="D3" s="86">
        <v>6</v>
      </c>
      <c r="E3" s="87">
        <v>3</v>
      </c>
      <c r="F3" s="87"/>
      <c r="G3" s="88"/>
      <c r="H3" s="88"/>
      <c r="I3" s="8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9" t="s">
        <v>114</v>
      </c>
      <c r="AT3" s="90">
        <v>0</v>
      </c>
      <c r="AU3" s="90">
        <v>0</v>
      </c>
      <c r="AV3" s="90">
        <v>0</v>
      </c>
      <c r="AW3" s="90">
        <v>0</v>
      </c>
      <c r="AX3" s="90">
        <v>0</v>
      </c>
      <c r="AY3" s="90">
        <v>0</v>
      </c>
      <c r="AZ3" s="90">
        <v>0</v>
      </c>
      <c r="BA3" s="90">
        <v>0</v>
      </c>
      <c r="BB3" s="90">
        <v>0</v>
      </c>
      <c r="BC3" s="90">
        <v>0</v>
      </c>
      <c r="BD3" s="90">
        <v>0</v>
      </c>
      <c r="BE3" s="90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>
      <c r="A4" s="78"/>
      <c r="B4" s="78"/>
      <c r="C4" s="91" t="s">
        <v>43</v>
      </c>
      <c r="D4" s="92"/>
      <c r="E4" s="93"/>
      <c r="F4" s="93"/>
      <c r="G4" s="94"/>
      <c r="H4" s="94"/>
      <c r="I4" s="94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5" t="s">
        <v>115</v>
      </c>
      <c r="AT4" s="90">
        <v>0</v>
      </c>
      <c r="AU4" s="90">
        <v>0</v>
      </c>
      <c r="AV4" s="90">
        <v>0</v>
      </c>
      <c r="AW4" s="90">
        <v>0</v>
      </c>
      <c r="AX4" s="90">
        <v>0</v>
      </c>
      <c r="AY4" s="90">
        <v>0</v>
      </c>
      <c r="AZ4" s="90">
        <v>0</v>
      </c>
      <c r="BA4" s="90">
        <v>0</v>
      </c>
      <c r="BB4" s="90">
        <v>0</v>
      </c>
      <c r="BC4" s="90">
        <v>0</v>
      </c>
      <c r="BD4" s="90">
        <v>0</v>
      </c>
      <c r="BE4" s="90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>
      <c r="A5" s="78"/>
      <c r="B5" s="78"/>
      <c r="C5" s="96" t="s">
        <v>40</v>
      </c>
      <c r="D5" s="97"/>
      <c r="E5" s="98"/>
      <c r="F5" s="98"/>
      <c r="G5" s="99"/>
      <c r="H5" s="99"/>
      <c r="I5" s="99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5" t="s">
        <v>116</v>
      </c>
      <c r="AT5" s="90">
        <v>0</v>
      </c>
      <c r="AU5" s="90">
        <v>0</v>
      </c>
      <c r="AV5" s="90">
        <v>0</v>
      </c>
      <c r="AW5" s="90">
        <v>0</v>
      </c>
      <c r="AX5" s="90">
        <v>0</v>
      </c>
      <c r="AY5" s="90">
        <v>0</v>
      </c>
      <c r="AZ5" s="90">
        <v>0</v>
      </c>
      <c r="BA5" s="90">
        <v>0</v>
      </c>
      <c r="BB5" s="90">
        <v>0</v>
      </c>
      <c r="BC5" s="90">
        <v>0</v>
      </c>
      <c r="BD5" s="90">
        <v>0</v>
      </c>
      <c r="BE5" s="90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>
      <c r="A6" s="78"/>
      <c r="B6" s="78"/>
      <c r="C6" s="96" t="s">
        <v>87</v>
      </c>
      <c r="D6" s="97"/>
      <c r="E6" s="98"/>
      <c r="F6" s="98"/>
      <c r="G6" s="99"/>
      <c r="H6" s="99"/>
      <c r="I6" s="99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5" t="s">
        <v>117</v>
      </c>
      <c r="AT6" s="90">
        <v>0</v>
      </c>
      <c r="AU6" s="90">
        <v>0</v>
      </c>
      <c r="AV6" s="90">
        <v>0</v>
      </c>
      <c r="AW6" s="90">
        <v>0</v>
      </c>
      <c r="AX6" s="90">
        <v>0</v>
      </c>
      <c r="AY6" s="90">
        <v>0</v>
      </c>
      <c r="AZ6" s="90">
        <v>0</v>
      </c>
      <c r="BA6" s="90">
        <v>0</v>
      </c>
      <c r="BB6" s="90">
        <v>0</v>
      </c>
      <c r="BC6" s="90">
        <v>0</v>
      </c>
      <c r="BD6" s="90">
        <v>0</v>
      </c>
      <c r="BE6" s="90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>
      <c r="A7" s="78"/>
      <c r="B7" s="78"/>
      <c r="C7" s="79" t="s">
        <v>46</v>
      </c>
      <c r="D7" s="80">
        <f t="shared" ref="D7:I7" si="0">SUM(D3:D6)</f>
        <v>6</v>
      </c>
      <c r="E7" s="100">
        <f t="shared" si="0"/>
        <v>3</v>
      </c>
      <c r="F7" s="100">
        <f t="shared" si="0"/>
        <v>0</v>
      </c>
      <c r="G7" s="101">
        <f t="shared" si="0"/>
        <v>0</v>
      </c>
      <c r="H7" s="101">
        <f t="shared" si="0"/>
        <v>0</v>
      </c>
      <c r="I7" s="101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102" t="s">
        <v>118</v>
      </c>
      <c r="AT7" s="90">
        <v>0</v>
      </c>
      <c r="AU7" s="90">
        <v>0</v>
      </c>
      <c r="AV7" s="90">
        <v>0</v>
      </c>
      <c r="AW7" s="90">
        <v>0</v>
      </c>
      <c r="AX7" s="90">
        <v>0</v>
      </c>
      <c r="AY7" s="90">
        <v>0</v>
      </c>
      <c r="AZ7" s="90">
        <v>0</v>
      </c>
      <c r="BA7" s="90">
        <v>0</v>
      </c>
      <c r="BB7" s="90">
        <v>0</v>
      </c>
      <c r="BC7" s="90">
        <v>0</v>
      </c>
      <c r="BD7" s="90">
        <v>0</v>
      </c>
      <c r="BE7" s="90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103"/>
      <c r="AT8" s="90">
        <v>0</v>
      </c>
      <c r="AU8" s="90">
        <v>0</v>
      </c>
      <c r="AV8" s="90">
        <v>0</v>
      </c>
      <c r="AW8" s="90">
        <v>0</v>
      </c>
      <c r="AX8" s="90">
        <v>0</v>
      </c>
      <c r="AY8" s="90">
        <v>0</v>
      </c>
      <c r="AZ8" s="90">
        <v>0</v>
      </c>
      <c r="BA8" s="90">
        <v>0</v>
      </c>
      <c r="BB8" s="90">
        <v>0</v>
      </c>
      <c r="BC8" s="90">
        <v>0</v>
      </c>
      <c r="BD8" s="90">
        <v>0</v>
      </c>
      <c r="BE8" s="90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104"/>
      <c r="E9" s="104"/>
      <c r="F9" s="10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46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104"/>
      <c r="E10" s="104"/>
      <c r="F10" s="10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73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58"/>
      <c r="C11" s="259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6"/>
      <c r="AB11" s="277" t="s">
        <v>136</v>
      </c>
      <c r="AC11" s="261"/>
      <c r="AD11" s="261"/>
      <c r="AE11" s="261"/>
      <c r="AF11" s="261"/>
      <c r="AG11" s="261"/>
      <c r="AH11" s="261"/>
      <c r="AI11" s="261"/>
      <c r="AJ11" s="261"/>
      <c r="AK11" s="261"/>
      <c r="AL11" s="261"/>
      <c r="AM11" s="261"/>
      <c r="AN11" s="261"/>
      <c r="AO11" s="261"/>
      <c r="AP11" s="261"/>
      <c r="AQ11" s="261"/>
      <c r="AR11" s="261"/>
      <c r="AS11" s="262"/>
      <c r="AT11" s="104"/>
      <c r="AU11" s="278" t="s">
        <v>137</v>
      </c>
      <c r="AV11" s="261"/>
      <c r="AW11" s="261"/>
      <c r="AX11" s="261"/>
      <c r="AY11" s="261"/>
      <c r="AZ11" s="261"/>
      <c r="BA11" s="261"/>
      <c r="BB11" s="261"/>
      <c r="BC11" s="261"/>
      <c r="BD11" s="261"/>
      <c r="BE11" s="261"/>
      <c r="BF11" s="261"/>
      <c r="BG11" s="261"/>
      <c r="BH11" s="261"/>
      <c r="BI11" s="261"/>
      <c r="BJ11" s="261"/>
      <c r="BK11" s="261"/>
      <c r="BL11" s="261"/>
      <c r="BM11" s="261"/>
      <c r="BN11" s="261"/>
      <c r="BO11" s="261"/>
      <c r="BP11" s="261"/>
      <c r="BQ11" s="261"/>
      <c r="BR11" s="262"/>
    </row>
    <row r="12" spans="1:70" ht="14.25">
      <c r="A12" s="274"/>
      <c r="B12" s="214"/>
      <c r="C12" s="275"/>
      <c r="D12" s="279" t="str">
        <f>C3</f>
        <v>Midterm Exam</v>
      </c>
      <c r="E12" s="266"/>
      <c r="F12" s="266"/>
      <c r="G12" s="266"/>
      <c r="H12" s="266"/>
      <c r="I12" s="267"/>
      <c r="J12" s="265" t="str">
        <f>C4</f>
        <v>Final Exam</v>
      </c>
      <c r="K12" s="266"/>
      <c r="L12" s="266"/>
      <c r="M12" s="266"/>
      <c r="N12" s="266"/>
      <c r="O12" s="267"/>
      <c r="P12" s="265" t="s">
        <v>40</v>
      </c>
      <c r="Q12" s="266"/>
      <c r="R12" s="266"/>
      <c r="S12" s="266"/>
      <c r="T12" s="266"/>
      <c r="U12" s="267"/>
      <c r="V12" s="265" t="str">
        <f>C6</f>
        <v>Presentation</v>
      </c>
      <c r="W12" s="266"/>
      <c r="X12" s="266"/>
      <c r="Y12" s="266"/>
      <c r="Z12" s="266"/>
      <c r="AA12" s="267"/>
      <c r="AB12" s="257" t="s">
        <v>138</v>
      </c>
      <c r="AC12" s="258"/>
      <c r="AD12" s="258"/>
      <c r="AE12" s="258"/>
      <c r="AF12" s="258"/>
      <c r="AG12" s="259"/>
      <c r="AH12" s="260" t="s">
        <v>139</v>
      </c>
      <c r="AI12" s="261"/>
      <c r="AJ12" s="261"/>
      <c r="AK12" s="261"/>
      <c r="AL12" s="261"/>
      <c r="AM12" s="262"/>
      <c r="AN12" s="260" t="s">
        <v>140</v>
      </c>
      <c r="AO12" s="261"/>
      <c r="AP12" s="261"/>
      <c r="AQ12" s="261"/>
      <c r="AR12" s="261"/>
      <c r="AS12" s="262"/>
      <c r="AT12" s="104"/>
      <c r="AU12" s="263" t="s">
        <v>139</v>
      </c>
      <c r="AV12" s="258"/>
      <c r="AW12" s="258"/>
      <c r="AX12" s="258"/>
      <c r="AY12" s="258"/>
      <c r="AZ12" s="258"/>
      <c r="BA12" s="258"/>
      <c r="BB12" s="258"/>
      <c r="BC12" s="258"/>
      <c r="BD12" s="258"/>
      <c r="BE12" s="258"/>
      <c r="BF12" s="259"/>
      <c r="BG12" s="263" t="s">
        <v>141</v>
      </c>
      <c r="BH12" s="258"/>
      <c r="BI12" s="258"/>
      <c r="BJ12" s="258"/>
      <c r="BK12" s="258"/>
      <c r="BL12" s="258"/>
      <c r="BM12" s="258"/>
      <c r="BN12" s="258"/>
      <c r="BO12" s="258"/>
      <c r="BP12" s="258"/>
      <c r="BQ12" s="258"/>
      <c r="BR12" s="259"/>
    </row>
    <row r="13" spans="1:70" ht="15.75" thickBot="1">
      <c r="A13" s="276"/>
      <c r="B13" s="266"/>
      <c r="C13" s="267"/>
      <c r="D13" s="107" t="s">
        <v>114</v>
      </c>
      <c r="E13" s="108" t="s">
        <v>115</v>
      </c>
      <c r="F13" s="108" t="s">
        <v>116</v>
      </c>
      <c r="G13" s="109" t="s">
        <v>117</v>
      </c>
      <c r="H13" s="109" t="s">
        <v>118</v>
      </c>
      <c r="I13" s="110" t="s">
        <v>119</v>
      </c>
      <c r="J13" s="111" t="s">
        <v>114</v>
      </c>
      <c r="K13" s="112" t="s">
        <v>115</v>
      </c>
      <c r="L13" s="112" t="s">
        <v>116</v>
      </c>
      <c r="M13" s="113" t="s">
        <v>117</v>
      </c>
      <c r="N13" s="113" t="s">
        <v>118</v>
      </c>
      <c r="O13" s="114" t="s">
        <v>119</v>
      </c>
      <c r="P13" s="115" t="s">
        <v>114</v>
      </c>
      <c r="Q13" s="116" t="s">
        <v>115</v>
      </c>
      <c r="R13" s="116" t="s">
        <v>116</v>
      </c>
      <c r="S13" s="116" t="s">
        <v>117</v>
      </c>
      <c r="T13" s="116" t="s">
        <v>118</v>
      </c>
      <c r="U13" s="117" t="s">
        <v>119</v>
      </c>
      <c r="V13" s="115" t="s">
        <v>114</v>
      </c>
      <c r="W13" s="116" t="s">
        <v>115</v>
      </c>
      <c r="X13" s="116" t="s">
        <v>116</v>
      </c>
      <c r="Y13" s="116" t="s">
        <v>117</v>
      </c>
      <c r="Z13" s="116" t="s">
        <v>118</v>
      </c>
      <c r="AA13" s="117" t="s">
        <v>119</v>
      </c>
      <c r="AB13" s="80" t="s">
        <v>114</v>
      </c>
      <c r="AC13" s="80" t="s">
        <v>115</v>
      </c>
      <c r="AD13" s="80" t="s">
        <v>116</v>
      </c>
      <c r="AE13" s="80" t="s">
        <v>117</v>
      </c>
      <c r="AF13" s="80" t="s">
        <v>118</v>
      </c>
      <c r="AG13" s="80" t="s">
        <v>119</v>
      </c>
      <c r="AH13" s="118" t="s">
        <v>114</v>
      </c>
      <c r="AI13" s="119" t="s">
        <v>115</v>
      </c>
      <c r="AJ13" s="119" t="s">
        <v>116</v>
      </c>
      <c r="AK13" s="120" t="s">
        <v>117</v>
      </c>
      <c r="AL13" s="121" t="s">
        <v>118</v>
      </c>
      <c r="AM13" s="120" t="s">
        <v>119</v>
      </c>
      <c r="AN13" s="118" t="s">
        <v>114</v>
      </c>
      <c r="AO13" s="119" t="s">
        <v>115</v>
      </c>
      <c r="AP13" s="119" t="s">
        <v>116</v>
      </c>
      <c r="AQ13" s="121" t="s">
        <v>117</v>
      </c>
      <c r="AR13" s="121" t="s">
        <v>118</v>
      </c>
      <c r="AS13" s="120" t="s">
        <v>119</v>
      </c>
      <c r="AT13" s="122"/>
      <c r="AU13" s="118" t="s">
        <v>124</v>
      </c>
      <c r="AV13" s="119" t="s">
        <v>125</v>
      </c>
      <c r="AW13" s="119" t="s">
        <v>126</v>
      </c>
      <c r="AX13" s="119" t="s">
        <v>127</v>
      </c>
      <c r="AY13" s="119" t="s">
        <v>128</v>
      </c>
      <c r="AZ13" s="119" t="s">
        <v>129</v>
      </c>
      <c r="BA13" s="119" t="s">
        <v>130</v>
      </c>
      <c r="BB13" s="119" t="s">
        <v>131</v>
      </c>
      <c r="BC13" s="119" t="s">
        <v>132</v>
      </c>
      <c r="BD13" s="119" t="s">
        <v>133</v>
      </c>
      <c r="BE13" s="119" t="s">
        <v>134</v>
      </c>
      <c r="BF13" s="120" t="s">
        <v>135</v>
      </c>
      <c r="BG13" s="80" t="s">
        <v>124</v>
      </c>
      <c r="BH13" s="81" t="s">
        <v>125</v>
      </c>
      <c r="BI13" s="81" t="s">
        <v>126</v>
      </c>
      <c r="BJ13" s="81" t="s">
        <v>127</v>
      </c>
      <c r="BK13" s="81" t="s">
        <v>128</v>
      </c>
      <c r="BL13" s="81" t="s">
        <v>129</v>
      </c>
      <c r="BM13" s="81" t="s">
        <v>130</v>
      </c>
      <c r="BN13" s="81" t="s">
        <v>131</v>
      </c>
      <c r="BO13" s="81" t="s">
        <v>132</v>
      </c>
      <c r="BP13" s="81" t="s">
        <v>133</v>
      </c>
      <c r="BQ13" s="81" t="s">
        <v>134</v>
      </c>
      <c r="BR13" s="82" t="s">
        <v>135</v>
      </c>
    </row>
    <row r="14" spans="1:70" ht="15.75" thickBot="1">
      <c r="A14" s="123" t="s">
        <v>142</v>
      </c>
      <c r="B14" s="124" t="s">
        <v>15</v>
      </c>
      <c r="C14" s="125" t="s">
        <v>16</v>
      </c>
      <c r="D14" s="207">
        <f t="shared" ref="D14:I14" si="2">D3</f>
        <v>6</v>
      </c>
      <c r="E14" s="208">
        <f t="shared" si="2"/>
        <v>3</v>
      </c>
      <c r="F14" s="208">
        <f t="shared" si="2"/>
        <v>0</v>
      </c>
      <c r="G14" s="208">
        <f t="shared" si="2"/>
        <v>0</v>
      </c>
      <c r="H14" s="208">
        <f t="shared" si="2"/>
        <v>0</v>
      </c>
      <c r="I14" s="208">
        <f t="shared" si="2"/>
        <v>0</v>
      </c>
      <c r="J14" s="127">
        <f t="shared" ref="J14:O14" si="3">D4</f>
        <v>0</v>
      </c>
      <c r="K14" s="127">
        <f t="shared" si="3"/>
        <v>0</v>
      </c>
      <c r="L14" s="127">
        <f t="shared" si="3"/>
        <v>0</v>
      </c>
      <c r="M14" s="127">
        <f t="shared" si="3"/>
        <v>0</v>
      </c>
      <c r="N14" s="127">
        <f t="shared" si="3"/>
        <v>0</v>
      </c>
      <c r="O14" s="127">
        <f t="shared" si="3"/>
        <v>0</v>
      </c>
      <c r="P14" s="128">
        <f t="shared" ref="P14:U14" si="4">D5</f>
        <v>0</v>
      </c>
      <c r="Q14" s="128">
        <f t="shared" si="4"/>
        <v>0</v>
      </c>
      <c r="R14" s="128">
        <f t="shared" si="4"/>
        <v>0</v>
      </c>
      <c r="S14" s="128">
        <f t="shared" si="4"/>
        <v>0</v>
      </c>
      <c r="T14" s="128">
        <f t="shared" si="4"/>
        <v>0</v>
      </c>
      <c r="U14" s="128">
        <f t="shared" si="4"/>
        <v>0</v>
      </c>
      <c r="V14" s="128">
        <f t="shared" ref="V14:AA14" si="5">D6</f>
        <v>0</v>
      </c>
      <c r="W14" s="128">
        <f t="shared" si="5"/>
        <v>0</v>
      </c>
      <c r="X14" s="128">
        <f t="shared" si="5"/>
        <v>0</v>
      </c>
      <c r="Y14" s="128">
        <f t="shared" si="5"/>
        <v>0</v>
      </c>
      <c r="Z14" s="128">
        <f t="shared" si="5"/>
        <v>0</v>
      </c>
      <c r="AA14" s="128">
        <f t="shared" si="5"/>
        <v>0</v>
      </c>
      <c r="AB14" s="126">
        <f>SUM(P14,D14,J14)</f>
        <v>6</v>
      </c>
      <c r="AC14" s="127">
        <f t="shared" ref="AC14:AG14" si="6">SUM(K14,E14,Q14)</f>
        <v>3</v>
      </c>
      <c r="AD14" s="127">
        <f t="shared" si="6"/>
        <v>0</v>
      </c>
      <c r="AE14" s="127">
        <f t="shared" si="6"/>
        <v>0</v>
      </c>
      <c r="AF14" s="127">
        <f t="shared" si="6"/>
        <v>0</v>
      </c>
      <c r="AG14" s="127">
        <f t="shared" si="6"/>
        <v>0</v>
      </c>
      <c r="AH14" s="129">
        <v>1</v>
      </c>
      <c r="AI14" s="130">
        <v>1</v>
      </c>
      <c r="AJ14" s="130">
        <v>1</v>
      </c>
      <c r="AK14" s="131">
        <v>1</v>
      </c>
      <c r="AL14" s="132">
        <v>1</v>
      </c>
      <c r="AM14" s="131">
        <v>1</v>
      </c>
      <c r="AN14" s="264" t="s">
        <v>143</v>
      </c>
      <c r="AO14" s="261"/>
      <c r="AP14" s="261"/>
      <c r="AQ14" s="261"/>
      <c r="AR14" s="261"/>
      <c r="AS14" s="262"/>
      <c r="AT14" s="122"/>
      <c r="AU14" s="133">
        <v>1</v>
      </c>
      <c r="AV14" s="134">
        <v>1</v>
      </c>
      <c r="AW14" s="134">
        <v>1</v>
      </c>
      <c r="AX14" s="134">
        <v>1</v>
      </c>
      <c r="AY14" s="134">
        <v>1</v>
      </c>
      <c r="AZ14" s="134">
        <v>1</v>
      </c>
      <c r="BA14" s="134">
        <v>1</v>
      </c>
      <c r="BB14" s="134">
        <v>1</v>
      </c>
      <c r="BC14" s="134">
        <v>1</v>
      </c>
      <c r="BD14" s="134">
        <v>1</v>
      </c>
      <c r="BE14" s="134">
        <v>1</v>
      </c>
      <c r="BF14" s="135">
        <v>1</v>
      </c>
      <c r="BG14" s="269" t="s">
        <v>144</v>
      </c>
      <c r="BH14" s="270"/>
      <c r="BI14" s="270"/>
      <c r="BJ14" s="270"/>
      <c r="BK14" s="270"/>
      <c r="BL14" s="270"/>
      <c r="BM14" s="270"/>
      <c r="BN14" s="270"/>
      <c r="BO14" s="270"/>
      <c r="BP14" s="270"/>
      <c r="BQ14" s="270"/>
      <c r="BR14" s="271"/>
    </row>
    <row r="15" spans="1:70" ht="16.5" thickBot="1">
      <c r="A15" s="136">
        <v>1</v>
      </c>
      <c r="B15" s="22"/>
      <c r="C15" s="205"/>
      <c r="D15" s="209"/>
      <c r="E15" s="210"/>
      <c r="F15" s="211"/>
      <c r="G15" s="212"/>
      <c r="H15" s="212"/>
      <c r="I15" s="212"/>
      <c r="J15" s="206"/>
      <c r="K15" s="137"/>
      <c r="L15" s="137"/>
      <c r="M15" s="138"/>
      <c r="N15" s="138"/>
      <c r="O15" s="138"/>
      <c r="P15" s="139"/>
      <c r="Q15" s="140"/>
      <c r="R15" s="140"/>
      <c r="S15" s="140"/>
      <c r="T15" s="140"/>
      <c r="U15" s="141"/>
      <c r="V15" s="139"/>
      <c r="W15" s="140"/>
      <c r="X15" s="140"/>
      <c r="Y15" s="140"/>
      <c r="Z15" s="140"/>
      <c r="AA15" s="141"/>
      <c r="AB15" s="142">
        <f t="shared" ref="AB15:AE15" si="7">SUM(V15,D15,J15)</f>
        <v>0</v>
      </c>
      <c r="AC15" s="143">
        <f t="shared" si="7"/>
        <v>0</v>
      </c>
      <c r="AD15" s="143">
        <f t="shared" si="7"/>
        <v>0</v>
      </c>
      <c r="AE15" s="143">
        <f t="shared" si="7"/>
        <v>0</v>
      </c>
      <c r="AF15" s="143">
        <f t="shared" ref="AF15:AF56" si="8">SUM(T15,H15,N15)</f>
        <v>0</v>
      </c>
      <c r="AG15" s="143">
        <f t="shared" ref="AG15:AG56" si="9">SUM(AA15,I15,O15)</f>
        <v>0</v>
      </c>
      <c r="AH15" s="144">
        <f t="shared" ref="AH15:AM15" si="10">IF(AB15 = 0, 0, AB15/AB$14)</f>
        <v>0</v>
      </c>
      <c r="AI15" s="144">
        <f t="shared" si="10"/>
        <v>0</v>
      </c>
      <c r="AJ15" s="144">
        <f t="shared" si="10"/>
        <v>0</v>
      </c>
      <c r="AK15" s="144">
        <f t="shared" si="10"/>
        <v>0</v>
      </c>
      <c r="AL15" s="144">
        <f t="shared" si="10"/>
        <v>0</v>
      </c>
      <c r="AM15" s="144">
        <f t="shared" si="10"/>
        <v>0</v>
      </c>
      <c r="AN15" s="145">
        <f>IF(OR(GradeSheet!$M10="W (Withdrawn)", GradeSheet!$M10="I (Incomplete)"), 0, IF(AH15&gt;=55%, 1, 0))</f>
        <v>0</v>
      </c>
      <c r="AO15" s="145">
        <f>IF(OR(GradeSheet!$M10="W (Withdrawn)", GradeSheet!$M10="I (Incomplete)"), 0, IF(AI15&gt;=55%, 1, 0))</f>
        <v>0</v>
      </c>
      <c r="AP15" s="145">
        <f>IF(OR(GradeSheet!$M10="W (Withdrawn)", GradeSheet!$M10="I (Incomplete)"), 0, IF(AJ15&gt;=55%, 1, 0))</f>
        <v>0</v>
      </c>
      <c r="AQ15" s="145">
        <f>IF(OR(GradeSheet!$M10="W (Withdrawn)", GradeSheet!$M10="I (Incomplete)"), 0, IF(AK15&gt;=55%, 1, 0))</f>
        <v>0</v>
      </c>
      <c r="AR15" s="145">
        <f>IF(OR(GradeSheet!$M10="W (Withdrawn)", GradeSheet!$M10="I (Incomplete)"), 0, IF(AL15&gt;=55%, 1, 0))</f>
        <v>0</v>
      </c>
      <c r="AS15" s="145">
        <f>IF(OR(GradeSheet!$M10="W (Withdrawn)", GradeSheet!$M10="I (Incomplete)"), 0, IF(AM15&gt;=55%, 1, 0))</f>
        <v>0</v>
      </c>
      <c r="AT15" s="122"/>
      <c r="AU15" s="146">
        <f t="shared" ref="AU15:AU55" si="11">IF($AT$9=0,0,MMULT($AH15:$AM15, AT$3:AT$8)/$AT$9)</f>
        <v>0</v>
      </c>
      <c r="AV15" s="146">
        <f t="shared" ref="AV15:AV55" si="12">IF($AU$9=0,0,MMULT($AH15:$AM15, AU$3:AU$8)/$AU$9)</f>
        <v>0</v>
      </c>
      <c r="AW15" s="146">
        <f t="array" ref="AW15">IF($AV$9=0,0,MMULT($AH15:$AM15, AV$3:AV$8)/$AV$9)</f>
        <v>0</v>
      </c>
      <c r="AX15" s="146">
        <f t="array" ref="AX15">IF($AW$9=0,0,MMULT($AH15:$AM15, AW$3:AW$8)/$AW$9)</f>
        <v>0</v>
      </c>
      <c r="AY15" s="146">
        <f t="shared" ref="AY15:AY55" si="13">IF($AX$9=0,0,MMULT($AH15:$AM15, AX$3:AX$8)/$AX$9)</f>
        <v>0</v>
      </c>
      <c r="AZ15" s="146">
        <f t="array" ref="AZ15">IF($AY$9=0,0,MMULT($AH15:$AM15, AY$3:AY$8)/$AY$9)</f>
        <v>0</v>
      </c>
      <c r="BA15" s="146">
        <f t="array" ref="BA15">IF($AZ$9=0,0,MMULT($AH15:$AM15, AZ$3:AZ$8)/$AZ$9)</f>
        <v>0</v>
      </c>
      <c r="BB15" s="146">
        <f t="array" ref="BB15">IF($BA$9=0,0,MMULT($AH15:$AM15, BA$3:BA$8)/$BA$9)</f>
        <v>0</v>
      </c>
      <c r="BC15" s="146">
        <f t="array" ref="BC15">IF($BB$9=0,0,MMULT($AH15:$AM15, BB$3:BB$8)/$BB$9)</f>
        <v>0</v>
      </c>
      <c r="BD15" s="146">
        <f t="array" ref="BD15">IF($BC$9=0,0,MMULT($AH15:$AM15, BC$3:BC$8)/$BC$9)</f>
        <v>0</v>
      </c>
      <c r="BE15" s="146">
        <f t="shared" ref="BE15:BE55" si="14">IF($BD$9=0,0,MMULT($AH15:$AM15, BD$3:BD$8)/$BD$9)</f>
        <v>0</v>
      </c>
      <c r="BF15" s="146">
        <f t="shared" ref="BF15:BF55" si="15">IF($BE$9=0,0,MMULT($AH15:$AM15, BE$3:BE$8)/$BE$9)</f>
        <v>0</v>
      </c>
      <c r="BG15" s="145">
        <f>IF(OR(GradeSheet!$M10="W (Withdrawn)", GradeSheet!$M10="I (Incomplete)"), 0, IF(AU15&gt;=65%, 1, 0))</f>
        <v>0</v>
      </c>
      <c r="BH15" s="145">
        <f>IF(OR(GradeSheet!$M10="W (Withdrawn)", GradeSheet!$M10="I (Incomplete)"), 0, IF(AV15&gt;=65%, 1, 0))</f>
        <v>0</v>
      </c>
      <c r="BI15" s="145">
        <f>IF(OR(GradeSheet!$M10="W (Withdrawn)", GradeSheet!$M10="I (Incomplete)"), 0, IF(AW15&gt;=65%, 1, 0))</f>
        <v>0</v>
      </c>
      <c r="BJ15" s="145">
        <f>IF(OR(GradeSheet!$M10="W (Withdrawn)", GradeSheet!$M10="I (Incomplete)"), 0, IF(AX15&gt;=65%, 1, 0))</f>
        <v>0</v>
      </c>
      <c r="BK15" s="145">
        <f>IF(OR(GradeSheet!$M10="W (Withdrawn)", GradeSheet!$M10="I (Incomplete)"), 0, IF(AY15&gt;=65%, 1, 0))</f>
        <v>0</v>
      </c>
      <c r="BL15" s="145">
        <f>IF(OR(GradeSheet!$M10="W (Withdrawn)", GradeSheet!$M10="I (Incomplete)"), 0, IF(AZ15&gt;=65%, 1, 0))</f>
        <v>0</v>
      </c>
      <c r="BM15" s="145">
        <f>IF(OR(GradeSheet!$M10="W (Withdrawn)", GradeSheet!$M10="I (Incomplete)"), 0, IF(BA15&gt;=65%, 1, 0))</f>
        <v>0</v>
      </c>
      <c r="BN15" s="145">
        <f>IF(OR(GradeSheet!$M10="W (Withdrawn)", GradeSheet!$M10="I (Incomplete)"), 0, IF(BB15&gt;=65%, 1, 0))</f>
        <v>0</v>
      </c>
      <c r="BO15" s="145">
        <f>IF(OR(GradeSheet!$M10="W (Withdrawn)", GradeSheet!$M10="I (Incomplete)"), 0, IF(BC15&gt;=65%, 1, 0))</f>
        <v>0</v>
      </c>
      <c r="BP15" s="145">
        <f>IF(OR(GradeSheet!$M10="W (Withdrawn)", GradeSheet!$M10="I (Incomplete)"), 0, IF(BD15&gt;=65%, 1, 0))</f>
        <v>0</v>
      </c>
      <c r="BQ15" s="145">
        <f>IF(OR(GradeSheet!$M10="W (Withdrawn)", GradeSheet!$M10="I (Incomplete)"), 0, IF(BE15&gt;=65%, 1, 0))</f>
        <v>0</v>
      </c>
      <c r="BR15" s="145">
        <f>IF(OR(GradeSheet!$M10="W (Withdrawn)", GradeSheet!$M10="I (Incomplete)"), 0, IF(BF15&gt;=65%, 1, 0))</f>
        <v>0</v>
      </c>
    </row>
    <row r="16" spans="1:70" ht="15.75">
      <c r="A16" s="147">
        <v>2</v>
      </c>
      <c r="B16" s="22"/>
      <c r="C16" s="205"/>
      <c r="D16" s="210"/>
      <c r="E16" s="210"/>
      <c r="F16" s="212"/>
      <c r="G16" s="212"/>
      <c r="H16" s="212"/>
      <c r="I16" s="212"/>
      <c r="J16" s="206"/>
      <c r="K16" s="137"/>
      <c r="L16" s="137"/>
      <c r="M16" s="138"/>
      <c r="N16" s="138"/>
      <c r="O16" s="138"/>
      <c r="P16" s="139"/>
      <c r="Q16" s="140"/>
      <c r="R16" s="140"/>
      <c r="S16" s="140"/>
      <c r="T16" s="140"/>
      <c r="U16" s="141"/>
      <c r="V16" s="139"/>
      <c r="W16" s="140"/>
      <c r="X16" s="140"/>
      <c r="Y16" s="140"/>
      <c r="Z16" s="140"/>
      <c r="AA16" s="141"/>
      <c r="AB16" s="142">
        <f t="shared" ref="AB16:AE16" si="16">SUM(V16,D16,J16)</f>
        <v>0</v>
      </c>
      <c r="AC16" s="143">
        <f t="shared" si="16"/>
        <v>0</v>
      </c>
      <c r="AD16" s="143">
        <f t="shared" si="16"/>
        <v>0</v>
      </c>
      <c r="AE16" s="148">
        <f t="shared" si="16"/>
        <v>0</v>
      </c>
      <c r="AF16" s="143">
        <f t="shared" si="8"/>
        <v>0</v>
      </c>
      <c r="AG16" s="148">
        <f t="shared" si="9"/>
        <v>0</v>
      </c>
      <c r="AH16" s="144">
        <f t="shared" ref="AH16:AM16" si="17">IF(AB16 = 0, 0, AB16/AB$14)</f>
        <v>0</v>
      </c>
      <c r="AI16" s="144">
        <f t="shared" si="17"/>
        <v>0</v>
      </c>
      <c r="AJ16" s="144">
        <f t="shared" si="17"/>
        <v>0</v>
      </c>
      <c r="AK16" s="144">
        <f t="shared" si="17"/>
        <v>0</v>
      </c>
      <c r="AL16" s="144">
        <f t="shared" si="17"/>
        <v>0</v>
      </c>
      <c r="AM16" s="144">
        <f t="shared" si="17"/>
        <v>0</v>
      </c>
      <c r="AN16" s="145">
        <f>IF(OR(GradeSheet!$M11="W (Withdrawn)", GradeSheet!$M11="I (Incomplete)"), 0, IF(AH16&gt;=55%, 1, 0))</f>
        <v>0</v>
      </c>
      <c r="AO16" s="145">
        <f>IF(OR(GradeSheet!$M11="W (Withdrawn)", GradeSheet!$M11="I (Incomplete)"), 0, IF(AI16&gt;=55%, 1, 0))</f>
        <v>0</v>
      </c>
      <c r="AP16" s="145">
        <f>IF(OR(GradeSheet!$M11="W (Withdrawn)", GradeSheet!$M11="I (Incomplete)"), 0, IF(AJ16&gt;=55%, 1, 0))</f>
        <v>0</v>
      </c>
      <c r="AQ16" s="145">
        <f>IF(OR(GradeSheet!$M11="W (Withdrawn)", GradeSheet!$M11="I (Incomplete)"), 0, IF(AK16&gt;=55%, 1, 0))</f>
        <v>0</v>
      </c>
      <c r="AR16" s="145">
        <f>IF(OR(GradeSheet!$M11="W (Withdrawn)", GradeSheet!$M11="I (Incomplete)"), 0, IF(AL16&gt;=55%, 1, 0))</f>
        <v>0</v>
      </c>
      <c r="AS16" s="145">
        <f>IF(OR(GradeSheet!$M11="W (Withdrawn)", GradeSheet!$M11="I (Incomplete)"), 0, IF(AM16&gt;=55%, 1, 0))</f>
        <v>0</v>
      </c>
      <c r="AT16" s="122"/>
      <c r="AU16" s="146">
        <f t="shared" si="11"/>
        <v>0</v>
      </c>
      <c r="AV16" s="146">
        <f t="shared" si="12"/>
        <v>0</v>
      </c>
      <c r="AW16" s="146">
        <f t="array" ref="AW16">IF($AV$9=0,0,MMULT($AH16:$AM16, AV$3:AV$8)/$AV$9)</f>
        <v>0</v>
      </c>
      <c r="AX16" s="146">
        <f t="array" ref="AX16">IF($AW$9=0,0,MMULT($AH16:$AM16, AW$3:AW$8)/$AW$9)</f>
        <v>0</v>
      </c>
      <c r="AY16" s="146">
        <f t="shared" si="13"/>
        <v>0</v>
      </c>
      <c r="AZ16" s="146">
        <f t="array" ref="AZ16">IF($AY$9=0,0,MMULT($AH16:$AM16, AY$3:AY$8)/$AY$9)</f>
        <v>0</v>
      </c>
      <c r="BA16" s="146">
        <f t="array" ref="BA16">IF($AZ$9=0,0,MMULT($AH16:$AM16, AZ$3:AZ$8)/$AZ$9)</f>
        <v>0</v>
      </c>
      <c r="BB16" s="146">
        <f t="array" ref="BB16">IF($BA$9=0,0,MMULT($AH16:$AM16, BA$3:BA$8)/$BA$9)</f>
        <v>0</v>
      </c>
      <c r="BC16" s="146">
        <f t="array" ref="BC16">IF($BB$9=0,0,MMULT($AH16:$AM16, BB$3:BB$8)/$BB$9)</f>
        <v>0</v>
      </c>
      <c r="BD16" s="146">
        <f t="array" ref="BD16">IF($BC$9=0,0,MMULT($AH16:$AM16, BC$3:BC$8)/$BC$9)</f>
        <v>0</v>
      </c>
      <c r="BE16" s="146">
        <f t="shared" si="14"/>
        <v>0</v>
      </c>
      <c r="BF16" s="146">
        <f t="shared" si="15"/>
        <v>0</v>
      </c>
      <c r="BG16" s="145">
        <f>IF(OR(GradeSheet!$M11="W (Withdrawn)", GradeSheet!$M11="I (Incomplete)"), 0, IF(AU16&gt;=65%, 1, 0))</f>
        <v>0</v>
      </c>
      <c r="BH16" s="145">
        <f>IF(OR(GradeSheet!$M11="W (Withdrawn)", GradeSheet!$M11="I (Incomplete)"), 0, IF(AV16&gt;=65%, 1, 0))</f>
        <v>0</v>
      </c>
      <c r="BI16" s="145">
        <f>IF(OR(GradeSheet!$M11="W (Withdrawn)", GradeSheet!$M11="I (Incomplete)"), 0, IF(AW16&gt;=65%, 1, 0))</f>
        <v>0</v>
      </c>
      <c r="BJ16" s="145">
        <f>IF(OR(GradeSheet!$M11="W (Withdrawn)", GradeSheet!$M11="I (Incomplete)"), 0, IF(AX16&gt;=65%, 1, 0))</f>
        <v>0</v>
      </c>
      <c r="BK16" s="145">
        <f>IF(OR(GradeSheet!$M11="W (Withdrawn)", GradeSheet!$M11="I (Incomplete)"), 0, IF(AY16&gt;=65%, 1, 0))</f>
        <v>0</v>
      </c>
      <c r="BL16" s="145">
        <f>IF(OR(GradeSheet!$M11="W (Withdrawn)", GradeSheet!$M11="I (Incomplete)"), 0, IF(AZ16&gt;=65%, 1, 0))</f>
        <v>0</v>
      </c>
      <c r="BM16" s="145">
        <f>IF(OR(GradeSheet!$M11="W (Withdrawn)", GradeSheet!$M11="I (Incomplete)"), 0, IF(BA16&gt;=65%, 1, 0))</f>
        <v>0</v>
      </c>
      <c r="BN16" s="145">
        <f>IF(OR(GradeSheet!$M11="W (Withdrawn)", GradeSheet!$M11="I (Incomplete)"), 0, IF(BB16&gt;=65%, 1, 0))</f>
        <v>0</v>
      </c>
      <c r="BO16" s="145">
        <f>IF(OR(GradeSheet!$M11="W (Withdrawn)", GradeSheet!$M11="I (Incomplete)"), 0, IF(BC16&gt;=65%, 1, 0))</f>
        <v>0</v>
      </c>
      <c r="BP16" s="145">
        <f>IF(OR(GradeSheet!$M11="W (Withdrawn)", GradeSheet!$M11="I (Incomplete)"), 0, IF(BD16&gt;=65%, 1, 0))</f>
        <v>0</v>
      </c>
      <c r="BQ16" s="145">
        <f>IF(OR(GradeSheet!$M11="W (Withdrawn)", GradeSheet!$M11="I (Incomplete)"), 0, IF(BE16&gt;=65%, 1, 0))</f>
        <v>0</v>
      </c>
      <c r="BR16" s="145">
        <f>IF(OR(GradeSheet!$M11="W (Withdrawn)", GradeSheet!$M11="I (Incomplete)"), 0, IF(BF16&gt;=65%, 1, 0))</f>
        <v>0</v>
      </c>
    </row>
    <row r="17" spans="1:70" ht="15.75">
      <c r="A17" s="136">
        <v>3</v>
      </c>
      <c r="B17" s="22"/>
      <c r="C17" s="30"/>
      <c r="D17" s="137"/>
      <c r="E17" s="137"/>
      <c r="F17" s="138"/>
      <c r="G17" s="138"/>
      <c r="H17" s="138"/>
      <c r="I17" s="138"/>
      <c r="J17" s="137"/>
      <c r="K17" s="137"/>
      <c r="L17" s="137"/>
      <c r="M17" s="138"/>
      <c r="N17" s="138"/>
      <c r="O17" s="138"/>
      <c r="P17" s="139"/>
      <c r="Q17" s="140"/>
      <c r="R17" s="140"/>
      <c r="S17" s="140"/>
      <c r="T17" s="140"/>
      <c r="U17" s="141"/>
      <c r="V17" s="139"/>
      <c r="W17" s="140"/>
      <c r="X17" s="140"/>
      <c r="Y17" s="140"/>
      <c r="Z17" s="140"/>
      <c r="AA17" s="141"/>
      <c r="AB17" s="142">
        <f t="shared" ref="AB17:AE17" si="18">SUM(V17,D17,J17)</f>
        <v>0</v>
      </c>
      <c r="AC17" s="143">
        <f t="shared" si="18"/>
        <v>0</v>
      </c>
      <c r="AD17" s="143">
        <f t="shared" si="18"/>
        <v>0</v>
      </c>
      <c r="AE17" s="148">
        <f t="shared" si="18"/>
        <v>0</v>
      </c>
      <c r="AF17" s="143">
        <f t="shared" si="8"/>
        <v>0</v>
      </c>
      <c r="AG17" s="148">
        <f t="shared" si="9"/>
        <v>0</v>
      </c>
      <c r="AH17" s="144">
        <f t="shared" ref="AH17:AM17" si="19">IF(AB17 = 0, 0, AB17/AB$14)</f>
        <v>0</v>
      </c>
      <c r="AI17" s="144">
        <f t="shared" si="19"/>
        <v>0</v>
      </c>
      <c r="AJ17" s="144">
        <f t="shared" si="19"/>
        <v>0</v>
      </c>
      <c r="AK17" s="144">
        <f t="shared" si="19"/>
        <v>0</v>
      </c>
      <c r="AL17" s="144">
        <f t="shared" si="19"/>
        <v>0</v>
      </c>
      <c r="AM17" s="144">
        <f t="shared" si="19"/>
        <v>0</v>
      </c>
      <c r="AN17" s="145">
        <f>IF(OR(GradeSheet!$M12="W (Withdrawn)", GradeSheet!$M12="I (Incomplete)"), 0, IF(AH17&gt;=55%, 1, 0))</f>
        <v>0</v>
      </c>
      <c r="AO17" s="145">
        <f>IF(OR(GradeSheet!$M12="W (Withdrawn)", GradeSheet!$M12="I (Incomplete)"), 0, IF(AI17&gt;=55%, 1, 0))</f>
        <v>0</v>
      </c>
      <c r="AP17" s="145">
        <f>IF(OR(GradeSheet!$M12="W (Withdrawn)", GradeSheet!$M12="I (Incomplete)"), 0, IF(AJ17&gt;=55%, 1, 0))</f>
        <v>0</v>
      </c>
      <c r="AQ17" s="145">
        <f>IF(OR(GradeSheet!$M12="W (Withdrawn)", GradeSheet!$M12="I (Incomplete)"), 0, IF(AK17&gt;=55%, 1, 0))</f>
        <v>0</v>
      </c>
      <c r="AR17" s="145">
        <f>IF(OR(GradeSheet!$M12="W (Withdrawn)", GradeSheet!$M12="I (Incomplete)"), 0, IF(AL17&gt;=55%, 1, 0))</f>
        <v>0</v>
      </c>
      <c r="AS17" s="145">
        <f>IF(OR(GradeSheet!$M12="W (Withdrawn)", GradeSheet!$M12="I (Incomplete)"), 0, IF(AM17&gt;=55%, 1, 0))</f>
        <v>0</v>
      </c>
      <c r="AT17" s="122"/>
      <c r="AU17" s="146">
        <f t="shared" si="11"/>
        <v>0</v>
      </c>
      <c r="AV17" s="146">
        <f t="shared" si="12"/>
        <v>0</v>
      </c>
      <c r="AW17" s="146">
        <f t="array" ref="AW17">IF($AV$9=0,0,MMULT($AH17:$AM17, AV$3:AV$8)/$AV$9)</f>
        <v>0</v>
      </c>
      <c r="AX17" s="146">
        <f t="array" ref="AX17">IF($AW$9=0,0,MMULT($AH17:$AM17, AW$3:AW$8)/$AW$9)</f>
        <v>0</v>
      </c>
      <c r="AY17" s="146">
        <f t="shared" si="13"/>
        <v>0</v>
      </c>
      <c r="AZ17" s="146">
        <f t="array" ref="AZ17">IF($AY$9=0,0,MMULT($AH17:$AM17, AY$3:AY$8)/$AY$9)</f>
        <v>0</v>
      </c>
      <c r="BA17" s="146">
        <f t="array" ref="BA17">IF($AZ$9=0,0,MMULT($AH17:$AM17, AZ$3:AZ$8)/$AZ$9)</f>
        <v>0</v>
      </c>
      <c r="BB17" s="146">
        <f t="array" ref="BB17">IF($BA$9=0,0,MMULT($AH17:$AM17, BA$3:BA$8)/$BA$9)</f>
        <v>0</v>
      </c>
      <c r="BC17" s="146">
        <f t="array" ref="BC17">IF($BB$9=0,0,MMULT($AH17:$AM17, BB$3:BB$8)/$BB$9)</f>
        <v>0</v>
      </c>
      <c r="BD17" s="146">
        <f t="array" ref="BD17">IF($BC$9=0,0,MMULT($AH17:$AM17, BC$3:BC$8)/$BC$9)</f>
        <v>0</v>
      </c>
      <c r="BE17" s="146">
        <f t="shared" si="14"/>
        <v>0</v>
      </c>
      <c r="BF17" s="146">
        <f t="shared" si="15"/>
        <v>0</v>
      </c>
      <c r="BG17" s="145">
        <f>IF(OR(GradeSheet!$M12="W (Withdrawn)", GradeSheet!$M12="I (Incomplete)"), 0, IF(AU17&gt;=65%, 1, 0))</f>
        <v>0</v>
      </c>
      <c r="BH17" s="145">
        <f>IF(OR(GradeSheet!$M12="W (Withdrawn)", GradeSheet!$M12="I (Incomplete)"), 0, IF(AV17&gt;=65%, 1, 0))</f>
        <v>0</v>
      </c>
      <c r="BI17" s="145">
        <f>IF(OR(GradeSheet!$M12="W (Withdrawn)", GradeSheet!$M12="I (Incomplete)"), 0, IF(AW17&gt;=65%, 1, 0))</f>
        <v>0</v>
      </c>
      <c r="BJ17" s="145">
        <f>IF(OR(GradeSheet!$M12="W (Withdrawn)", GradeSheet!$M12="I (Incomplete)"), 0, IF(AX17&gt;=65%, 1, 0))</f>
        <v>0</v>
      </c>
      <c r="BK17" s="145">
        <f>IF(OR(GradeSheet!$M12="W (Withdrawn)", GradeSheet!$M12="I (Incomplete)"), 0, IF(AY17&gt;=65%, 1, 0))</f>
        <v>0</v>
      </c>
      <c r="BL17" s="145">
        <f>IF(OR(GradeSheet!$M12="W (Withdrawn)", GradeSheet!$M12="I (Incomplete)"), 0, IF(AZ17&gt;=65%, 1, 0))</f>
        <v>0</v>
      </c>
      <c r="BM17" s="145">
        <f>IF(OR(GradeSheet!$M12="W (Withdrawn)", GradeSheet!$M12="I (Incomplete)"), 0, IF(BA17&gt;=65%, 1, 0))</f>
        <v>0</v>
      </c>
      <c r="BN17" s="145">
        <f>IF(OR(GradeSheet!$M12="W (Withdrawn)", GradeSheet!$M12="I (Incomplete)"), 0, IF(BB17&gt;=65%, 1, 0))</f>
        <v>0</v>
      </c>
      <c r="BO17" s="145">
        <f>IF(OR(GradeSheet!$M12="W (Withdrawn)", GradeSheet!$M12="I (Incomplete)"), 0, IF(BC17&gt;=65%, 1, 0))</f>
        <v>0</v>
      </c>
      <c r="BP17" s="145">
        <f>IF(OR(GradeSheet!$M12="W (Withdrawn)", GradeSheet!$M12="I (Incomplete)"), 0, IF(BD17&gt;=65%, 1, 0))</f>
        <v>0</v>
      </c>
      <c r="BQ17" s="145">
        <f>IF(OR(GradeSheet!$M12="W (Withdrawn)", GradeSheet!$M12="I (Incomplete)"), 0, IF(BE17&gt;=65%, 1, 0))</f>
        <v>0</v>
      </c>
      <c r="BR17" s="145">
        <f>IF(OR(GradeSheet!$M12="W (Withdrawn)", GradeSheet!$M12="I (Incomplete)"), 0, IF(BF17&gt;=65%, 1, 0))</f>
        <v>0</v>
      </c>
    </row>
    <row r="18" spans="1:70" ht="15.75">
      <c r="A18" s="147">
        <v>4</v>
      </c>
      <c r="B18" s="22"/>
      <c r="C18" s="30"/>
      <c r="D18" s="137"/>
      <c r="E18" s="137"/>
      <c r="F18" s="138"/>
      <c r="G18" s="138"/>
      <c r="H18" s="138"/>
      <c r="I18" s="138"/>
      <c r="J18" s="137"/>
      <c r="K18" s="137"/>
      <c r="L18" s="137"/>
      <c r="M18" s="138"/>
      <c r="N18" s="138"/>
      <c r="O18" s="138"/>
      <c r="P18" s="139"/>
      <c r="Q18" s="140"/>
      <c r="R18" s="140"/>
      <c r="S18" s="140"/>
      <c r="T18" s="140"/>
      <c r="U18" s="141"/>
      <c r="V18" s="139"/>
      <c r="W18" s="140"/>
      <c r="X18" s="140"/>
      <c r="Y18" s="140"/>
      <c r="Z18" s="140"/>
      <c r="AA18" s="141"/>
      <c r="AB18" s="142">
        <f t="shared" ref="AB18:AE18" si="20">SUM(V18,D18,J18)</f>
        <v>0</v>
      </c>
      <c r="AC18" s="143">
        <f t="shared" si="20"/>
        <v>0</v>
      </c>
      <c r="AD18" s="143">
        <f t="shared" si="20"/>
        <v>0</v>
      </c>
      <c r="AE18" s="148">
        <f t="shared" si="20"/>
        <v>0</v>
      </c>
      <c r="AF18" s="143">
        <f t="shared" si="8"/>
        <v>0</v>
      </c>
      <c r="AG18" s="148">
        <f t="shared" si="9"/>
        <v>0</v>
      </c>
      <c r="AH18" s="144">
        <f t="shared" ref="AH18:AM18" si="21">IF(AB18 = 0, 0, AB18/AB$14)</f>
        <v>0</v>
      </c>
      <c r="AI18" s="144">
        <f t="shared" si="21"/>
        <v>0</v>
      </c>
      <c r="AJ18" s="144">
        <f t="shared" si="21"/>
        <v>0</v>
      </c>
      <c r="AK18" s="144">
        <f t="shared" si="21"/>
        <v>0</v>
      </c>
      <c r="AL18" s="144">
        <f t="shared" si="21"/>
        <v>0</v>
      </c>
      <c r="AM18" s="144">
        <f t="shared" si="21"/>
        <v>0</v>
      </c>
      <c r="AN18" s="145">
        <f>IF(OR(GradeSheet!$M13="W (Withdrawn)", GradeSheet!$M13="I (Incomplete)"), 0, IF(AH18&gt;=55%, 1, 0))</f>
        <v>0</v>
      </c>
      <c r="AO18" s="145">
        <f>IF(OR(GradeSheet!$M13="W (Withdrawn)", GradeSheet!$M13="I (Incomplete)"), 0, IF(AI18&gt;=55%, 1, 0))</f>
        <v>0</v>
      </c>
      <c r="AP18" s="145">
        <f>IF(OR(GradeSheet!$M13="W (Withdrawn)", GradeSheet!$M13="I (Incomplete)"), 0, IF(AJ18&gt;=55%, 1, 0))</f>
        <v>0</v>
      </c>
      <c r="AQ18" s="145">
        <f>IF(OR(GradeSheet!$M13="W (Withdrawn)", GradeSheet!$M13="I (Incomplete)"), 0, IF(AK18&gt;=55%, 1, 0))</f>
        <v>0</v>
      </c>
      <c r="AR18" s="145">
        <f>IF(OR(GradeSheet!$M13="W (Withdrawn)", GradeSheet!$M13="I (Incomplete)"), 0, IF(AL18&gt;=55%, 1, 0))</f>
        <v>0</v>
      </c>
      <c r="AS18" s="145">
        <f>IF(OR(GradeSheet!$M13="W (Withdrawn)", GradeSheet!$M13="I (Incomplete)"), 0, IF(AM18&gt;=55%, 1, 0))</f>
        <v>0</v>
      </c>
      <c r="AT18" s="122"/>
      <c r="AU18" s="146">
        <f t="shared" si="11"/>
        <v>0</v>
      </c>
      <c r="AV18" s="146">
        <f t="shared" si="12"/>
        <v>0</v>
      </c>
      <c r="AW18" s="146">
        <f t="array" ref="AW18">IF($AV$9=0,0,MMULT($AH18:$AM18, AV$3:AV$8)/$AV$9)</f>
        <v>0</v>
      </c>
      <c r="AX18" s="146">
        <f t="array" ref="AX18">IF($AW$9=0,0,MMULT($AH18:$AM18, AW$3:AW$8)/$AW$9)</f>
        <v>0</v>
      </c>
      <c r="AY18" s="146">
        <f t="shared" si="13"/>
        <v>0</v>
      </c>
      <c r="AZ18" s="146">
        <f t="array" ref="AZ18">IF($AY$9=0,0,MMULT($AH18:$AM18, AY$3:AY$8)/$AY$9)</f>
        <v>0</v>
      </c>
      <c r="BA18" s="146">
        <f t="array" ref="BA18">IF($AZ$9=0,0,MMULT($AH18:$AM18, AZ$3:AZ$8)/$AZ$9)</f>
        <v>0</v>
      </c>
      <c r="BB18" s="146">
        <f t="array" ref="BB18">IF($BA$9=0,0,MMULT($AH18:$AM18, BA$3:BA$8)/$BA$9)</f>
        <v>0</v>
      </c>
      <c r="BC18" s="146">
        <f t="array" ref="BC18">IF($BB$9=0,0,MMULT($AH18:$AM18, BB$3:BB$8)/$BB$9)</f>
        <v>0</v>
      </c>
      <c r="BD18" s="146">
        <f t="array" ref="BD18">IF($BC$9=0,0,MMULT($AH18:$AM18, BC$3:BC$8)/$BC$9)</f>
        <v>0</v>
      </c>
      <c r="BE18" s="146">
        <f t="shared" si="14"/>
        <v>0</v>
      </c>
      <c r="BF18" s="146">
        <f t="shared" si="15"/>
        <v>0</v>
      </c>
      <c r="BG18" s="145">
        <f>IF(OR(GradeSheet!$M13="W (Withdrawn)", GradeSheet!$M13="I (Incomplete)"), 0, IF(AU18&gt;=65%, 1, 0))</f>
        <v>0</v>
      </c>
      <c r="BH18" s="145">
        <f>IF(OR(GradeSheet!$M13="W (Withdrawn)", GradeSheet!$M13="I (Incomplete)"), 0, IF(AV18&gt;=65%, 1, 0))</f>
        <v>0</v>
      </c>
      <c r="BI18" s="145">
        <f>IF(OR(GradeSheet!$M13="W (Withdrawn)", GradeSheet!$M13="I (Incomplete)"), 0, IF(AW18&gt;=65%, 1, 0))</f>
        <v>0</v>
      </c>
      <c r="BJ18" s="145">
        <f>IF(OR(GradeSheet!$M13="W (Withdrawn)", GradeSheet!$M13="I (Incomplete)"), 0, IF(AX18&gt;=65%, 1, 0))</f>
        <v>0</v>
      </c>
      <c r="BK18" s="145">
        <f>IF(OR(GradeSheet!$M13="W (Withdrawn)", GradeSheet!$M13="I (Incomplete)"), 0, IF(AY18&gt;=65%, 1, 0))</f>
        <v>0</v>
      </c>
      <c r="BL18" s="145">
        <f>IF(OR(GradeSheet!$M13="W (Withdrawn)", GradeSheet!$M13="I (Incomplete)"), 0, IF(AZ18&gt;=65%, 1, 0))</f>
        <v>0</v>
      </c>
      <c r="BM18" s="145">
        <f>IF(OR(GradeSheet!$M13="W (Withdrawn)", GradeSheet!$M13="I (Incomplete)"), 0, IF(BA18&gt;=65%, 1, 0))</f>
        <v>0</v>
      </c>
      <c r="BN18" s="145">
        <f>IF(OR(GradeSheet!$M13="W (Withdrawn)", GradeSheet!$M13="I (Incomplete)"), 0, IF(BB18&gt;=65%, 1, 0))</f>
        <v>0</v>
      </c>
      <c r="BO18" s="145">
        <f>IF(OR(GradeSheet!$M13="W (Withdrawn)", GradeSheet!$M13="I (Incomplete)"), 0, IF(BC18&gt;=65%, 1, 0))</f>
        <v>0</v>
      </c>
      <c r="BP18" s="145">
        <f>IF(OR(GradeSheet!$M13="W (Withdrawn)", GradeSheet!$M13="I (Incomplete)"), 0, IF(BD18&gt;=65%, 1, 0))</f>
        <v>0</v>
      </c>
      <c r="BQ18" s="145">
        <f>IF(OR(GradeSheet!$M13="W (Withdrawn)", GradeSheet!$M13="I (Incomplete)"), 0, IF(BE18&gt;=65%, 1, 0))</f>
        <v>0</v>
      </c>
      <c r="BR18" s="145">
        <f>IF(OR(GradeSheet!$M13="W (Withdrawn)", GradeSheet!$M13="I (Incomplete)"), 0, IF(BF18&gt;=65%, 1, 0))</f>
        <v>0</v>
      </c>
    </row>
    <row r="19" spans="1:70" ht="15.75">
      <c r="A19" s="136">
        <v>5</v>
      </c>
      <c r="B19" s="22"/>
      <c r="C19" s="30"/>
      <c r="D19" s="137"/>
      <c r="E19" s="137"/>
      <c r="F19" s="138"/>
      <c r="G19" s="138"/>
      <c r="H19" s="138"/>
      <c r="I19" s="138"/>
      <c r="J19" s="137"/>
      <c r="K19" s="137"/>
      <c r="L19" s="137"/>
      <c r="M19" s="138"/>
      <c r="N19" s="138"/>
      <c r="O19" s="138"/>
      <c r="P19" s="139"/>
      <c r="Q19" s="140"/>
      <c r="R19" s="140"/>
      <c r="S19" s="140"/>
      <c r="T19" s="140"/>
      <c r="U19" s="141"/>
      <c r="V19" s="139"/>
      <c r="W19" s="140"/>
      <c r="X19" s="140"/>
      <c r="Y19" s="140"/>
      <c r="Z19" s="140"/>
      <c r="AA19" s="141"/>
      <c r="AB19" s="142">
        <f t="shared" ref="AB19:AE19" si="22">SUM(V19,D19,J19)</f>
        <v>0</v>
      </c>
      <c r="AC19" s="143">
        <f t="shared" si="22"/>
        <v>0</v>
      </c>
      <c r="AD19" s="143">
        <f t="shared" si="22"/>
        <v>0</v>
      </c>
      <c r="AE19" s="148">
        <f t="shared" si="22"/>
        <v>0</v>
      </c>
      <c r="AF19" s="143">
        <f t="shared" si="8"/>
        <v>0</v>
      </c>
      <c r="AG19" s="148">
        <f t="shared" si="9"/>
        <v>0</v>
      </c>
      <c r="AH19" s="144">
        <f t="shared" ref="AH19:AM19" si="23">IF(AB19 = 0, 0, AB19/AB$14)</f>
        <v>0</v>
      </c>
      <c r="AI19" s="144">
        <f t="shared" si="23"/>
        <v>0</v>
      </c>
      <c r="AJ19" s="144">
        <f t="shared" si="23"/>
        <v>0</v>
      </c>
      <c r="AK19" s="144">
        <f t="shared" si="23"/>
        <v>0</v>
      </c>
      <c r="AL19" s="144">
        <f t="shared" si="23"/>
        <v>0</v>
      </c>
      <c r="AM19" s="144">
        <f t="shared" si="23"/>
        <v>0</v>
      </c>
      <c r="AN19" s="145">
        <f>IF(OR(GradeSheet!$M14="W (Withdrawn)", GradeSheet!$M14="I (Incomplete)"), 0, IF(AH19&gt;=55%, 1, 0))</f>
        <v>0</v>
      </c>
      <c r="AO19" s="145">
        <f>IF(OR(GradeSheet!$M14="W (Withdrawn)", GradeSheet!$M14="I (Incomplete)"), 0, IF(AI19&gt;=55%, 1, 0))</f>
        <v>0</v>
      </c>
      <c r="AP19" s="145">
        <f>IF(OR(GradeSheet!$M14="W (Withdrawn)", GradeSheet!$M14="I (Incomplete)"), 0, IF(AJ19&gt;=55%, 1, 0))</f>
        <v>0</v>
      </c>
      <c r="AQ19" s="145">
        <f>IF(OR(GradeSheet!$M14="W (Withdrawn)", GradeSheet!$M14="I (Incomplete)"), 0, IF(AK19&gt;=55%, 1, 0))</f>
        <v>0</v>
      </c>
      <c r="AR19" s="145">
        <f>IF(OR(GradeSheet!$M14="W (Withdrawn)", GradeSheet!$M14="I (Incomplete)"), 0, IF(AL19&gt;=55%, 1, 0))</f>
        <v>0</v>
      </c>
      <c r="AS19" s="145">
        <f>IF(OR(GradeSheet!$M14="W (Withdrawn)", GradeSheet!$M14="I (Incomplete)"), 0, IF(AM19&gt;=55%, 1, 0))</f>
        <v>0</v>
      </c>
      <c r="AT19" s="122"/>
      <c r="AU19" s="146">
        <f t="shared" si="11"/>
        <v>0</v>
      </c>
      <c r="AV19" s="146">
        <f t="shared" si="12"/>
        <v>0</v>
      </c>
      <c r="AW19" s="146">
        <f t="array" ref="AW19">IF($AV$9=0,0,MMULT($AH19:$AM19, AV$3:AV$8)/$AV$9)</f>
        <v>0</v>
      </c>
      <c r="AX19" s="146">
        <f t="array" ref="AX19">IF($AW$9=0,0,MMULT($AH19:$AM19, AW$3:AW$8)/$AW$9)</f>
        <v>0</v>
      </c>
      <c r="AY19" s="146">
        <f t="shared" si="13"/>
        <v>0</v>
      </c>
      <c r="AZ19" s="146">
        <f t="array" ref="AZ19">IF($AY$9=0,0,MMULT($AH19:$AM19, AY$3:AY$8)/$AY$9)</f>
        <v>0</v>
      </c>
      <c r="BA19" s="146">
        <f t="array" ref="BA19">IF($AZ$9=0,0,MMULT($AH19:$AM19, AZ$3:AZ$8)/$AZ$9)</f>
        <v>0</v>
      </c>
      <c r="BB19" s="146">
        <f t="array" ref="BB19">IF($BA$9=0,0,MMULT($AH19:$AM19, BA$3:BA$8)/$BA$9)</f>
        <v>0</v>
      </c>
      <c r="BC19" s="146">
        <f t="array" ref="BC19">IF($BB$9=0,0,MMULT($AH19:$AM19, BB$3:BB$8)/$BB$9)</f>
        <v>0</v>
      </c>
      <c r="BD19" s="146">
        <f t="array" ref="BD19">IF($BC$9=0,0,MMULT($AH19:$AM19, BC$3:BC$8)/$BC$9)</f>
        <v>0</v>
      </c>
      <c r="BE19" s="146">
        <f t="shared" si="14"/>
        <v>0</v>
      </c>
      <c r="BF19" s="146">
        <f t="shared" si="15"/>
        <v>0</v>
      </c>
      <c r="BG19" s="145">
        <f>IF(OR(GradeSheet!$M14="W (Withdrawn)", GradeSheet!$M14="I (Incomplete)"), 0, IF(AU19&gt;=65%, 1, 0))</f>
        <v>0</v>
      </c>
      <c r="BH19" s="145">
        <f>IF(OR(GradeSheet!$M14="W (Withdrawn)", GradeSheet!$M14="I (Incomplete)"), 0, IF(AV19&gt;=65%, 1, 0))</f>
        <v>0</v>
      </c>
      <c r="BI19" s="145">
        <f>IF(OR(GradeSheet!$M14="W (Withdrawn)", GradeSheet!$M14="I (Incomplete)"), 0, IF(AW19&gt;=65%, 1, 0))</f>
        <v>0</v>
      </c>
      <c r="BJ19" s="145">
        <f>IF(OR(GradeSheet!$M14="W (Withdrawn)", GradeSheet!$M14="I (Incomplete)"), 0, IF(AX19&gt;=65%, 1, 0))</f>
        <v>0</v>
      </c>
      <c r="BK19" s="145">
        <f>IF(OR(GradeSheet!$M14="W (Withdrawn)", GradeSheet!$M14="I (Incomplete)"), 0, IF(AY19&gt;=65%, 1, 0))</f>
        <v>0</v>
      </c>
      <c r="BL19" s="145">
        <f>IF(OR(GradeSheet!$M14="W (Withdrawn)", GradeSheet!$M14="I (Incomplete)"), 0, IF(AZ19&gt;=65%, 1, 0))</f>
        <v>0</v>
      </c>
      <c r="BM19" s="145">
        <f>IF(OR(GradeSheet!$M14="W (Withdrawn)", GradeSheet!$M14="I (Incomplete)"), 0, IF(BA19&gt;=65%, 1, 0))</f>
        <v>0</v>
      </c>
      <c r="BN19" s="145">
        <f>IF(OR(GradeSheet!$M14="W (Withdrawn)", GradeSheet!$M14="I (Incomplete)"), 0, IF(BB19&gt;=65%, 1, 0))</f>
        <v>0</v>
      </c>
      <c r="BO19" s="145">
        <f>IF(OR(GradeSheet!$M14="W (Withdrawn)", GradeSheet!$M14="I (Incomplete)"), 0, IF(BC19&gt;=65%, 1, 0))</f>
        <v>0</v>
      </c>
      <c r="BP19" s="145">
        <f>IF(OR(GradeSheet!$M14="W (Withdrawn)", GradeSheet!$M14="I (Incomplete)"), 0, IF(BD19&gt;=65%, 1, 0))</f>
        <v>0</v>
      </c>
      <c r="BQ19" s="145">
        <f>IF(OR(GradeSheet!$M14="W (Withdrawn)", GradeSheet!$M14="I (Incomplete)"), 0, IF(BE19&gt;=65%, 1, 0))</f>
        <v>0</v>
      </c>
      <c r="BR19" s="145">
        <f>IF(OR(GradeSheet!$M14="W (Withdrawn)", GradeSheet!$M14="I (Incomplete)"), 0, IF(BF19&gt;=65%, 1, 0))</f>
        <v>0</v>
      </c>
    </row>
    <row r="20" spans="1:70" ht="15.75">
      <c r="A20" s="147">
        <v>6</v>
      </c>
      <c r="B20" s="22"/>
      <c r="C20" s="30"/>
      <c r="D20" s="137"/>
      <c r="E20" s="137"/>
      <c r="F20" s="138"/>
      <c r="G20" s="138"/>
      <c r="H20" s="138"/>
      <c r="I20" s="138"/>
      <c r="J20" s="137"/>
      <c r="K20" s="137"/>
      <c r="L20" s="137"/>
      <c r="M20" s="138"/>
      <c r="N20" s="138"/>
      <c r="O20" s="138"/>
      <c r="P20" s="139"/>
      <c r="Q20" s="140"/>
      <c r="R20" s="140"/>
      <c r="S20" s="140"/>
      <c r="T20" s="140"/>
      <c r="U20" s="141"/>
      <c r="V20" s="139"/>
      <c r="W20" s="140"/>
      <c r="X20" s="140"/>
      <c r="Y20" s="140"/>
      <c r="Z20" s="140"/>
      <c r="AA20" s="141"/>
      <c r="AB20" s="142">
        <f t="shared" ref="AB20:AE20" si="24">SUM(V20,D20,J20)</f>
        <v>0</v>
      </c>
      <c r="AC20" s="143">
        <f t="shared" si="24"/>
        <v>0</v>
      </c>
      <c r="AD20" s="143">
        <f t="shared" si="24"/>
        <v>0</v>
      </c>
      <c r="AE20" s="148">
        <f t="shared" si="24"/>
        <v>0</v>
      </c>
      <c r="AF20" s="143">
        <f t="shared" si="8"/>
        <v>0</v>
      </c>
      <c r="AG20" s="148">
        <f t="shared" si="9"/>
        <v>0</v>
      </c>
      <c r="AH20" s="144">
        <f t="shared" ref="AH20:AM20" si="25">IF(AB20 = 0, 0, AB20/AB$14)</f>
        <v>0</v>
      </c>
      <c r="AI20" s="144">
        <f t="shared" si="25"/>
        <v>0</v>
      </c>
      <c r="AJ20" s="144">
        <f t="shared" si="25"/>
        <v>0</v>
      </c>
      <c r="AK20" s="144">
        <f t="shared" si="25"/>
        <v>0</v>
      </c>
      <c r="AL20" s="144">
        <f t="shared" si="25"/>
        <v>0</v>
      </c>
      <c r="AM20" s="144">
        <f t="shared" si="25"/>
        <v>0</v>
      </c>
      <c r="AN20" s="145">
        <f>IF(OR(GradeSheet!$M15="W (Withdrawn)", GradeSheet!$M15="I (Incomplete)"), 0, IF(AH20&gt;=55%, 1, 0))</f>
        <v>0</v>
      </c>
      <c r="AO20" s="145">
        <f>IF(OR(GradeSheet!$M15="W (Withdrawn)", GradeSheet!$M15="I (Incomplete)"), 0, IF(AI20&gt;=55%, 1, 0))</f>
        <v>0</v>
      </c>
      <c r="AP20" s="145">
        <f>IF(OR(GradeSheet!$M15="W (Withdrawn)", GradeSheet!$M15="I (Incomplete)"), 0, IF(AJ20&gt;=55%, 1, 0))</f>
        <v>0</v>
      </c>
      <c r="AQ20" s="145">
        <f>IF(OR(GradeSheet!$M15="W (Withdrawn)", GradeSheet!$M15="I (Incomplete)"), 0, IF(AK20&gt;=55%, 1, 0))</f>
        <v>0</v>
      </c>
      <c r="AR20" s="145">
        <f>IF(OR(GradeSheet!$M15="W (Withdrawn)", GradeSheet!$M15="I (Incomplete)"), 0, IF(AL20&gt;=55%, 1, 0))</f>
        <v>0</v>
      </c>
      <c r="AS20" s="145">
        <f>IF(OR(GradeSheet!$M15="W (Withdrawn)", GradeSheet!$M15="I (Incomplete)"), 0, IF(AM20&gt;=55%, 1, 0))</f>
        <v>0</v>
      </c>
      <c r="AT20" s="122"/>
      <c r="AU20" s="146">
        <f t="shared" si="11"/>
        <v>0</v>
      </c>
      <c r="AV20" s="146">
        <f t="shared" si="12"/>
        <v>0</v>
      </c>
      <c r="AW20" s="146">
        <f t="array" ref="AW20">IF($AV$9=0,0,MMULT($AH20:$AM20, AV$3:AV$8)/$AV$9)</f>
        <v>0</v>
      </c>
      <c r="AX20" s="146">
        <f t="array" ref="AX20">IF($AW$9=0,0,MMULT($AH20:$AM20, AW$3:AW$8)/$AW$9)</f>
        <v>0</v>
      </c>
      <c r="AY20" s="146">
        <f t="shared" si="13"/>
        <v>0</v>
      </c>
      <c r="AZ20" s="146">
        <f t="array" ref="AZ20">IF($AY$9=0,0,MMULT($AH20:$AM20, AY$3:AY$8)/$AY$9)</f>
        <v>0</v>
      </c>
      <c r="BA20" s="146">
        <f t="array" ref="BA20">IF($AZ$9=0,0,MMULT($AH20:$AM20, AZ$3:AZ$8)/$AZ$9)</f>
        <v>0</v>
      </c>
      <c r="BB20" s="146">
        <f t="array" ref="BB20">IF($BA$9=0,0,MMULT($AH20:$AM20, BA$3:BA$8)/$BA$9)</f>
        <v>0</v>
      </c>
      <c r="BC20" s="146">
        <f t="array" ref="BC20">IF($BB$9=0,0,MMULT($AH20:$AM20, BB$3:BB$8)/$BB$9)</f>
        <v>0</v>
      </c>
      <c r="BD20" s="146">
        <f t="array" ref="BD20">IF($BC$9=0,0,MMULT($AH20:$AM20, BC$3:BC$8)/$BC$9)</f>
        <v>0</v>
      </c>
      <c r="BE20" s="146">
        <f t="shared" si="14"/>
        <v>0</v>
      </c>
      <c r="BF20" s="146">
        <f t="shared" si="15"/>
        <v>0</v>
      </c>
      <c r="BG20" s="145">
        <f>IF(OR(GradeSheet!$M15="W (Withdrawn)", GradeSheet!$M15="I (Incomplete)"), 0, IF(AU20&gt;=65%, 1, 0))</f>
        <v>0</v>
      </c>
      <c r="BH20" s="145">
        <f>IF(OR(GradeSheet!$M15="W (Withdrawn)", GradeSheet!$M15="I (Incomplete)"), 0, IF(AV20&gt;=65%, 1, 0))</f>
        <v>0</v>
      </c>
      <c r="BI20" s="145">
        <f>IF(OR(GradeSheet!$M15="W (Withdrawn)", GradeSheet!$M15="I (Incomplete)"), 0, IF(AW20&gt;=65%, 1, 0))</f>
        <v>0</v>
      </c>
      <c r="BJ20" s="145">
        <f>IF(OR(GradeSheet!$M15="W (Withdrawn)", GradeSheet!$M15="I (Incomplete)"), 0, IF(AX20&gt;=65%, 1, 0))</f>
        <v>0</v>
      </c>
      <c r="BK20" s="145">
        <f>IF(OR(GradeSheet!$M15="W (Withdrawn)", GradeSheet!$M15="I (Incomplete)"), 0, IF(AY20&gt;=65%, 1, 0))</f>
        <v>0</v>
      </c>
      <c r="BL20" s="145">
        <f>IF(OR(GradeSheet!$M15="W (Withdrawn)", GradeSheet!$M15="I (Incomplete)"), 0, IF(AZ20&gt;=65%, 1, 0))</f>
        <v>0</v>
      </c>
      <c r="BM20" s="145">
        <f>IF(OR(GradeSheet!$M15="W (Withdrawn)", GradeSheet!$M15="I (Incomplete)"), 0, IF(BA20&gt;=65%, 1, 0))</f>
        <v>0</v>
      </c>
      <c r="BN20" s="145">
        <f>IF(OR(GradeSheet!$M15="W (Withdrawn)", GradeSheet!$M15="I (Incomplete)"), 0, IF(BB20&gt;=65%, 1, 0))</f>
        <v>0</v>
      </c>
      <c r="BO20" s="145">
        <f>IF(OR(GradeSheet!$M15="W (Withdrawn)", GradeSheet!$M15="I (Incomplete)"), 0, IF(BC20&gt;=65%, 1, 0))</f>
        <v>0</v>
      </c>
      <c r="BP20" s="145">
        <f>IF(OR(GradeSheet!$M15="W (Withdrawn)", GradeSheet!$M15="I (Incomplete)"), 0, IF(BD20&gt;=65%, 1, 0))</f>
        <v>0</v>
      </c>
      <c r="BQ20" s="145">
        <f>IF(OR(GradeSheet!$M15="W (Withdrawn)", GradeSheet!$M15="I (Incomplete)"), 0, IF(BE20&gt;=65%, 1, 0))</f>
        <v>0</v>
      </c>
      <c r="BR20" s="145">
        <f>IF(OR(GradeSheet!$M15="W (Withdrawn)", GradeSheet!$M15="I (Incomplete)"), 0, IF(BF20&gt;=65%, 1, 0))</f>
        <v>0</v>
      </c>
    </row>
    <row r="21" spans="1:70" ht="15.75" customHeight="1">
      <c r="A21" s="136">
        <v>7</v>
      </c>
      <c r="B21" s="22"/>
      <c r="C21" s="30"/>
      <c r="D21" s="137"/>
      <c r="E21" s="137"/>
      <c r="F21" s="138"/>
      <c r="G21" s="138"/>
      <c r="H21" s="138"/>
      <c r="I21" s="138"/>
      <c r="J21" s="137"/>
      <c r="K21" s="137"/>
      <c r="L21" s="137"/>
      <c r="M21" s="138"/>
      <c r="N21" s="138"/>
      <c r="O21" s="138"/>
      <c r="P21" s="139"/>
      <c r="Q21" s="140"/>
      <c r="R21" s="140"/>
      <c r="S21" s="140"/>
      <c r="T21" s="140"/>
      <c r="U21" s="141"/>
      <c r="V21" s="139"/>
      <c r="W21" s="140"/>
      <c r="X21" s="140"/>
      <c r="Y21" s="140"/>
      <c r="Z21" s="140"/>
      <c r="AA21" s="141"/>
      <c r="AB21" s="142">
        <f t="shared" ref="AB21:AE21" si="26">SUM(V21,D21,J21)</f>
        <v>0</v>
      </c>
      <c r="AC21" s="143">
        <f t="shared" si="26"/>
        <v>0</v>
      </c>
      <c r="AD21" s="143">
        <f t="shared" si="26"/>
        <v>0</v>
      </c>
      <c r="AE21" s="148">
        <f t="shared" si="26"/>
        <v>0</v>
      </c>
      <c r="AF21" s="143">
        <f t="shared" si="8"/>
        <v>0</v>
      </c>
      <c r="AG21" s="148">
        <f t="shared" si="9"/>
        <v>0</v>
      </c>
      <c r="AH21" s="144">
        <f t="shared" ref="AH21:AM21" si="27">IF(AB21 = 0, 0, AB21/AB$14)</f>
        <v>0</v>
      </c>
      <c r="AI21" s="144">
        <f t="shared" si="27"/>
        <v>0</v>
      </c>
      <c r="AJ21" s="144">
        <f t="shared" si="27"/>
        <v>0</v>
      </c>
      <c r="AK21" s="144">
        <f t="shared" si="27"/>
        <v>0</v>
      </c>
      <c r="AL21" s="144">
        <f t="shared" si="27"/>
        <v>0</v>
      </c>
      <c r="AM21" s="144">
        <f t="shared" si="27"/>
        <v>0</v>
      </c>
      <c r="AN21" s="145">
        <f>IF(OR(GradeSheet!$M16="W (Withdrawn)", GradeSheet!$M16="I (Incomplete)"), 0, IF(AH21&gt;=55%, 1, 0))</f>
        <v>0</v>
      </c>
      <c r="AO21" s="145">
        <f>IF(OR(GradeSheet!$M16="W (Withdrawn)", GradeSheet!$M16="I (Incomplete)"), 0, IF(AI21&gt;=55%, 1, 0))</f>
        <v>0</v>
      </c>
      <c r="AP21" s="145">
        <f>IF(OR(GradeSheet!$M16="W (Withdrawn)", GradeSheet!$M16="I (Incomplete)"), 0, IF(AJ21&gt;=55%, 1, 0))</f>
        <v>0</v>
      </c>
      <c r="AQ21" s="145">
        <f>IF(OR(GradeSheet!$M16="W (Withdrawn)", GradeSheet!$M16="I (Incomplete)"), 0, IF(AK21&gt;=55%, 1, 0))</f>
        <v>0</v>
      </c>
      <c r="AR21" s="145">
        <f>IF(OR(GradeSheet!$M16="W (Withdrawn)", GradeSheet!$M16="I (Incomplete)"), 0, IF(AL21&gt;=55%, 1, 0))</f>
        <v>0</v>
      </c>
      <c r="AS21" s="145">
        <f>IF(OR(GradeSheet!$M16="W (Withdrawn)", GradeSheet!$M16="I (Incomplete)"), 0, IF(AM21&gt;=55%, 1, 0))</f>
        <v>0</v>
      </c>
      <c r="AT21" s="122"/>
      <c r="AU21" s="146">
        <f t="shared" si="11"/>
        <v>0</v>
      </c>
      <c r="AV21" s="146">
        <f t="shared" si="12"/>
        <v>0</v>
      </c>
      <c r="AW21" s="146">
        <f t="array" ref="AW21">IF($AV$9=0,0,MMULT($AH21:$AM21, AV$3:AV$8)/$AV$9)</f>
        <v>0</v>
      </c>
      <c r="AX21" s="146">
        <f t="array" ref="AX21">IF($AW$9=0,0,MMULT($AH21:$AM21, AW$3:AW$8)/$AW$9)</f>
        <v>0</v>
      </c>
      <c r="AY21" s="146">
        <f t="shared" si="13"/>
        <v>0</v>
      </c>
      <c r="AZ21" s="146">
        <f t="array" ref="AZ21">IF($AY$9=0,0,MMULT($AH21:$AM21, AY$3:AY$8)/$AY$9)</f>
        <v>0</v>
      </c>
      <c r="BA21" s="146">
        <f t="array" ref="BA21">IF($AZ$9=0,0,MMULT($AH21:$AM21, AZ$3:AZ$8)/$AZ$9)</f>
        <v>0</v>
      </c>
      <c r="BB21" s="146">
        <f t="array" ref="BB21">IF($BA$9=0,0,MMULT($AH21:$AM21, BA$3:BA$8)/$BA$9)</f>
        <v>0</v>
      </c>
      <c r="BC21" s="146">
        <f t="array" ref="BC21">IF($BB$9=0,0,MMULT($AH21:$AM21, BB$3:BB$8)/$BB$9)</f>
        <v>0</v>
      </c>
      <c r="BD21" s="146">
        <f t="array" ref="BD21">IF($BC$9=0,0,MMULT($AH21:$AM21, BC$3:BC$8)/$BC$9)</f>
        <v>0</v>
      </c>
      <c r="BE21" s="146">
        <f t="shared" si="14"/>
        <v>0</v>
      </c>
      <c r="BF21" s="146">
        <f t="shared" si="15"/>
        <v>0</v>
      </c>
      <c r="BG21" s="145">
        <f>IF(OR(GradeSheet!$M16="W (Withdrawn)", GradeSheet!$M16="I (Incomplete)"), 0, IF(AU21&gt;=65%, 1, 0))</f>
        <v>0</v>
      </c>
      <c r="BH21" s="145">
        <f>IF(OR(GradeSheet!$M16="W (Withdrawn)", GradeSheet!$M16="I (Incomplete)"), 0, IF(AV21&gt;=65%, 1, 0))</f>
        <v>0</v>
      </c>
      <c r="BI21" s="145">
        <f>IF(OR(GradeSheet!$M16="W (Withdrawn)", GradeSheet!$M16="I (Incomplete)"), 0, IF(AW21&gt;=65%, 1, 0))</f>
        <v>0</v>
      </c>
      <c r="BJ21" s="145">
        <f>IF(OR(GradeSheet!$M16="W (Withdrawn)", GradeSheet!$M16="I (Incomplete)"), 0, IF(AX21&gt;=65%, 1, 0))</f>
        <v>0</v>
      </c>
      <c r="BK21" s="145">
        <f>IF(OR(GradeSheet!$M16="W (Withdrawn)", GradeSheet!$M16="I (Incomplete)"), 0, IF(AY21&gt;=65%, 1, 0))</f>
        <v>0</v>
      </c>
      <c r="BL21" s="145">
        <f>IF(OR(GradeSheet!$M16="W (Withdrawn)", GradeSheet!$M16="I (Incomplete)"), 0, IF(AZ21&gt;=65%, 1, 0))</f>
        <v>0</v>
      </c>
      <c r="BM21" s="145">
        <f>IF(OR(GradeSheet!$M16="W (Withdrawn)", GradeSheet!$M16="I (Incomplete)"), 0, IF(BA21&gt;=65%, 1, 0))</f>
        <v>0</v>
      </c>
      <c r="BN21" s="145">
        <f>IF(OR(GradeSheet!$M16="W (Withdrawn)", GradeSheet!$M16="I (Incomplete)"), 0, IF(BB21&gt;=65%, 1, 0))</f>
        <v>0</v>
      </c>
      <c r="BO21" s="145">
        <f>IF(OR(GradeSheet!$M16="W (Withdrawn)", GradeSheet!$M16="I (Incomplete)"), 0, IF(BC21&gt;=65%, 1, 0))</f>
        <v>0</v>
      </c>
      <c r="BP21" s="145">
        <f>IF(OR(GradeSheet!$M16="W (Withdrawn)", GradeSheet!$M16="I (Incomplete)"), 0, IF(BD21&gt;=65%, 1, 0))</f>
        <v>0</v>
      </c>
      <c r="BQ21" s="145">
        <f>IF(OR(GradeSheet!$M16="W (Withdrawn)", GradeSheet!$M16="I (Incomplete)"), 0, IF(BE21&gt;=65%, 1, 0))</f>
        <v>0</v>
      </c>
      <c r="BR21" s="145">
        <f>IF(OR(GradeSheet!$M16="W (Withdrawn)", GradeSheet!$M16="I (Incomplete)"), 0, IF(BF21&gt;=65%, 1, 0))</f>
        <v>0</v>
      </c>
    </row>
    <row r="22" spans="1:70" ht="15.75" customHeight="1">
      <c r="A22" s="147">
        <v>8</v>
      </c>
      <c r="B22" s="22"/>
      <c r="C22" s="30"/>
      <c r="D22" s="137"/>
      <c r="E22" s="137"/>
      <c r="F22" s="138"/>
      <c r="G22" s="138"/>
      <c r="H22" s="138"/>
      <c r="I22" s="138"/>
      <c r="J22" s="137"/>
      <c r="K22" s="137"/>
      <c r="L22" s="137"/>
      <c r="M22" s="138"/>
      <c r="N22" s="138"/>
      <c r="O22" s="138"/>
      <c r="P22" s="139"/>
      <c r="Q22" s="140"/>
      <c r="R22" s="140"/>
      <c r="S22" s="140"/>
      <c r="T22" s="140"/>
      <c r="U22" s="141"/>
      <c r="V22" s="139"/>
      <c r="W22" s="140"/>
      <c r="X22" s="140"/>
      <c r="Y22" s="140"/>
      <c r="Z22" s="140"/>
      <c r="AA22" s="141"/>
      <c r="AB22" s="142">
        <f t="shared" ref="AB22:AE22" si="28">SUM(V22,D22,J22)</f>
        <v>0</v>
      </c>
      <c r="AC22" s="143">
        <f t="shared" si="28"/>
        <v>0</v>
      </c>
      <c r="AD22" s="143">
        <f t="shared" si="28"/>
        <v>0</v>
      </c>
      <c r="AE22" s="148">
        <f t="shared" si="28"/>
        <v>0</v>
      </c>
      <c r="AF22" s="143">
        <f t="shared" si="8"/>
        <v>0</v>
      </c>
      <c r="AG22" s="148">
        <f t="shared" si="9"/>
        <v>0</v>
      </c>
      <c r="AH22" s="144">
        <f t="shared" ref="AH22:AM22" si="29">IF(AB22 = 0, 0, AB22/AB$14)</f>
        <v>0</v>
      </c>
      <c r="AI22" s="144">
        <f t="shared" si="29"/>
        <v>0</v>
      </c>
      <c r="AJ22" s="144">
        <f t="shared" si="29"/>
        <v>0</v>
      </c>
      <c r="AK22" s="144">
        <f t="shared" si="29"/>
        <v>0</v>
      </c>
      <c r="AL22" s="144">
        <f t="shared" si="29"/>
        <v>0</v>
      </c>
      <c r="AM22" s="144">
        <f t="shared" si="29"/>
        <v>0</v>
      </c>
      <c r="AN22" s="145">
        <f>IF(OR(GradeSheet!$M17="W (Withdrawn)", GradeSheet!$M17="I (Incomplete)"), 0, IF(AH22&gt;=55%, 1, 0))</f>
        <v>0</v>
      </c>
      <c r="AO22" s="145">
        <f>IF(OR(GradeSheet!$M17="W (Withdrawn)", GradeSheet!$M17="I (Incomplete)"), 0, IF(AI22&gt;=55%, 1, 0))</f>
        <v>0</v>
      </c>
      <c r="AP22" s="145">
        <f>IF(OR(GradeSheet!$M17="W (Withdrawn)", GradeSheet!$M17="I (Incomplete)"), 0, IF(AJ22&gt;=55%, 1, 0))</f>
        <v>0</v>
      </c>
      <c r="AQ22" s="145">
        <f>IF(OR(GradeSheet!$M17="W (Withdrawn)", GradeSheet!$M17="I (Incomplete)"), 0, IF(AK22&gt;=55%, 1, 0))</f>
        <v>0</v>
      </c>
      <c r="AR22" s="145">
        <f>IF(OR(GradeSheet!$M17="W (Withdrawn)", GradeSheet!$M17="I (Incomplete)"), 0, IF(AL22&gt;=55%, 1, 0))</f>
        <v>0</v>
      </c>
      <c r="AS22" s="145">
        <f>IF(OR(GradeSheet!$M17="W (Withdrawn)", GradeSheet!$M17="I (Incomplete)"), 0, IF(AM22&gt;=55%, 1, 0))</f>
        <v>0</v>
      </c>
      <c r="AT22" s="122"/>
      <c r="AU22" s="146">
        <f t="shared" si="11"/>
        <v>0</v>
      </c>
      <c r="AV22" s="146">
        <f t="shared" si="12"/>
        <v>0</v>
      </c>
      <c r="AW22" s="146">
        <f t="array" ref="AW22">IF($AV$9=0,0,MMULT($AH22:$AM22, AV$3:AV$8)/$AV$9)</f>
        <v>0</v>
      </c>
      <c r="AX22" s="146">
        <f t="array" ref="AX22">IF($AW$9=0,0,MMULT($AH22:$AM22, AW$3:AW$8)/$AW$9)</f>
        <v>0</v>
      </c>
      <c r="AY22" s="146">
        <f t="shared" si="13"/>
        <v>0</v>
      </c>
      <c r="AZ22" s="146">
        <f t="array" ref="AZ22">IF($AY$9=0,0,MMULT($AH22:$AM22, AY$3:AY$8)/$AY$9)</f>
        <v>0</v>
      </c>
      <c r="BA22" s="146">
        <f t="array" ref="BA22">IF($AZ$9=0,0,MMULT($AH22:$AM22, AZ$3:AZ$8)/$AZ$9)</f>
        <v>0</v>
      </c>
      <c r="BB22" s="146">
        <f t="array" ref="BB22">IF($BA$9=0,0,MMULT($AH22:$AM22, BA$3:BA$8)/$BA$9)</f>
        <v>0</v>
      </c>
      <c r="BC22" s="146">
        <f t="array" ref="BC22">IF($BB$9=0,0,MMULT($AH22:$AM22, BB$3:BB$8)/$BB$9)</f>
        <v>0</v>
      </c>
      <c r="BD22" s="146">
        <f t="array" ref="BD22">IF($BC$9=0,0,MMULT($AH22:$AM22, BC$3:BC$8)/$BC$9)</f>
        <v>0</v>
      </c>
      <c r="BE22" s="146">
        <f t="shared" si="14"/>
        <v>0</v>
      </c>
      <c r="BF22" s="146">
        <f t="shared" si="15"/>
        <v>0</v>
      </c>
      <c r="BG22" s="145">
        <f>IF(OR(GradeSheet!$M17="W (Withdrawn)", GradeSheet!$M17="I (Incomplete)"), 0, IF(AU22&gt;=65%, 1, 0))</f>
        <v>0</v>
      </c>
      <c r="BH22" s="145">
        <f>IF(OR(GradeSheet!$M17="W (Withdrawn)", GradeSheet!$M17="I (Incomplete)"), 0, IF(AV22&gt;=65%, 1, 0))</f>
        <v>0</v>
      </c>
      <c r="BI22" s="145">
        <f>IF(OR(GradeSheet!$M17="W (Withdrawn)", GradeSheet!$M17="I (Incomplete)"), 0, IF(AW22&gt;=65%, 1, 0))</f>
        <v>0</v>
      </c>
      <c r="BJ22" s="145">
        <f>IF(OR(GradeSheet!$M17="W (Withdrawn)", GradeSheet!$M17="I (Incomplete)"), 0, IF(AX22&gt;=65%, 1, 0))</f>
        <v>0</v>
      </c>
      <c r="BK22" s="145">
        <f>IF(OR(GradeSheet!$M17="W (Withdrawn)", GradeSheet!$M17="I (Incomplete)"), 0, IF(AY22&gt;=65%, 1, 0))</f>
        <v>0</v>
      </c>
      <c r="BL22" s="145">
        <f>IF(OR(GradeSheet!$M17="W (Withdrawn)", GradeSheet!$M17="I (Incomplete)"), 0, IF(AZ22&gt;=65%, 1, 0))</f>
        <v>0</v>
      </c>
      <c r="BM22" s="145">
        <f>IF(OR(GradeSheet!$M17="W (Withdrawn)", GradeSheet!$M17="I (Incomplete)"), 0, IF(BA22&gt;=65%, 1, 0))</f>
        <v>0</v>
      </c>
      <c r="BN22" s="145">
        <f>IF(OR(GradeSheet!$M17="W (Withdrawn)", GradeSheet!$M17="I (Incomplete)"), 0, IF(BB22&gt;=65%, 1, 0))</f>
        <v>0</v>
      </c>
      <c r="BO22" s="145">
        <f>IF(OR(GradeSheet!$M17="W (Withdrawn)", GradeSheet!$M17="I (Incomplete)"), 0, IF(BC22&gt;=65%, 1, 0))</f>
        <v>0</v>
      </c>
      <c r="BP22" s="145">
        <f>IF(OR(GradeSheet!$M17="W (Withdrawn)", GradeSheet!$M17="I (Incomplete)"), 0, IF(BD22&gt;=65%, 1, 0))</f>
        <v>0</v>
      </c>
      <c r="BQ22" s="145">
        <f>IF(OR(GradeSheet!$M17="W (Withdrawn)", GradeSheet!$M17="I (Incomplete)"), 0, IF(BE22&gt;=65%, 1, 0))</f>
        <v>0</v>
      </c>
      <c r="BR22" s="145">
        <f>IF(OR(GradeSheet!$M17="W (Withdrawn)", GradeSheet!$M17="I (Incomplete)"), 0, IF(BF22&gt;=65%, 1, 0))</f>
        <v>0</v>
      </c>
    </row>
    <row r="23" spans="1:70" ht="15.75" customHeight="1">
      <c r="A23" s="136">
        <v>9</v>
      </c>
      <c r="B23" s="22"/>
      <c r="C23" s="30"/>
      <c r="D23" s="137"/>
      <c r="E23" s="137"/>
      <c r="F23" s="138"/>
      <c r="G23" s="138"/>
      <c r="H23" s="138"/>
      <c r="I23" s="138"/>
      <c r="J23" s="137"/>
      <c r="K23" s="137"/>
      <c r="L23" s="137"/>
      <c r="M23" s="138"/>
      <c r="N23" s="138"/>
      <c r="O23" s="138"/>
      <c r="P23" s="139"/>
      <c r="Q23" s="140"/>
      <c r="R23" s="140"/>
      <c r="S23" s="140"/>
      <c r="T23" s="140"/>
      <c r="U23" s="141"/>
      <c r="V23" s="139"/>
      <c r="W23" s="140"/>
      <c r="X23" s="140"/>
      <c r="Y23" s="140"/>
      <c r="Z23" s="140"/>
      <c r="AA23" s="141"/>
      <c r="AB23" s="142">
        <f t="shared" ref="AB23:AE23" si="30">SUM(V23,D23,J23)</f>
        <v>0</v>
      </c>
      <c r="AC23" s="143">
        <f t="shared" si="30"/>
        <v>0</v>
      </c>
      <c r="AD23" s="143">
        <f t="shared" si="30"/>
        <v>0</v>
      </c>
      <c r="AE23" s="148">
        <f t="shared" si="30"/>
        <v>0</v>
      </c>
      <c r="AF23" s="143">
        <f t="shared" si="8"/>
        <v>0</v>
      </c>
      <c r="AG23" s="148">
        <f t="shared" si="9"/>
        <v>0</v>
      </c>
      <c r="AH23" s="144">
        <f t="shared" ref="AH23:AM23" si="31">IF(AB23 = 0, 0, AB23/AB$14)</f>
        <v>0</v>
      </c>
      <c r="AI23" s="144">
        <f t="shared" si="31"/>
        <v>0</v>
      </c>
      <c r="AJ23" s="144">
        <f t="shared" si="31"/>
        <v>0</v>
      </c>
      <c r="AK23" s="144">
        <f t="shared" si="31"/>
        <v>0</v>
      </c>
      <c r="AL23" s="144">
        <f t="shared" si="31"/>
        <v>0</v>
      </c>
      <c r="AM23" s="144">
        <f t="shared" si="31"/>
        <v>0</v>
      </c>
      <c r="AN23" s="145">
        <f>IF(OR(GradeSheet!$M18="W (Withdrawn)", GradeSheet!$M18="I (Incomplete)"), 0, IF(AH23&gt;=55%, 1, 0))</f>
        <v>0</v>
      </c>
      <c r="AO23" s="145">
        <f>IF(OR(GradeSheet!$M18="W (Withdrawn)", GradeSheet!$M18="I (Incomplete)"), 0, IF(AI23&gt;=55%, 1, 0))</f>
        <v>0</v>
      </c>
      <c r="AP23" s="145">
        <f>IF(OR(GradeSheet!$M18="W (Withdrawn)", GradeSheet!$M18="I (Incomplete)"), 0, IF(AJ23&gt;=55%, 1, 0))</f>
        <v>0</v>
      </c>
      <c r="AQ23" s="145">
        <f>IF(OR(GradeSheet!$M18="W (Withdrawn)", GradeSheet!$M18="I (Incomplete)"), 0, IF(AK23&gt;=55%, 1, 0))</f>
        <v>0</v>
      </c>
      <c r="AR23" s="145">
        <f>IF(OR(GradeSheet!$M18="W (Withdrawn)", GradeSheet!$M18="I (Incomplete)"), 0, IF(AL23&gt;=55%, 1, 0))</f>
        <v>0</v>
      </c>
      <c r="AS23" s="145">
        <f>IF(OR(GradeSheet!$M18="W (Withdrawn)", GradeSheet!$M18="I (Incomplete)"), 0, IF(AM23&gt;=55%, 1, 0))</f>
        <v>0</v>
      </c>
      <c r="AT23" s="122"/>
      <c r="AU23" s="146">
        <f t="shared" si="11"/>
        <v>0</v>
      </c>
      <c r="AV23" s="146">
        <f t="shared" si="12"/>
        <v>0</v>
      </c>
      <c r="AW23" s="146">
        <f t="array" ref="AW23">IF($AV$9=0,0,MMULT($AH23:$AM23, AV$3:AV$8)/$AV$9)</f>
        <v>0</v>
      </c>
      <c r="AX23" s="146">
        <f t="array" ref="AX23">IF($AW$9=0,0,MMULT($AH23:$AM23, AW$3:AW$8)/$AW$9)</f>
        <v>0</v>
      </c>
      <c r="AY23" s="146">
        <f t="shared" si="13"/>
        <v>0</v>
      </c>
      <c r="AZ23" s="146">
        <f t="array" ref="AZ23">IF($AY$9=0,0,MMULT($AH23:$AM23, AY$3:AY$8)/$AY$9)</f>
        <v>0</v>
      </c>
      <c r="BA23" s="146">
        <f t="array" ref="BA23">IF($AZ$9=0,0,MMULT($AH23:$AM23, AZ$3:AZ$8)/$AZ$9)</f>
        <v>0</v>
      </c>
      <c r="BB23" s="146">
        <f t="array" ref="BB23">IF($BA$9=0,0,MMULT($AH23:$AM23, BA$3:BA$8)/$BA$9)</f>
        <v>0</v>
      </c>
      <c r="BC23" s="146">
        <f t="array" ref="BC23">IF($BB$9=0,0,MMULT($AH23:$AM23, BB$3:BB$8)/$BB$9)</f>
        <v>0</v>
      </c>
      <c r="BD23" s="146">
        <f t="array" ref="BD23">IF($BC$9=0,0,MMULT($AH23:$AM23, BC$3:BC$8)/$BC$9)</f>
        <v>0</v>
      </c>
      <c r="BE23" s="146">
        <f t="shared" si="14"/>
        <v>0</v>
      </c>
      <c r="BF23" s="146">
        <f t="shared" si="15"/>
        <v>0</v>
      </c>
      <c r="BG23" s="145">
        <f>IF(OR(GradeSheet!$M18="W (Withdrawn)", GradeSheet!$M18="I (Incomplete)"), 0, IF(AU23&gt;=65%, 1, 0))</f>
        <v>0</v>
      </c>
      <c r="BH23" s="145">
        <f>IF(OR(GradeSheet!$M18="W (Withdrawn)", GradeSheet!$M18="I (Incomplete)"), 0, IF(AV23&gt;=65%, 1, 0))</f>
        <v>0</v>
      </c>
      <c r="BI23" s="145">
        <f>IF(OR(GradeSheet!$M18="W (Withdrawn)", GradeSheet!$M18="I (Incomplete)"), 0, IF(AW23&gt;=65%, 1, 0))</f>
        <v>0</v>
      </c>
      <c r="BJ23" s="145">
        <f>IF(OR(GradeSheet!$M18="W (Withdrawn)", GradeSheet!$M18="I (Incomplete)"), 0, IF(AX23&gt;=65%, 1, 0))</f>
        <v>0</v>
      </c>
      <c r="BK23" s="145">
        <f>IF(OR(GradeSheet!$M18="W (Withdrawn)", GradeSheet!$M18="I (Incomplete)"), 0, IF(AY23&gt;=65%, 1, 0))</f>
        <v>0</v>
      </c>
      <c r="BL23" s="145">
        <f>IF(OR(GradeSheet!$M18="W (Withdrawn)", GradeSheet!$M18="I (Incomplete)"), 0, IF(AZ23&gt;=65%, 1, 0))</f>
        <v>0</v>
      </c>
      <c r="BM23" s="145">
        <f>IF(OR(GradeSheet!$M18="W (Withdrawn)", GradeSheet!$M18="I (Incomplete)"), 0, IF(BA23&gt;=65%, 1, 0))</f>
        <v>0</v>
      </c>
      <c r="BN23" s="145">
        <f>IF(OR(GradeSheet!$M18="W (Withdrawn)", GradeSheet!$M18="I (Incomplete)"), 0, IF(BB23&gt;=65%, 1, 0))</f>
        <v>0</v>
      </c>
      <c r="BO23" s="145">
        <f>IF(OR(GradeSheet!$M18="W (Withdrawn)", GradeSheet!$M18="I (Incomplete)"), 0, IF(BC23&gt;=65%, 1, 0))</f>
        <v>0</v>
      </c>
      <c r="BP23" s="145">
        <f>IF(OR(GradeSheet!$M18="W (Withdrawn)", GradeSheet!$M18="I (Incomplete)"), 0, IF(BD23&gt;=65%, 1, 0))</f>
        <v>0</v>
      </c>
      <c r="BQ23" s="145">
        <f>IF(OR(GradeSheet!$M18="W (Withdrawn)", GradeSheet!$M18="I (Incomplete)"), 0, IF(BE23&gt;=65%, 1, 0))</f>
        <v>0</v>
      </c>
      <c r="BR23" s="145">
        <f>IF(OR(GradeSheet!$M18="W (Withdrawn)", GradeSheet!$M18="I (Incomplete)"), 0, IF(BF23&gt;=65%, 1, 0))</f>
        <v>0</v>
      </c>
    </row>
    <row r="24" spans="1:70" ht="15.75" customHeight="1">
      <c r="A24" s="147">
        <v>10</v>
      </c>
      <c r="B24" s="32"/>
      <c r="C24" s="30"/>
      <c r="D24" s="137"/>
      <c r="E24" s="137"/>
      <c r="F24" s="138"/>
      <c r="G24" s="138"/>
      <c r="H24" s="138"/>
      <c r="I24" s="138"/>
      <c r="J24" s="137"/>
      <c r="K24" s="137"/>
      <c r="L24" s="137"/>
      <c r="M24" s="138"/>
      <c r="N24" s="138"/>
      <c r="O24" s="138"/>
      <c r="P24" s="139"/>
      <c r="Q24" s="140"/>
      <c r="R24" s="140"/>
      <c r="S24" s="140"/>
      <c r="T24" s="140"/>
      <c r="U24" s="141"/>
      <c r="V24" s="139"/>
      <c r="W24" s="140"/>
      <c r="X24" s="140"/>
      <c r="Y24" s="140"/>
      <c r="Z24" s="140"/>
      <c r="AA24" s="141"/>
      <c r="AB24" s="142">
        <f t="shared" ref="AB24:AE24" si="32">SUM(V24,D24,J24)</f>
        <v>0</v>
      </c>
      <c r="AC24" s="143">
        <f t="shared" si="32"/>
        <v>0</v>
      </c>
      <c r="AD24" s="143">
        <f t="shared" si="32"/>
        <v>0</v>
      </c>
      <c r="AE24" s="148">
        <f t="shared" si="32"/>
        <v>0</v>
      </c>
      <c r="AF24" s="143">
        <f t="shared" si="8"/>
        <v>0</v>
      </c>
      <c r="AG24" s="148">
        <f t="shared" si="9"/>
        <v>0</v>
      </c>
      <c r="AH24" s="144">
        <f t="shared" ref="AH24:AM24" si="33">IF(AB24 = 0, 0, AB24/AB$14)</f>
        <v>0</v>
      </c>
      <c r="AI24" s="144">
        <f t="shared" si="33"/>
        <v>0</v>
      </c>
      <c r="AJ24" s="144">
        <f t="shared" si="33"/>
        <v>0</v>
      </c>
      <c r="AK24" s="144">
        <f t="shared" si="33"/>
        <v>0</v>
      </c>
      <c r="AL24" s="144">
        <f t="shared" si="33"/>
        <v>0</v>
      </c>
      <c r="AM24" s="144">
        <f t="shared" si="33"/>
        <v>0</v>
      </c>
      <c r="AN24" s="145">
        <f>IF(OR(GradeSheet!$M19="W (Withdrawn)", GradeSheet!$M19="I (Incomplete)"), 0, IF(AH24&gt;=55%, 1, 0))</f>
        <v>0</v>
      </c>
      <c r="AO24" s="145">
        <f>IF(OR(GradeSheet!$M19="W (Withdrawn)", GradeSheet!$M19="I (Incomplete)"), 0, IF(AI24&gt;=55%, 1, 0))</f>
        <v>0</v>
      </c>
      <c r="AP24" s="145">
        <f>IF(OR(GradeSheet!$M19="W (Withdrawn)", GradeSheet!$M19="I (Incomplete)"), 0, IF(AJ24&gt;=55%, 1, 0))</f>
        <v>0</v>
      </c>
      <c r="AQ24" s="145">
        <f>IF(OR(GradeSheet!$M19="W (Withdrawn)", GradeSheet!$M19="I (Incomplete)"), 0, IF(AK24&gt;=55%, 1, 0))</f>
        <v>0</v>
      </c>
      <c r="AR24" s="145">
        <f>IF(OR(GradeSheet!$M19="W (Withdrawn)", GradeSheet!$M19="I (Incomplete)"), 0, IF(AL24&gt;=55%, 1, 0))</f>
        <v>0</v>
      </c>
      <c r="AS24" s="145">
        <f>IF(OR(GradeSheet!$M19="W (Withdrawn)", GradeSheet!$M19="I (Incomplete)"), 0, IF(AM24&gt;=55%, 1, 0))</f>
        <v>0</v>
      </c>
      <c r="AT24" s="122"/>
      <c r="AU24" s="146">
        <f t="shared" si="11"/>
        <v>0</v>
      </c>
      <c r="AV24" s="146">
        <f t="shared" si="12"/>
        <v>0</v>
      </c>
      <c r="AW24" s="146">
        <f t="array" ref="AW24">IF($AV$9=0,0,MMULT($AH24:$AM24, AV$3:AV$8)/$AV$9)</f>
        <v>0</v>
      </c>
      <c r="AX24" s="146">
        <f t="array" ref="AX24">IF($AW$9=0,0,MMULT($AH24:$AM24, AW$3:AW$8)/$AW$9)</f>
        <v>0</v>
      </c>
      <c r="AY24" s="146">
        <f t="shared" si="13"/>
        <v>0</v>
      </c>
      <c r="AZ24" s="146">
        <f t="array" ref="AZ24">IF($AY$9=0,0,MMULT($AH24:$AM24, AY$3:AY$8)/$AY$9)</f>
        <v>0</v>
      </c>
      <c r="BA24" s="146">
        <f t="array" ref="BA24">IF($AZ$9=0,0,MMULT($AH24:$AM24, AZ$3:AZ$8)/$AZ$9)</f>
        <v>0</v>
      </c>
      <c r="BB24" s="146">
        <f t="array" ref="BB24">IF($BA$9=0,0,MMULT($AH24:$AM24, BA$3:BA$8)/$BA$9)</f>
        <v>0</v>
      </c>
      <c r="BC24" s="146">
        <f t="array" ref="BC24">IF($BB$9=0,0,MMULT($AH24:$AM24, BB$3:BB$8)/$BB$9)</f>
        <v>0</v>
      </c>
      <c r="BD24" s="146">
        <f t="array" ref="BD24">IF($BC$9=0,0,MMULT($AH24:$AM24, BC$3:BC$8)/$BC$9)</f>
        <v>0</v>
      </c>
      <c r="BE24" s="146">
        <f t="shared" si="14"/>
        <v>0</v>
      </c>
      <c r="BF24" s="146">
        <f t="shared" si="15"/>
        <v>0</v>
      </c>
      <c r="BG24" s="145">
        <f>IF(OR(GradeSheet!$M19="W (Withdrawn)", GradeSheet!$M19="I (Incomplete)"), 0, IF(AU24&gt;=65%, 1, 0))</f>
        <v>0</v>
      </c>
      <c r="BH24" s="145">
        <f>IF(OR(GradeSheet!$M19="W (Withdrawn)", GradeSheet!$M19="I (Incomplete)"), 0, IF(AV24&gt;=65%, 1, 0))</f>
        <v>0</v>
      </c>
      <c r="BI24" s="145">
        <f>IF(OR(GradeSheet!$M19="W (Withdrawn)", GradeSheet!$M19="I (Incomplete)"), 0, IF(AW24&gt;=65%, 1, 0))</f>
        <v>0</v>
      </c>
      <c r="BJ24" s="145">
        <f>IF(OR(GradeSheet!$M19="W (Withdrawn)", GradeSheet!$M19="I (Incomplete)"), 0, IF(AX24&gt;=65%, 1, 0))</f>
        <v>0</v>
      </c>
      <c r="BK24" s="145">
        <f>IF(OR(GradeSheet!$M19="W (Withdrawn)", GradeSheet!$M19="I (Incomplete)"), 0, IF(AY24&gt;=65%, 1, 0))</f>
        <v>0</v>
      </c>
      <c r="BL24" s="145">
        <f>IF(OR(GradeSheet!$M19="W (Withdrawn)", GradeSheet!$M19="I (Incomplete)"), 0, IF(AZ24&gt;=65%, 1, 0))</f>
        <v>0</v>
      </c>
      <c r="BM24" s="145">
        <f>IF(OR(GradeSheet!$M19="W (Withdrawn)", GradeSheet!$M19="I (Incomplete)"), 0, IF(BA24&gt;=65%, 1, 0))</f>
        <v>0</v>
      </c>
      <c r="BN24" s="145">
        <f>IF(OR(GradeSheet!$M19="W (Withdrawn)", GradeSheet!$M19="I (Incomplete)"), 0, IF(BB24&gt;=65%, 1, 0))</f>
        <v>0</v>
      </c>
      <c r="BO24" s="145">
        <f>IF(OR(GradeSheet!$M19="W (Withdrawn)", GradeSheet!$M19="I (Incomplete)"), 0, IF(BC24&gt;=65%, 1, 0))</f>
        <v>0</v>
      </c>
      <c r="BP24" s="145">
        <f>IF(OR(GradeSheet!$M19="W (Withdrawn)", GradeSheet!$M19="I (Incomplete)"), 0, IF(BD24&gt;=65%, 1, 0))</f>
        <v>0</v>
      </c>
      <c r="BQ24" s="145">
        <f>IF(OR(GradeSheet!$M19="W (Withdrawn)", GradeSheet!$M19="I (Incomplete)"), 0, IF(BE24&gt;=65%, 1, 0))</f>
        <v>0</v>
      </c>
      <c r="BR24" s="145">
        <f>IF(OR(GradeSheet!$M19="W (Withdrawn)", GradeSheet!$M19="I (Incomplete)"), 0, IF(BF24&gt;=65%, 1, 0))</f>
        <v>0</v>
      </c>
    </row>
    <row r="25" spans="1:70" ht="15.75" customHeight="1">
      <c r="A25" s="136">
        <v>11</v>
      </c>
      <c r="B25" s="22"/>
      <c r="C25" s="30"/>
      <c r="D25" s="137"/>
      <c r="E25" s="137"/>
      <c r="F25" s="138"/>
      <c r="G25" s="138"/>
      <c r="H25" s="138"/>
      <c r="I25" s="138"/>
      <c r="J25" s="137"/>
      <c r="K25" s="137"/>
      <c r="L25" s="137"/>
      <c r="M25" s="138"/>
      <c r="N25" s="138"/>
      <c r="O25" s="138"/>
      <c r="P25" s="139"/>
      <c r="Q25" s="140"/>
      <c r="R25" s="140"/>
      <c r="S25" s="140"/>
      <c r="T25" s="140"/>
      <c r="U25" s="141"/>
      <c r="V25" s="139"/>
      <c r="W25" s="140"/>
      <c r="X25" s="140"/>
      <c r="Y25" s="140"/>
      <c r="Z25" s="140"/>
      <c r="AA25" s="141"/>
      <c r="AB25" s="142">
        <f t="shared" ref="AB25:AE25" si="34">SUM(V25,D25,J25)</f>
        <v>0</v>
      </c>
      <c r="AC25" s="143">
        <f t="shared" si="34"/>
        <v>0</v>
      </c>
      <c r="AD25" s="143">
        <f t="shared" si="34"/>
        <v>0</v>
      </c>
      <c r="AE25" s="148">
        <f t="shared" si="34"/>
        <v>0</v>
      </c>
      <c r="AF25" s="143">
        <f t="shared" si="8"/>
        <v>0</v>
      </c>
      <c r="AG25" s="148">
        <f t="shared" si="9"/>
        <v>0</v>
      </c>
      <c r="AH25" s="144">
        <f t="shared" ref="AH25:AM25" si="35">IF(AB25 = 0, 0, AB25/AB$14)</f>
        <v>0</v>
      </c>
      <c r="AI25" s="144">
        <f t="shared" si="35"/>
        <v>0</v>
      </c>
      <c r="AJ25" s="144">
        <f t="shared" si="35"/>
        <v>0</v>
      </c>
      <c r="AK25" s="144">
        <f t="shared" si="35"/>
        <v>0</v>
      </c>
      <c r="AL25" s="144">
        <f t="shared" si="35"/>
        <v>0</v>
      </c>
      <c r="AM25" s="144">
        <f t="shared" si="35"/>
        <v>0</v>
      </c>
      <c r="AN25" s="145">
        <v>1</v>
      </c>
      <c r="AO25" s="145">
        <f>IF(OR(GradeSheet!$M20="W (Withdrawn)", GradeSheet!$M20="I (Incomplete)"), 0, IF(AI25&gt;=55%, 1, 0))</f>
        <v>0</v>
      </c>
      <c r="AP25" s="145">
        <f>IF(OR(GradeSheet!$M20="W (Withdrawn)", GradeSheet!$M20="I (Incomplete)"), 0, IF(AJ25&gt;=55%, 1, 0))</f>
        <v>0</v>
      </c>
      <c r="AQ25" s="145">
        <f>IF(OR(GradeSheet!$M20="W (Withdrawn)", GradeSheet!$M20="I (Incomplete)"), 0, IF(AK25&gt;=55%, 1, 0))</f>
        <v>0</v>
      </c>
      <c r="AR25" s="145">
        <f>IF(OR(GradeSheet!$M20="W (Withdrawn)", GradeSheet!$M20="I (Incomplete)"), 0, IF(AL25&gt;=55%, 1, 0))</f>
        <v>0</v>
      </c>
      <c r="AS25" s="145">
        <f>IF(OR(GradeSheet!$M20="W (Withdrawn)", GradeSheet!$M20="I (Incomplete)"), 0, IF(AM25&gt;=55%, 1, 0))</f>
        <v>0</v>
      </c>
      <c r="AT25" s="122"/>
      <c r="AU25" s="146">
        <f t="shared" si="11"/>
        <v>0</v>
      </c>
      <c r="AV25" s="146">
        <f t="shared" si="12"/>
        <v>0</v>
      </c>
      <c r="AW25" s="146">
        <f t="array" ref="AW25">IF($AV$9=0,0,MMULT($AH25:$AM25, AV$3:AV$8)/$AV$9)</f>
        <v>0</v>
      </c>
      <c r="AX25" s="146">
        <f t="array" ref="AX25">IF($AW$9=0,0,MMULT($AH25:$AM25, AW$3:AW$8)/$AW$9)</f>
        <v>0</v>
      </c>
      <c r="AY25" s="146">
        <f t="shared" si="13"/>
        <v>0</v>
      </c>
      <c r="AZ25" s="146">
        <f t="array" ref="AZ25">IF($AY$9=0,0,MMULT($AH25:$AM25, AY$3:AY$8)/$AY$9)</f>
        <v>0</v>
      </c>
      <c r="BA25" s="146">
        <f t="array" ref="BA25">IF($AZ$9=0,0,MMULT($AH25:$AM25, AZ$3:AZ$8)/$AZ$9)</f>
        <v>0</v>
      </c>
      <c r="BB25" s="146">
        <f t="array" ref="BB25">IF($BA$9=0,0,MMULT($AH25:$AM25, BA$3:BA$8)/$BA$9)</f>
        <v>0</v>
      </c>
      <c r="BC25" s="146">
        <f t="array" ref="BC25">IF($BB$9=0,0,MMULT($AH25:$AM25, BB$3:BB$8)/$BB$9)</f>
        <v>0</v>
      </c>
      <c r="BD25" s="146">
        <f t="array" ref="BD25">IF($BC$9=0,0,MMULT($AH25:$AM25, BC$3:BC$8)/$BC$9)</f>
        <v>0</v>
      </c>
      <c r="BE25" s="146">
        <f t="shared" si="14"/>
        <v>0</v>
      </c>
      <c r="BF25" s="146">
        <f t="shared" si="15"/>
        <v>0</v>
      </c>
      <c r="BG25" s="145">
        <f>IF(OR(GradeSheet!$M20="W (Withdrawn)", GradeSheet!$M20="I (Incomplete)"), 0, IF(AU25&gt;=65%, 1, 0))</f>
        <v>0</v>
      </c>
      <c r="BH25" s="145">
        <f>IF(OR(GradeSheet!$M20="W (Withdrawn)", GradeSheet!$M20="I (Incomplete)"), 0, IF(AV25&gt;=65%, 1, 0))</f>
        <v>0</v>
      </c>
      <c r="BI25" s="145">
        <f>IF(OR(GradeSheet!$M20="W (Withdrawn)", GradeSheet!$M20="I (Incomplete)"), 0, IF(AW25&gt;=65%, 1, 0))</f>
        <v>0</v>
      </c>
      <c r="BJ25" s="145">
        <f>IF(OR(GradeSheet!$M20="W (Withdrawn)", GradeSheet!$M20="I (Incomplete)"), 0, IF(AX25&gt;=65%, 1, 0))</f>
        <v>0</v>
      </c>
      <c r="BK25" s="145">
        <f>IF(OR(GradeSheet!$M20="W (Withdrawn)", GradeSheet!$M20="I (Incomplete)"), 0, IF(AY25&gt;=65%, 1, 0))</f>
        <v>0</v>
      </c>
      <c r="BL25" s="145">
        <f>IF(OR(GradeSheet!$M20="W (Withdrawn)", GradeSheet!$M20="I (Incomplete)"), 0, IF(AZ25&gt;=65%, 1, 0))</f>
        <v>0</v>
      </c>
      <c r="BM25" s="145">
        <f>IF(OR(GradeSheet!$M20="W (Withdrawn)", GradeSheet!$M20="I (Incomplete)"), 0, IF(BA25&gt;=65%, 1, 0))</f>
        <v>0</v>
      </c>
      <c r="BN25" s="145">
        <f>IF(OR(GradeSheet!$M20="W (Withdrawn)", GradeSheet!$M20="I (Incomplete)"), 0, IF(BB25&gt;=65%, 1, 0))</f>
        <v>0</v>
      </c>
      <c r="BO25" s="145">
        <f>IF(OR(GradeSheet!$M20="W (Withdrawn)", GradeSheet!$M20="I (Incomplete)"), 0, IF(BC25&gt;=65%, 1, 0))</f>
        <v>0</v>
      </c>
      <c r="BP25" s="145">
        <f>IF(OR(GradeSheet!$M20="W (Withdrawn)", GradeSheet!$M20="I (Incomplete)"), 0, IF(BD25&gt;=65%, 1, 0))</f>
        <v>0</v>
      </c>
      <c r="BQ25" s="145">
        <f>IF(OR(GradeSheet!$M20="W (Withdrawn)", GradeSheet!$M20="I (Incomplete)"), 0, IF(BE25&gt;=65%, 1, 0))</f>
        <v>0</v>
      </c>
      <c r="BR25" s="145">
        <f>IF(OR(GradeSheet!$M20="W (Withdrawn)", GradeSheet!$M20="I (Incomplete)"), 0, IF(BF25&gt;=65%, 1, 0))</f>
        <v>0</v>
      </c>
    </row>
    <row r="26" spans="1:70" ht="15.75" customHeight="1">
      <c r="A26" s="147">
        <v>12</v>
      </c>
      <c r="B26" s="22"/>
      <c r="C26" s="30"/>
      <c r="D26" s="137"/>
      <c r="E26" s="137"/>
      <c r="F26" s="138"/>
      <c r="G26" s="138"/>
      <c r="H26" s="138"/>
      <c r="I26" s="138"/>
      <c r="J26" s="137"/>
      <c r="K26" s="137"/>
      <c r="L26" s="137"/>
      <c r="M26" s="138"/>
      <c r="N26" s="138"/>
      <c r="O26" s="138"/>
      <c r="P26" s="139"/>
      <c r="Q26" s="140"/>
      <c r="R26" s="140"/>
      <c r="S26" s="140"/>
      <c r="T26" s="140"/>
      <c r="U26" s="141"/>
      <c r="V26" s="139"/>
      <c r="W26" s="140"/>
      <c r="X26" s="140"/>
      <c r="Y26" s="140"/>
      <c r="Z26" s="140"/>
      <c r="AA26" s="141"/>
      <c r="AB26" s="142">
        <f t="shared" ref="AB26:AE26" si="36">SUM(V26,D26,J26)</f>
        <v>0</v>
      </c>
      <c r="AC26" s="143">
        <f t="shared" si="36"/>
        <v>0</v>
      </c>
      <c r="AD26" s="143">
        <f t="shared" si="36"/>
        <v>0</v>
      </c>
      <c r="AE26" s="148">
        <f t="shared" si="36"/>
        <v>0</v>
      </c>
      <c r="AF26" s="143">
        <f t="shared" si="8"/>
        <v>0</v>
      </c>
      <c r="AG26" s="148">
        <f t="shared" si="9"/>
        <v>0</v>
      </c>
      <c r="AH26" s="144">
        <f t="shared" ref="AH26:AM26" si="37">IF(AB26 = 0, 0, AB26/AB$14)</f>
        <v>0</v>
      </c>
      <c r="AI26" s="144">
        <f t="shared" si="37"/>
        <v>0</v>
      </c>
      <c r="AJ26" s="144">
        <f t="shared" si="37"/>
        <v>0</v>
      </c>
      <c r="AK26" s="144">
        <f t="shared" si="37"/>
        <v>0</v>
      </c>
      <c r="AL26" s="144">
        <f t="shared" si="37"/>
        <v>0</v>
      </c>
      <c r="AM26" s="144">
        <f t="shared" si="37"/>
        <v>0</v>
      </c>
      <c r="AN26" s="145">
        <v>1</v>
      </c>
      <c r="AO26" s="145">
        <f>IF(OR(GradeSheet!$M21="W (Withdrawn)", GradeSheet!$M21="I (Incomplete)"), 0, IF(AI26&gt;=55%, 1, 0))</f>
        <v>0</v>
      </c>
      <c r="AP26" s="145">
        <f>IF(OR(GradeSheet!$M21="W (Withdrawn)", GradeSheet!$M21="I (Incomplete)"), 0, IF(AJ26&gt;=55%, 1, 0))</f>
        <v>0</v>
      </c>
      <c r="AQ26" s="145">
        <f>IF(OR(GradeSheet!$M21="W (Withdrawn)", GradeSheet!$M21="I (Incomplete)"), 0, IF(AK26&gt;=55%, 1, 0))</f>
        <v>0</v>
      </c>
      <c r="AR26" s="145">
        <f>IF(OR(GradeSheet!$M21="W (Withdrawn)", GradeSheet!$M21="I (Incomplete)"), 0, IF(AL26&gt;=55%, 1, 0))</f>
        <v>0</v>
      </c>
      <c r="AS26" s="145">
        <f>IF(OR(GradeSheet!$M21="W (Withdrawn)", GradeSheet!$M21="I (Incomplete)"), 0, IF(AM26&gt;=55%, 1, 0))</f>
        <v>0</v>
      </c>
      <c r="AT26" s="122"/>
      <c r="AU26" s="146">
        <f t="shared" si="11"/>
        <v>0</v>
      </c>
      <c r="AV26" s="146">
        <f t="shared" si="12"/>
        <v>0</v>
      </c>
      <c r="AW26" s="146">
        <f t="array" ref="AW26">IF($AV$9=0,0,MMULT($AH26:$AM26, AV$3:AV$8)/$AV$9)</f>
        <v>0</v>
      </c>
      <c r="AX26" s="146">
        <f t="array" ref="AX26">IF($AW$9=0,0,MMULT($AH26:$AM26, AW$3:AW$8)/$AW$9)</f>
        <v>0</v>
      </c>
      <c r="AY26" s="146">
        <f t="shared" si="13"/>
        <v>0</v>
      </c>
      <c r="AZ26" s="146">
        <f t="array" ref="AZ26">IF($AY$9=0,0,MMULT($AH26:$AM26, AY$3:AY$8)/$AY$9)</f>
        <v>0</v>
      </c>
      <c r="BA26" s="146">
        <f t="array" ref="BA26">IF($AZ$9=0,0,MMULT($AH26:$AM26, AZ$3:AZ$8)/$AZ$9)</f>
        <v>0</v>
      </c>
      <c r="BB26" s="146">
        <f t="array" ref="BB26">IF($BA$9=0,0,MMULT($AH26:$AM26, BA$3:BA$8)/$BA$9)</f>
        <v>0</v>
      </c>
      <c r="BC26" s="146">
        <f t="array" ref="BC26">IF($BB$9=0,0,MMULT($AH26:$AM26, BB$3:BB$8)/$BB$9)</f>
        <v>0</v>
      </c>
      <c r="BD26" s="146">
        <f t="array" ref="BD26">IF($BC$9=0,0,MMULT($AH26:$AM26, BC$3:BC$8)/$BC$9)</f>
        <v>0</v>
      </c>
      <c r="BE26" s="146">
        <f t="shared" si="14"/>
        <v>0</v>
      </c>
      <c r="BF26" s="146">
        <f t="shared" si="15"/>
        <v>0</v>
      </c>
      <c r="BG26" s="145">
        <f>IF(OR(GradeSheet!$M21="W (Withdrawn)", GradeSheet!$M21="I (Incomplete)"), 0, IF(AU26&gt;=65%, 1, 0))</f>
        <v>0</v>
      </c>
      <c r="BH26" s="145">
        <f>IF(OR(GradeSheet!$M21="W (Withdrawn)", GradeSheet!$M21="I (Incomplete)"), 0, IF(AV26&gt;=65%, 1, 0))</f>
        <v>0</v>
      </c>
      <c r="BI26" s="145">
        <f>IF(OR(GradeSheet!$M21="W (Withdrawn)", GradeSheet!$M21="I (Incomplete)"), 0, IF(AW26&gt;=65%, 1, 0))</f>
        <v>0</v>
      </c>
      <c r="BJ26" s="145">
        <f>IF(OR(GradeSheet!$M21="W (Withdrawn)", GradeSheet!$M21="I (Incomplete)"), 0, IF(AX26&gt;=65%, 1, 0))</f>
        <v>0</v>
      </c>
      <c r="BK26" s="145">
        <f>IF(OR(GradeSheet!$M21="W (Withdrawn)", GradeSheet!$M21="I (Incomplete)"), 0, IF(AY26&gt;=65%, 1, 0))</f>
        <v>0</v>
      </c>
      <c r="BL26" s="145">
        <f>IF(OR(GradeSheet!$M21="W (Withdrawn)", GradeSheet!$M21="I (Incomplete)"), 0, IF(AZ26&gt;=65%, 1, 0))</f>
        <v>0</v>
      </c>
      <c r="BM26" s="145">
        <f>IF(OR(GradeSheet!$M21="W (Withdrawn)", GradeSheet!$M21="I (Incomplete)"), 0, IF(BA26&gt;=65%, 1, 0))</f>
        <v>0</v>
      </c>
      <c r="BN26" s="145">
        <f>IF(OR(GradeSheet!$M21="W (Withdrawn)", GradeSheet!$M21="I (Incomplete)"), 0, IF(BB26&gt;=65%, 1, 0))</f>
        <v>0</v>
      </c>
      <c r="BO26" s="145">
        <f>IF(OR(GradeSheet!$M21="W (Withdrawn)", GradeSheet!$M21="I (Incomplete)"), 0, IF(BC26&gt;=65%, 1, 0))</f>
        <v>0</v>
      </c>
      <c r="BP26" s="145">
        <f>IF(OR(GradeSheet!$M21="W (Withdrawn)", GradeSheet!$M21="I (Incomplete)"), 0, IF(BD26&gt;=65%, 1, 0))</f>
        <v>0</v>
      </c>
      <c r="BQ26" s="145">
        <f>IF(OR(GradeSheet!$M21="W (Withdrawn)", GradeSheet!$M21="I (Incomplete)"), 0, IF(BE26&gt;=65%, 1, 0))</f>
        <v>0</v>
      </c>
      <c r="BR26" s="145">
        <f>IF(OR(GradeSheet!$M21="W (Withdrawn)", GradeSheet!$M21="I (Incomplete)"), 0, IF(BF26&gt;=65%, 1, 0))</f>
        <v>0</v>
      </c>
    </row>
    <row r="27" spans="1:70" ht="15.75" customHeight="1">
      <c r="A27" s="136">
        <v>13</v>
      </c>
      <c r="B27" s="22"/>
      <c r="C27" s="30"/>
      <c r="D27" s="137"/>
      <c r="E27" s="137"/>
      <c r="F27" s="138"/>
      <c r="G27" s="138"/>
      <c r="H27" s="138"/>
      <c r="I27" s="138"/>
      <c r="J27" s="137"/>
      <c r="K27" s="137"/>
      <c r="L27" s="137"/>
      <c r="M27" s="138"/>
      <c r="N27" s="138"/>
      <c r="O27" s="138"/>
      <c r="P27" s="139"/>
      <c r="Q27" s="140"/>
      <c r="R27" s="140"/>
      <c r="S27" s="140"/>
      <c r="T27" s="140"/>
      <c r="U27" s="141"/>
      <c r="V27" s="139"/>
      <c r="W27" s="140"/>
      <c r="X27" s="140"/>
      <c r="Y27" s="140"/>
      <c r="Z27" s="140"/>
      <c r="AA27" s="141"/>
      <c r="AB27" s="142">
        <f t="shared" ref="AB27:AE27" si="38">SUM(V27,D27,J27)</f>
        <v>0</v>
      </c>
      <c r="AC27" s="143">
        <f t="shared" si="38"/>
        <v>0</v>
      </c>
      <c r="AD27" s="143">
        <f t="shared" si="38"/>
        <v>0</v>
      </c>
      <c r="AE27" s="148">
        <f t="shared" si="38"/>
        <v>0</v>
      </c>
      <c r="AF27" s="143">
        <f t="shared" si="8"/>
        <v>0</v>
      </c>
      <c r="AG27" s="148">
        <f t="shared" si="9"/>
        <v>0</v>
      </c>
      <c r="AH27" s="144">
        <f t="shared" ref="AH27:AM27" si="39">IF(AB27 = 0, 0, AB27/AB$14)</f>
        <v>0</v>
      </c>
      <c r="AI27" s="144">
        <f t="shared" si="39"/>
        <v>0</v>
      </c>
      <c r="AJ27" s="144">
        <f t="shared" si="39"/>
        <v>0</v>
      </c>
      <c r="AK27" s="144">
        <f t="shared" si="39"/>
        <v>0</v>
      </c>
      <c r="AL27" s="144">
        <f t="shared" si="39"/>
        <v>0</v>
      </c>
      <c r="AM27" s="144">
        <f t="shared" si="39"/>
        <v>0</v>
      </c>
      <c r="AN27" s="145">
        <f>IF(OR(GradeSheet!$M22="W (Withdrawn)", GradeSheet!$M22="I (Incomplete)"), 0, IF(AH27&gt;=55%, 1, 0))</f>
        <v>0</v>
      </c>
      <c r="AO27" s="145">
        <f>IF(OR(GradeSheet!$M22="W (Withdrawn)", GradeSheet!$M22="I (Incomplete)"), 0, IF(AI27&gt;=55%, 1, 0))</f>
        <v>0</v>
      </c>
      <c r="AP27" s="145">
        <f>IF(OR(GradeSheet!$M22="W (Withdrawn)", GradeSheet!$M22="I (Incomplete)"), 0, IF(AJ27&gt;=55%, 1, 0))</f>
        <v>0</v>
      </c>
      <c r="AQ27" s="145">
        <f>IF(OR(GradeSheet!$M22="W (Withdrawn)", GradeSheet!$M22="I (Incomplete)"), 0, IF(AK27&gt;=55%, 1, 0))</f>
        <v>0</v>
      </c>
      <c r="AR27" s="145">
        <f>IF(OR(GradeSheet!$M22="W (Withdrawn)", GradeSheet!$M22="I (Incomplete)"), 0, IF(AL27&gt;=55%, 1, 0))</f>
        <v>0</v>
      </c>
      <c r="AS27" s="145">
        <f>IF(OR(GradeSheet!$M22="W (Withdrawn)", GradeSheet!$M22="I (Incomplete)"), 0, IF(AM27&gt;=55%, 1, 0))</f>
        <v>0</v>
      </c>
      <c r="AT27" s="122"/>
      <c r="AU27" s="146">
        <f t="shared" si="11"/>
        <v>0</v>
      </c>
      <c r="AV27" s="146">
        <f t="shared" si="12"/>
        <v>0</v>
      </c>
      <c r="AW27" s="146">
        <f t="array" ref="AW27">IF($AV$9=0,0,MMULT($AH27:$AM27, AV$3:AV$8)/$AV$9)</f>
        <v>0</v>
      </c>
      <c r="AX27" s="146">
        <f t="array" ref="AX27">IF($AW$9=0,0,MMULT($AH27:$AM27, AW$3:AW$8)/$AW$9)</f>
        <v>0</v>
      </c>
      <c r="AY27" s="146">
        <f t="shared" si="13"/>
        <v>0</v>
      </c>
      <c r="AZ27" s="146">
        <f t="array" ref="AZ27">IF($AY$9=0,0,MMULT($AH27:$AM27, AY$3:AY$8)/$AY$9)</f>
        <v>0</v>
      </c>
      <c r="BA27" s="146">
        <f t="array" ref="BA27">IF($AZ$9=0,0,MMULT($AH27:$AM27, AZ$3:AZ$8)/$AZ$9)</f>
        <v>0</v>
      </c>
      <c r="BB27" s="146">
        <f t="array" ref="BB27">IF($BA$9=0,0,MMULT($AH27:$AM27, BA$3:BA$8)/$BA$9)</f>
        <v>0</v>
      </c>
      <c r="BC27" s="146">
        <f t="array" ref="BC27">IF($BB$9=0,0,MMULT($AH27:$AM27, BB$3:BB$8)/$BB$9)</f>
        <v>0</v>
      </c>
      <c r="BD27" s="146">
        <f t="array" ref="BD27">IF($BC$9=0,0,MMULT($AH27:$AM27, BC$3:BC$8)/$BC$9)</f>
        <v>0</v>
      </c>
      <c r="BE27" s="146">
        <f t="shared" si="14"/>
        <v>0</v>
      </c>
      <c r="BF27" s="146">
        <f t="shared" si="15"/>
        <v>0</v>
      </c>
      <c r="BG27" s="145">
        <f>IF(OR(GradeSheet!$M22="W (Withdrawn)", GradeSheet!$M22="I (Incomplete)"), 0, IF(AU27&gt;=65%, 1, 0))</f>
        <v>0</v>
      </c>
      <c r="BH27" s="145">
        <f>IF(OR(GradeSheet!$M22="W (Withdrawn)", GradeSheet!$M22="I (Incomplete)"), 0, IF(AV27&gt;=65%, 1, 0))</f>
        <v>0</v>
      </c>
      <c r="BI27" s="145">
        <f>IF(OR(GradeSheet!$M22="W (Withdrawn)", GradeSheet!$M22="I (Incomplete)"), 0, IF(AW27&gt;=65%, 1, 0))</f>
        <v>0</v>
      </c>
      <c r="BJ27" s="145">
        <f>IF(OR(GradeSheet!$M22="W (Withdrawn)", GradeSheet!$M22="I (Incomplete)"), 0, IF(AX27&gt;=65%, 1, 0))</f>
        <v>0</v>
      </c>
      <c r="BK27" s="145">
        <f>IF(OR(GradeSheet!$M22="W (Withdrawn)", GradeSheet!$M22="I (Incomplete)"), 0, IF(AY27&gt;=65%, 1, 0))</f>
        <v>0</v>
      </c>
      <c r="BL27" s="145">
        <f>IF(OR(GradeSheet!$M22="W (Withdrawn)", GradeSheet!$M22="I (Incomplete)"), 0, IF(AZ27&gt;=65%, 1, 0))</f>
        <v>0</v>
      </c>
      <c r="BM27" s="145">
        <f>IF(OR(GradeSheet!$M22="W (Withdrawn)", GradeSheet!$M22="I (Incomplete)"), 0, IF(BA27&gt;=65%, 1, 0))</f>
        <v>0</v>
      </c>
      <c r="BN27" s="145">
        <f>IF(OR(GradeSheet!$M22="W (Withdrawn)", GradeSheet!$M22="I (Incomplete)"), 0, IF(BB27&gt;=65%, 1, 0))</f>
        <v>0</v>
      </c>
      <c r="BO27" s="145">
        <f>IF(OR(GradeSheet!$M22="W (Withdrawn)", GradeSheet!$M22="I (Incomplete)"), 0, IF(BC27&gt;=65%, 1, 0))</f>
        <v>0</v>
      </c>
      <c r="BP27" s="145">
        <f>IF(OR(GradeSheet!$M22="W (Withdrawn)", GradeSheet!$M22="I (Incomplete)"), 0, IF(BD27&gt;=65%, 1, 0))</f>
        <v>0</v>
      </c>
      <c r="BQ27" s="145">
        <f>IF(OR(GradeSheet!$M22="W (Withdrawn)", GradeSheet!$M22="I (Incomplete)"), 0, IF(BE27&gt;=65%, 1, 0))</f>
        <v>0</v>
      </c>
      <c r="BR27" s="145">
        <f>IF(OR(GradeSheet!$M22="W (Withdrawn)", GradeSheet!$M22="I (Incomplete)"), 0, IF(BF27&gt;=65%, 1, 0))</f>
        <v>0</v>
      </c>
    </row>
    <row r="28" spans="1:70" ht="15.75" customHeight="1">
      <c r="A28" s="147">
        <v>14</v>
      </c>
      <c r="B28" s="22"/>
      <c r="C28" s="30"/>
      <c r="D28" s="137"/>
      <c r="E28" s="137"/>
      <c r="F28" s="138"/>
      <c r="G28" s="138"/>
      <c r="H28" s="138"/>
      <c r="I28" s="138"/>
      <c r="J28" s="137"/>
      <c r="K28" s="137"/>
      <c r="L28" s="137"/>
      <c r="M28" s="138"/>
      <c r="N28" s="138"/>
      <c r="O28" s="138"/>
      <c r="P28" s="139"/>
      <c r="Q28" s="140"/>
      <c r="R28" s="140"/>
      <c r="S28" s="140"/>
      <c r="T28" s="140"/>
      <c r="U28" s="141"/>
      <c r="V28" s="139"/>
      <c r="W28" s="140"/>
      <c r="X28" s="140"/>
      <c r="Y28" s="140"/>
      <c r="Z28" s="140"/>
      <c r="AA28" s="141"/>
      <c r="AB28" s="142">
        <f t="shared" ref="AB28:AE28" si="40">SUM(V28,D28,J28)</f>
        <v>0</v>
      </c>
      <c r="AC28" s="143">
        <f t="shared" si="40"/>
        <v>0</v>
      </c>
      <c r="AD28" s="148">
        <f t="shared" si="40"/>
        <v>0</v>
      </c>
      <c r="AE28" s="148">
        <f t="shared" si="40"/>
        <v>0</v>
      </c>
      <c r="AF28" s="143">
        <f t="shared" si="8"/>
        <v>0</v>
      </c>
      <c r="AG28" s="148">
        <f t="shared" si="9"/>
        <v>0</v>
      </c>
      <c r="AH28" s="144">
        <f t="shared" ref="AH28:AM28" si="41">IF(AB28 = 0, 0, AB28/AB$14)</f>
        <v>0</v>
      </c>
      <c r="AI28" s="144">
        <f t="shared" si="41"/>
        <v>0</v>
      </c>
      <c r="AJ28" s="144">
        <f t="shared" si="41"/>
        <v>0</v>
      </c>
      <c r="AK28" s="144">
        <f t="shared" si="41"/>
        <v>0</v>
      </c>
      <c r="AL28" s="144">
        <f t="shared" si="41"/>
        <v>0</v>
      </c>
      <c r="AM28" s="144">
        <f t="shared" si="41"/>
        <v>0</v>
      </c>
      <c r="AN28" s="145">
        <f>IF(OR(GradeSheet!$M23="W (Withdrawn)", GradeSheet!$M23="I (Incomplete)"), 0, IF(AH28&gt;=55%, 1, 0))</f>
        <v>0</v>
      </c>
      <c r="AO28" s="145">
        <f>IF(OR(GradeSheet!$M23="W (Withdrawn)", GradeSheet!$M23="I (Incomplete)"), 0, IF(AI28&gt;=55%, 1, 0))</f>
        <v>0</v>
      </c>
      <c r="AP28" s="145">
        <f>IF(OR(GradeSheet!$M23="W (Withdrawn)", GradeSheet!$M23="I (Incomplete)"), 0, IF(AJ28&gt;=55%, 1, 0))</f>
        <v>0</v>
      </c>
      <c r="AQ28" s="145">
        <f>IF(OR(GradeSheet!$M23="W (Withdrawn)", GradeSheet!$M23="I (Incomplete)"), 0, IF(AK28&gt;=55%, 1, 0))</f>
        <v>0</v>
      </c>
      <c r="AR28" s="145">
        <f>IF(OR(GradeSheet!$M23="W (Withdrawn)", GradeSheet!$M23="I (Incomplete)"), 0, IF(AL28&gt;=55%, 1, 0))</f>
        <v>0</v>
      </c>
      <c r="AS28" s="145">
        <f>IF(OR(GradeSheet!$M23="W (Withdrawn)", GradeSheet!$M23="I (Incomplete)"), 0, IF(AM28&gt;=55%, 1, 0))</f>
        <v>0</v>
      </c>
      <c r="AT28" s="122"/>
      <c r="AU28" s="146">
        <f t="shared" si="11"/>
        <v>0</v>
      </c>
      <c r="AV28" s="146">
        <f t="shared" si="12"/>
        <v>0</v>
      </c>
      <c r="AW28" s="146">
        <f t="array" ref="AW28">IF($AV$9=0,0,MMULT($AH28:$AM28, AV$3:AV$8)/$AV$9)</f>
        <v>0</v>
      </c>
      <c r="AX28" s="146">
        <f t="array" ref="AX28">IF($AW$9=0,0,MMULT($AH28:$AM28, AW$3:AW$8)/$AW$9)</f>
        <v>0</v>
      </c>
      <c r="AY28" s="146">
        <f t="shared" si="13"/>
        <v>0</v>
      </c>
      <c r="AZ28" s="146">
        <f t="array" ref="AZ28">IF($AY$9=0,0,MMULT($AH28:$AM28, AY$3:AY$8)/$AY$9)</f>
        <v>0</v>
      </c>
      <c r="BA28" s="146">
        <f t="array" ref="BA28">IF($AZ$9=0,0,MMULT($AH28:$AM28, AZ$3:AZ$8)/$AZ$9)</f>
        <v>0</v>
      </c>
      <c r="BB28" s="146">
        <f t="array" ref="BB28">IF($BA$9=0,0,MMULT($AH28:$AM28, BA$3:BA$8)/$BA$9)</f>
        <v>0</v>
      </c>
      <c r="BC28" s="146">
        <f t="array" ref="BC28">IF($BB$9=0,0,MMULT($AH28:$AM28, BB$3:BB$8)/$BB$9)</f>
        <v>0</v>
      </c>
      <c r="BD28" s="146">
        <f t="array" ref="BD28">IF($BC$9=0,0,MMULT($AH28:$AM28, BC$3:BC$8)/$BC$9)</f>
        <v>0</v>
      </c>
      <c r="BE28" s="146">
        <f t="shared" si="14"/>
        <v>0</v>
      </c>
      <c r="BF28" s="146">
        <f t="shared" si="15"/>
        <v>0</v>
      </c>
      <c r="BG28" s="145">
        <f>IF(OR(GradeSheet!$M23="W (Withdrawn)", GradeSheet!$M23="I (Incomplete)"), 0, IF(AU28&gt;=65%, 1, 0))</f>
        <v>0</v>
      </c>
      <c r="BH28" s="145">
        <f>IF(OR(GradeSheet!$M23="W (Withdrawn)", GradeSheet!$M23="I (Incomplete)"), 0, IF(AV28&gt;=65%, 1, 0))</f>
        <v>0</v>
      </c>
      <c r="BI28" s="145">
        <f>IF(OR(GradeSheet!$M23="W (Withdrawn)", GradeSheet!$M23="I (Incomplete)"), 0, IF(AW28&gt;=65%, 1, 0))</f>
        <v>0</v>
      </c>
      <c r="BJ28" s="145">
        <f>IF(OR(GradeSheet!$M23="W (Withdrawn)", GradeSheet!$M23="I (Incomplete)"), 0, IF(AX28&gt;=65%, 1, 0))</f>
        <v>0</v>
      </c>
      <c r="BK28" s="145">
        <f>IF(OR(GradeSheet!$M23="W (Withdrawn)", GradeSheet!$M23="I (Incomplete)"), 0, IF(AY28&gt;=65%, 1, 0))</f>
        <v>0</v>
      </c>
      <c r="BL28" s="145">
        <f>IF(OR(GradeSheet!$M23="W (Withdrawn)", GradeSheet!$M23="I (Incomplete)"), 0, IF(AZ28&gt;=65%, 1, 0))</f>
        <v>0</v>
      </c>
      <c r="BM28" s="145">
        <f>IF(OR(GradeSheet!$M23="W (Withdrawn)", GradeSheet!$M23="I (Incomplete)"), 0, IF(BA28&gt;=65%, 1, 0))</f>
        <v>0</v>
      </c>
      <c r="BN28" s="145">
        <f>IF(OR(GradeSheet!$M23="W (Withdrawn)", GradeSheet!$M23="I (Incomplete)"), 0, IF(BB28&gt;=65%, 1, 0))</f>
        <v>0</v>
      </c>
      <c r="BO28" s="145">
        <f>IF(OR(GradeSheet!$M23="W (Withdrawn)", GradeSheet!$M23="I (Incomplete)"), 0, IF(BC28&gt;=65%, 1, 0))</f>
        <v>0</v>
      </c>
      <c r="BP28" s="145">
        <f>IF(OR(GradeSheet!$M23="W (Withdrawn)", GradeSheet!$M23="I (Incomplete)"), 0, IF(BD28&gt;=65%, 1, 0))</f>
        <v>0</v>
      </c>
      <c r="BQ28" s="145">
        <f>IF(OR(GradeSheet!$M23="W (Withdrawn)", GradeSheet!$M23="I (Incomplete)"), 0, IF(BE28&gt;=65%, 1, 0))</f>
        <v>0</v>
      </c>
      <c r="BR28" s="145">
        <f>IF(OR(GradeSheet!$M23="W (Withdrawn)", GradeSheet!$M23="I (Incomplete)"), 0, IF(BF28&gt;=65%, 1, 0))</f>
        <v>0</v>
      </c>
    </row>
    <row r="29" spans="1:70" ht="15.75" customHeight="1">
      <c r="A29" s="136">
        <v>15</v>
      </c>
      <c r="B29" s="22"/>
      <c r="C29" s="30"/>
      <c r="D29" s="137"/>
      <c r="E29" s="137"/>
      <c r="F29" s="138"/>
      <c r="G29" s="138"/>
      <c r="H29" s="138"/>
      <c r="I29" s="138"/>
      <c r="J29" s="137"/>
      <c r="K29" s="137"/>
      <c r="L29" s="137"/>
      <c r="M29" s="138"/>
      <c r="N29" s="138"/>
      <c r="O29" s="138"/>
      <c r="P29" s="139"/>
      <c r="Q29" s="140"/>
      <c r="R29" s="140"/>
      <c r="S29" s="140"/>
      <c r="T29" s="140"/>
      <c r="U29" s="141"/>
      <c r="V29" s="139"/>
      <c r="W29" s="140"/>
      <c r="X29" s="140"/>
      <c r="Y29" s="140"/>
      <c r="Z29" s="140"/>
      <c r="AA29" s="141"/>
      <c r="AB29" s="142">
        <f t="shared" ref="AB29:AE29" si="42">SUM(V29,D29,J29)</f>
        <v>0</v>
      </c>
      <c r="AC29" s="143">
        <f t="shared" si="42"/>
        <v>0</v>
      </c>
      <c r="AD29" s="148">
        <f t="shared" si="42"/>
        <v>0</v>
      </c>
      <c r="AE29" s="148">
        <f t="shared" si="42"/>
        <v>0</v>
      </c>
      <c r="AF29" s="143">
        <f t="shared" si="8"/>
        <v>0</v>
      </c>
      <c r="AG29" s="148">
        <f t="shared" si="9"/>
        <v>0</v>
      </c>
      <c r="AH29" s="144">
        <f t="shared" ref="AH29:AM29" si="43">IF(AB29 = 0, 0, AB29/AB$14)</f>
        <v>0</v>
      </c>
      <c r="AI29" s="144">
        <f t="shared" si="43"/>
        <v>0</v>
      </c>
      <c r="AJ29" s="144">
        <f t="shared" si="43"/>
        <v>0</v>
      </c>
      <c r="AK29" s="144">
        <f t="shared" si="43"/>
        <v>0</v>
      </c>
      <c r="AL29" s="144">
        <f t="shared" si="43"/>
        <v>0</v>
      </c>
      <c r="AM29" s="144">
        <f t="shared" si="43"/>
        <v>0</v>
      </c>
      <c r="AN29" s="145">
        <f>IF(OR(GradeSheet!$M24="W (Withdrawn)", GradeSheet!$M24="I (Incomplete)"), 0, IF(AH29&gt;=55%, 1, 0))</f>
        <v>0</v>
      </c>
      <c r="AO29" s="145">
        <f>IF(OR(GradeSheet!$M24="W (Withdrawn)", GradeSheet!$M24="I (Incomplete)"), 0, IF(AI29&gt;=55%, 1, 0))</f>
        <v>0</v>
      </c>
      <c r="AP29" s="145">
        <f>IF(OR(GradeSheet!$M24="W (Withdrawn)", GradeSheet!$M24="I (Incomplete)"), 0, IF(AJ29&gt;=55%, 1, 0))</f>
        <v>0</v>
      </c>
      <c r="AQ29" s="145">
        <f>IF(OR(GradeSheet!$M24="W (Withdrawn)", GradeSheet!$M24="I (Incomplete)"), 0, IF(AK29&gt;=55%, 1, 0))</f>
        <v>0</v>
      </c>
      <c r="AR29" s="145">
        <f>IF(OR(GradeSheet!$M24="W (Withdrawn)", GradeSheet!$M24="I (Incomplete)"), 0, IF(AL29&gt;=55%, 1, 0))</f>
        <v>0</v>
      </c>
      <c r="AS29" s="145">
        <f>IF(OR(GradeSheet!$M24="W (Withdrawn)", GradeSheet!$M24="I (Incomplete)"), 0, IF(AM29&gt;=55%, 1, 0))</f>
        <v>0</v>
      </c>
      <c r="AT29" s="122"/>
      <c r="AU29" s="146">
        <f t="shared" si="11"/>
        <v>0</v>
      </c>
      <c r="AV29" s="146">
        <f t="shared" si="12"/>
        <v>0</v>
      </c>
      <c r="AW29" s="146">
        <f t="array" ref="AW29">IF($AV$9=0,0,MMULT($AH29:$AM29, AV$3:AV$8)/$AV$9)</f>
        <v>0</v>
      </c>
      <c r="AX29" s="146">
        <f t="array" ref="AX29">IF($AW$9=0,0,MMULT($AH29:$AM29, AW$3:AW$8)/$AW$9)</f>
        <v>0</v>
      </c>
      <c r="AY29" s="146">
        <f t="shared" si="13"/>
        <v>0</v>
      </c>
      <c r="AZ29" s="146">
        <f t="array" ref="AZ29">IF($AY$9=0,0,MMULT($AH29:$AM29, AY$3:AY$8)/$AY$9)</f>
        <v>0</v>
      </c>
      <c r="BA29" s="146">
        <f t="array" ref="BA29">IF($AZ$9=0,0,MMULT($AH29:$AM29, AZ$3:AZ$8)/$AZ$9)</f>
        <v>0</v>
      </c>
      <c r="BB29" s="146">
        <f t="array" ref="BB29">IF($BA$9=0,0,MMULT($AH29:$AM29, BA$3:BA$8)/$BA$9)</f>
        <v>0</v>
      </c>
      <c r="BC29" s="146">
        <f t="array" ref="BC29">IF($BB$9=0,0,MMULT($AH29:$AM29, BB$3:BB$8)/$BB$9)</f>
        <v>0</v>
      </c>
      <c r="BD29" s="146">
        <f t="array" ref="BD29">IF($BC$9=0,0,MMULT($AH29:$AM29, BC$3:BC$8)/$BC$9)</f>
        <v>0</v>
      </c>
      <c r="BE29" s="146">
        <f t="shared" si="14"/>
        <v>0</v>
      </c>
      <c r="BF29" s="146">
        <f t="shared" si="15"/>
        <v>0</v>
      </c>
      <c r="BG29" s="145">
        <f>IF(OR(GradeSheet!$M24="W (Withdrawn)", GradeSheet!$M24="I (Incomplete)"), 0, IF(AU29&gt;=65%, 1, 0))</f>
        <v>0</v>
      </c>
      <c r="BH29" s="145">
        <f>IF(OR(GradeSheet!$M24="W (Withdrawn)", GradeSheet!$M24="I (Incomplete)"), 0, IF(AV29&gt;=65%, 1, 0))</f>
        <v>0</v>
      </c>
      <c r="BI29" s="145">
        <f>IF(OR(GradeSheet!$M24="W (Withdrawn)", GradeSheet!$M24="I (Incomplete)"), 0, IF(AW29&gt;=65%, 1, 0))</f>
        <v>0</v>
      </c>
      <c r="BJ29" s="145">
        <f>IF(OR(GradeSheet!$M24="W (Withdrawn)", GradeSheet!$M24="I (Incomplete)"), 0, IF(AX29&gt;=65%, 1, 0))</f>
        <v>0</v>
      </c>
      <c r="BK29" s="145">
        <f>IF(OR(GradeSheet!$M24="W (Withdrawn)", GradeSheet!$M24="I (Incomplete)"), 0, IF(AY29&gt;=65%, 1, 0))</f>
        <v>0</v>
      </c>
      <c r="BL29" s="145">
        <f>IF(OR(GradeSheet!$M24="W (Withdrawn)", GradeSheet!$M24="I (Incomplete)"), 0, IF(AZ29&gt;=65%, 1, 0))</f>
        <v>0</v>
      </c>
      <c r="BM29" s="145">
        <f>IF(OR(GradeSheet!$M24="W (Withdrawn)", GradeSheet!$M24="I (Incomplete)"), 0, IF(BA29&gt;=65%, 1, 0))</f>
        <v>0</v>
      </c>
      <c r="BN29" s="145">
        <f>IF(OR(GradeSheet!$M24="W (Withdrawn)", GradeSheet!$M24="I (Incomplete)"), 0, IF(BB29&gt;=65%, 1, 0))</f>
        <v>0</v>
      </c>
      <c r="BO29" s="145">
        <f>IF(OR(GradeSheet!$M24="W (Withdrawn)", GradeSheet!$M24="I (Incomplete)"), 0, IF(BC29&gt;=65%, 1, 0))</f>
        <v>0</v>
      </c>
      <c r="BP29" s="145">
        <f>IF(OR(GradeSheet!$M24="W (Withdrawn)", GradeSheet!$M24="I (Incomplete)"), 0, IF(BD29&gt;=65%, 1, 0))</f>
        <v>0</v>
      </c>
      <c r="BQ29" s="145">
        <f>IF(OR(GradeSheet!$M24="W (Withdrawn)", GradeSheet!$M24="I (Incomplete)"), 0, IF(BE29&gt;=65%, 1, 0))</f>
        <v>0</v>
      </c>
      <c r="BR29" s="145">
        <f>IF(OR(GradeSheet!$M24="W (Withdrawn)", GradeSheet!$M24="I (Incomplete)"), 0, IF(BF29&gt;=65%, 1, 0))</f>
        <v>0</v>
      </c>
    </row>
    <row r="30" spans="1:70" ht="15.75" customHeight="1">
      <c r="A30" s="147">
        <v>16</v>
      </c>
      <c r="B30" s="22"/>
      <c r="C30" s="30"/>
      <c r="D30" s="137"/>
      <c r="E30" s="137"/>
      <c r="F30" s="138"/>
      <c r="G30" s="138"/>
      <c r="H30" s="138"/>
      <c r="I30" s="138"/>
      <c r="J30" s="137"/>
      <c r="K30" s="137"/>
      <c r="L30" s="137"/>
      <c r="M30" s="138"/>
      <c r="N30" s="138"/>
      <c r="O30" s="138"/>
      <c r="P30" s="139"/>
      <c r="Q30" s="140"/>
      <c r="R30" s="140"/>
      <c r="S30" s="140"/>
      <c r="T30" s="140"/>
      <c r="U30" s="141"/>
      <c r="V30" s="139"/>
      <c r="W30" s="140"/>
      <c r="X30" s="140"/>
      <c r="Y30" s="140"/>
      <c r="Z30" s="140"/>
      <c r="AA30" s="141"/>
      <c r="AB30" s="142">
        <f t="shared" ref="AB30:AE30" si="44">SUM(V30,D30,J30)</f>
        <v>0</v>
      </c>
      <c r="AC30" s="143">
        <f t="shared" si="44"/>
        <v>0</v>
      </c>
      <c r="AD30" s="148">
        <f t="shared" si="44"/>
        <v>0</v>
      </c>
      <c r="AE30" s="148">
        <f t="shared" si="44"/>
        <v>0</v>
      </c>
      <c r="AF30" s="143">
        <f t="shared" si="8"/>
        <v>0</v>
      </c>
      <c r="AG30" s="148">
        <f t="shared" si="9"/>
        <v>0</v>
      </c>
      <c r="AH30" s="144">
        <f t="shared" ref="AH30:AM30" si="45">IF(AB30 = 0, 0, AB30/AB$14)</f>
        <v>0</v>
      </c>
      <c r="AI30" s="144">
        <f t="shared" si="45"/>
        <v>0</v>
      </c>
      <c r="AJ30" s="144">
        <f t="shared" si="45"/>
        <v>0</v>
      </c>
      <c r="AK30" s="144">
        <f t="shared" si="45"/>
        <v>0</v>
      </c>
      <c r="AL30" s="144">
        <f t="shared" si="45"/>
        <v>0</v>
      </c>
      <c r="AM30" s="144">
        <f t="shared" si="45"/>
        <v>0</v>
      </c>
      <c r="AN30" s="145">
        <f>IF(OR(GradeSheet!$M25="W (Withdrawn)", GradeSheet!$M25="I (Incomplete)"), 0, IF(AH30&gt;=55%, 1, 0))</f>
        <v>0</v>
      </c>
      <c r="AO30" s="145">
        <f>IF(OR(GradeSheet!$M25="W (Withdrawn)", GradeSheet!$M25="I (Incomplete)"), 0, IF(AI30&gt;=55%, 1, 0))</f>
        <v>0</v>
      </c>
      <c r="AP30" s="145">
        <f>IF(OR(GradeSheet!$M25="W (Withdrawn)", GradeSheet!$M25="I (Incomplete)"), 0, IF(AJ30&gt;=55%, 1, 0))</f>
        <v>0</v>
      </c>
      <c r="AQ30" s="145">
        <f>IF(OR(GradeSheet!$M25="W (Withdrawn)", GradeSheet!$M25="I (Incomplete)"), 0, IF(AK30&gt;=55%, 1, 0))</f>
        <v>0</v>
      </c>
      <c r="AR30" s="145">
        <f>IF(OR(GradeSheet!$M25="W (Withdrawn)", GradeSheet!$M25="I (Incomplete)"), 0, IF(AL30&gt;=55%, 1, 0))</f>
        <v>0</v>
      </c>
      <c r="AS30" s="145">
        <f>IF(OR(GradeSheet!$M25="W (Withdrawn)", GradeSheet!$M25="I (Incomplete)"), 0, IF(AM30&gt;=55%, 1, 0))</f>
        <v>0</v>
      </c>
      <c r="AT30" s="122"/>
      <c r="AU30" s="146">
        <f t="shared" si="11"/>
        <v>0</v>
      </c>
      <c r="AV30" s="146">
        <f t="shared" si="12"/>
        <v>0</v>
      </c>
      <c r="AW30" s="146">
        <f t="array" ref="AW30">IF($AV$9=0,0,MMULT($AH30:$AM30, AV$3:AV$8)/$AV$9)</f>
        <v>0</v>
      </c>
      <c r="AX30" s="146">
        <f t="array" ref="AX30">IF($AW$9=0,0,MMULT($AH30:$AM30, AW$3:AW$8)/$AW$9)</f>
        <v>0</v>
      </c>
      <c r="AY30" s="146">
        <f t="shared" si="13"/>
        <v>0</v>
      </c>
      <c r="AZ30" s="146">
        <f t="array" ref="AZ30">IF($AY$9=0,0,MMULT($AH30:$AM30, AY$3:AY$8)/$AY$9)</f>
        <v>0</v>
      </c>
      <c r="BA30" s="146">
        <f t="array" ref="BA30">IF($AZ$9=0,0,MMULT($AH30:$AM30, AZ$3:AZ$8)/$AZ$9)</f>
        <v>0</v>
      </c>
      <c r="BB30" s="146">
        <f t="array" ref="BB30">IF($BA$9=0,0,MMULT($AH30:$AM30, BA$3:BA$8)/$BA$9)</f>
        <v>0</v>
      </c>
      <c r="BC30" s="146">
        <f t="array" ref="BC30">IF($BB$9=0,0,MMULT($AH30:$AM30, BB$3:BB$8)/$BB$9)</f>
        <v>0</v>
      </c>
      <c r="BD30" s="146">
        <f t="array" ref="BD30">IF($BC$9=0,0,MMULT($AH30:$AM30, BC$3:BC$8)/$BC$9)</f>
        <v>0</v>
      </c>
      <c r="BE30" s="146">
        <f t="shared" si="14"/>
        <v>0</v>
      </c>
      <c r="BF30" s="146">
        <f t="shared" si="15"/>
        <v>0</v>
      </c>
      <c r="BG30" s="145">
        <f>IF(OR(GradeSheet!$M25="W (Withdrawn)", GradeSheet!$M25="I (Incomplete)"), 0, IF(AU30&gt;=65%, 1, 0))</f>
        <v>0</v>
      </c>
      <c r="BH30" s="145">
        <f>IF(OR(GradeSheet!$M25="W (Withdrawn)", GradeSheet!$M25="I (Incomplete)"), 0, IF(AV30&gt;=65%, 1, 0))</f>
        <v>0</v>
      </c>
      <c r="BI30" s="145">
        <f>IF(OR(GradeSheet!$M25="W (Withdrawn)", GradeSheet!$M25="I (Incomplete)"), 0, IF(AW30&gt;=65%, 1, 0))</f>
        <v>0</v>
      </c>
      <c r="BJ30" s="145">
        <f>IF(OR(GradeSheet!$M25="W (Withdrawn)", GradeSheet!$M25="I (Incomplete)"), 0, IF(AX30&gt;=65%, 1, 0))</f>
        <v>0</v>
      </c>
      <c r="BK30" s="145">
        <f>IF(OR(GradeSheet!$M25="W (Withdrawn)", GradeSheet!$M25="I (Incomplete)"), 0, IF(AY30&gt;=65%, 1, 0))</f>
        <v>0</v>
      </c>
      <c r="BL30" s="145">
        <f>IF(OR(GradeSheet!$M25="W (Withdrawn)", GradeSheet!$M25="I (Incomplete)"), 0, IF(AZ30&gt;=65%, 1, 0))</f>
        <v>0</v>
      </c>
      <c r="BM30" s="145">
        <f>IF(OR(GradeSheet!$M25="W (Withdrawn)", GradeSheet!$M25="I (Incomplete)"), 0, IF(BA30&gt;=65%, 1, 0))</f>
        <v>0</v>
      </c>
      <c r="BN30" s="145">
        <f>IF(OR(GradeSheet!$M25="W (Withdrawn)", GradeSheet!$M25="I (Incomplete)"), 0, IF(BB30&gt;=65%, 1, 0))</f>
        <v>0</v>
      </c>
      <c r="BO30" s="145">
        <f>IF(OR(GradeSheet!$M25="W (Withdrawn)", GradeSheet!$M25="I (Incomplete)"), 0, IF(BC30&gt;=65%, 1, 0))</f>
        <v>0</v>
      </c>
      <c r="BP30" s="145">
        <f>IF(OR(GradeSheet!$M25="W (Withdrawn)", GradeSheet!$M25="I (Incomplete)"), 0, IF(BD30&gt;=65%, 1, 0))</f>
        <v>0</v>
      </c>
      <c r="BQ30" s="145">
        <f>IF(OR(GradeSheet!$M25="W (Withdrawn)", GradeSheet!$M25="I (Incomplete)"), 0, IF(BE30&gt;=65%, 1, 0))</f>
        <v>0</v>
      </c>
      <c r="BR30" s="145">
        <f>IF(OR(GradeSheet!$M25="W (Withdrawn)", GradeSheet!$M25="I (Incomplete)"), 0, IF(BF30&gt;=65%, 1, 0))</f>
        <v>0</v>
      </c>
    </row>
    <row r="31" spans="1:70" ht="15.75" customHeight="1">
      <c r="A31" s="136">
        <v>17</v>
      </c>
      <c r="B31" s="22"/>
      <c r="C31" s="30"/>
      <c r="D31" s="137"/>
      <c r="E31" s="137"/>
      <c r="F31" s="138"/>
      <c r="G31" s="138"/>
      <c r="H31" s="138"/>
      <c r="I31" s="138"/>
      <c r="J31" s="137"/>
      <c r="K31" s="137"/>
      <c r="L31" s="137"/>
      <c r="M31" s="138"/>
      <c r="N31" s="138"/>
      <c r="O31" s="138"/>
      <c r="P31" s="139"/>
      <c r="Q31" s="140"/>
      <c r="R31" s="140"/>
      <c r="S31" s="140"/>
      <c r="T31" s="140"/>
      <c r="U31" s="141"/>
      <c r="V31" s="139"/>
      <c r="W31" s="140"/>
      <c r="X31" s="140"/>
      <c r="Y31" s="140"/>
      <c r="Z31" s="140"/>
      <c r="AA31" s="141"/>
      <c r="AB31" s="142">
        <f t="shared" ref="AB31:AE31" si="46">SUM(V31,D31,J31)</f>
        <v>0</v>
      </c>
      <c r="AC31" s="143">
        <f t="shared" si="46"/>
        <v>0</v>
      </c>
      <c r="AD31" s="148">
        <f t="shared" si="46"/>
        <v>0</v>
      </c>
      <c r="AE31" s="148">
        <f t="shared" si="46"/>
        <v>0</v>
      </c>
      <c r="AF31" s="143">
        <f t="shared" si="8"/>
        <v>0</v>
      </c>
      <c r="AG31" s="148">
        <f t="shared" si="9"/>
        <v>0</v>
      </c>
      <c r="AH31" s="144">
        <f t="shared" ref="AH31:AM31" si="47">IF(AB31 = 0, 0, AB31/AB$14)</f>
        <v>0</v>
      </c>
      <c r="AI31" s="144">
        <f t="shared" si="47"/>
        <v>0</v>
      </c>
      <c r="AJ31" s="144">
        <f t="shared" si="47"/>
        <v>0</v>
      </c>
      <c r="AK31" s="144">
        <f t="shared" si="47"/>
        <v>0</v>
      </c>
      <c r="AL31" s="144">
        <f t="shared" si="47"/>
        <v>0</v>
      </c>
      <c r="AM31" s="144">
        <f t="shared" si="47"/>
        <v>0</v>
      </c>
      <c r="AN31" s="145">
        <v>1</v>
      </c>
      <c r="AO31" s="145">
        <f>IF(OR(GradeSheet!$M26="W (Withdrawn)", GradeSheet!$M26="I (Incomplete)"), 0, IF(AI31&gt;=55%, 1, 0))</f>
        <v>0</v>
      </c>
      <c r="AP31" s="145">
        <f>IF(OR(GradeSheet!$M26="W (Withdrawn)", GradeSheet!$M26="I (Incomplete)"), 0, IF(AJ31&gt;=55%, 1, 0))</f>
        <v>0</v>
      </c>
      <c r="AQ31" s="145">
        <f>IF(OR(GradeSheet!$M26="W (Withdrawn)", GradeSheet!$M26="I (Incomplete)"), 0, IF(AK31&gt;=55%, 1, 0))</f>
        <v>0</v>
      </c>
      <c r="AR31" s="145">
        <f>IF(OR(GradeSheet!$M26="W (Withdrawn)", GradeSheet!$M26="I (Incomplete)"), 0, IF(AL31&gt;=55%, 1, 0))</f>
        <v>0</v>
      </c>
      <c r="AS31" s="145">
        <f>IF(OR(GradeSheet!$M26="W (Withdrawn)", GradeSheet!$M26="I (Incomplete)"), 0, IF(AM31&gt;=55%, 1, 0))</f>
        <v>0</v>
      </c>
      <c r="AT31" s="122"/>
      <c r="AU31" s="146">
        <f t="shared" si="11"/>
        <v>0</v>
      </c>
      <c r="AV31" s="146">
        <f t="shared" si="12"/>
        <v>0</v>
      </c>
      <c r="AW31" s="146">
        <f t="array" ref="AW31">IF($AV$9=0,0,MMULT($AH31:$AM31, AV$3:AV$8)/$AV$9)</f>
        <v>0</v>
      </c>
      <c r="AX31" s="146">
        <f t="array" ref="AX31">IF($AW$9=0,0,MMULT($AH31:$AM31, AW$3:AW$8)/$AW$9)</f>
        <v>0</v>
      </c>
      <c r="AY31" s="146">
        <f t="shared" si="13"/>
        <v>0</v>
      </c>
      <c r="AZ31" s="146">
        <f t="array" ref="AZ31">IF($AY$9=0,0,MMULT($AH31:$AM31, AY$3:AY$8)/$AY$9)</f>
        <v>0</v>
      </c>
      <c r="BA31" s="146">
        <f t="array" ref="BA31">IF($AZ$9=0,0,MMULT($AH31:$AM31, AZ$3:AZ$8)/$AZ$9)</f>
        <v>0</v>
      </c>
      <c r="BB31" s="146">
        <f t="array" ref="BB31">IF($BA$9=0,0,MMULT($AH31:$AM31, BA$3:BA$8)/$BA$9)</f>
        <v>0</v>
      </c>
      <c r="BC31" s="146">
        <f t="array" ref="BC31">IF($BB$9=0,0,MMULT($AH31:$AM31, BB$3:BB$8)/$BB$9)</f>
        <v>0</v>
      </c>
      <c r="BD31" s="146">
        <f t="array" ref="BD31">IF($BC$9=0,0,MMULT($AH31:$AM31, BC$3:BC$8)/$BC$9)</f>
        <v>0</v>
      </c>
      <c r="BE31" s="146">
        <f t="shared" si="14"/>
        <v>0</v>
      </c>
      <c r="BF31" s="146">
        <f t="shared" si="15"/>
        <v>0</v>
      </c>
      <c r="BG31" s="145">
        <f>IF(OR(GradeSheet!$M26="W (Withdrawn)", GradeSheet!$M26="I (Incomplete)"), 0, IF(AU31&gt;=65%, 1, 0))</f>
        <v>0</v>
      </c>
      <c r="BH31" s="145">
        <f>IF(OR(GradeSheet!$M26="W (Withdrawn)", GradeSheet!$M26="I (Incomplete)"), 0, IF(AV31&gt;=65%, 1, 0))</f>
        <v>0</v>
      </c>
      <c r="BI31" s="145">
        <f>IF(OR(GradeSheet!$M26="W (Withdrawn)", GradeSheet!$M26="I (Incomplete)"), 0, IF(AW31&gt;=65%, 1, 0))</f>
        <v>0</v>
      </c>
      <c r="BJ31" s="145">
        <f>IF(OR(GradeSheet!$M26="W (Withdrawn)", GradeSheet!$M26="I (Incomplete)"), 0, IF(AX31&gt;=65%, 1, 0))</f>
        <v>0</v>
      </c>
      <c r="BK31" s="145">
        <f>IF(OR(GradeSheet!$M26="W (Withdrawn)", GradeSheet!$M26="I (Incomplete)"), 0, IF(AY31&gt;=65%, 1, 0))</f>
        <v>0</v>
      </c>
      <c r="BL31" s="145">
        <f>IF(OR(GradeSheet!$M26="W (Withdrawn)", GradeSheet!$M26="I (Incomplete)"), 0, IF(AZ31&gt;=65%, 1, 0))</f>
        <v>0</v>
      </c>
      <c r="BM31" s="145">
        <f>IF(OR(GradeSheet!$M26="W (Withdrawn)", GradeSheet!$M26="I (Incomplete)"), 0, IF(BA31&gt;=65%, 1, 0))</f>
        <v>0</v>
      </c>
      <c r="BN31" s="145">
        <f>IF(OR(GradeSheet!$M26="W (Withdrawn)", GradeSheet!$M26="I (Incomplete)"), 0, IF(BB31&gt;=65%, 1, 0))</f>
        <v>0</v>
      </c>
      <c r="BO31" s="145">
        <f>IF(OR(GradeSheet!$M26="W (Withdrawn)", GradeSheet!$M26="I (Incomplete)"), 0, IF(BC31&gt;=65%, 1, 0))</f>
        <v>0</v>
      </c>
      <c r="BP31" s="145">
        <f>IF(OR(GradeSheet!$M26="W (Withdrawn)", GradeSheet!$M26="I (Incomplete)"), 0, IF(BD31&gt;=65%, 1, 0))</f>
        <v>0</v>
      </c>
      <c r="BQ31" s="145">
        <f>IF(OR(GradeSheet!$M26="W (Withdrawn)", GradeSheet!$M26="I (Incomplete)"), 0, IF(BE31&gt;=65%, 1, 0))</f>
        <v>0</v>
      </c>
      <c r="BR31" s="145">
        <f>IF(OR(GradeSheet!$M26="W (Withdrawn)", GradeSheet!$M26="I (Incomplete)"), 0, IF(BF31&gt;=65%, 1, 0))</f>
        <v>0</v>
      </c>
    </row>
    <row r="32" spans="1:70" ht="15.75" customHeight="1">
      <c r="A32" s="147">
        <v>18</v>
      </c>
      <c r="B32" s="22"/>
      <c r="C32" s="30"/>
      <c r="D32" s="137"/>
      <c r="E32" s="137"/>
      <c r="F32" s="138"/>
      <c r="G32" s="138"/>
      <c r="H32" s="138"/>
      <c r="I32" s="138"/>
      <c r="J32" s="137"/>
      <c r="K32" s="137"/>
      <c r="L32" s="137"/>
      <c r="M32" s="138"/>
      <c r="N32" s="138"/>
      <c r="O32" s="138"/>
      <c r="P32" s="139"/>
      <c r="Q32" s="140"/>
      <c r="R32" s="140"/>
      <c r="S32" s="140"/>
      <c r="T32" s="140"/>
      <c r="U32" s="141"/>
      <c r="V32" s="139"/>
      <c r="W32" s="140"/>
      <c r="X32" s="140"/>
      <c r="Y32" s="140"/>
      <c r="Z32" s="140"/>
      <c r="AA32" s="141"/>
      <c r="AB32" s="142">
        <f t="shared" ref="AB32:AE32" si="48">SUM(V32,D32,J32)</f>
        <v>0</v>
      </c>
      <c r="AC32" s="143">
        <f t="shared" si="48"/>
        <v>0</v>
      </c>
      <c r="AD32" s="148">
        <f t="shared" si="48"/>
        <v>0</v>
      </c>
      <c r="AE32" s="148">
        <f t="shared" si="48"/>
        <v>0</v>
      </c>
      <c r="AF32" s="143">
        <f t="shared" si="8"/>
        <v>0</v>
      </c>
      <c r="AG32" s="148">
        <f t="shared" si="9"/>
        <v>0</v>
      </c>
      <c r="AH32" s="144">
        <f t="shared" ref="AH32:AM32" si="49">IF(AB32 = 0, 0, AB32/AB$14)</f>
        <v>0</v>
      </c>
      <c r="AI32" s="144">
        <f t="shared" si="49"/>
        <v>0</v>
      </c>
      <c r="AJ32" s="144">
        <f t="shared" si="49"/>
        <v>0</v>
      </c>
      <c r="AK32" s="144">
        <f t="shared" si="49"/>
        <v>0</v>
      </c>
      <c r="AL32" s="144">
        <f t="shared" si="49"/>
        <v>0</v>
      </c>
      <c r="AM32" s="144">
        <f t="shared" si="49"/>
        <v>0</v>
      </c>
      <c r="AN32" s="145">
        <f>IF(OR(GradeSheet!$M27="W (Withdrawn)", GradeSheet!$M27="I (Incomplete)"), 0, IF(AH32&gt;=55%, 1, 0))</f>
        <v>0</v>
      </c>
      <c r="AO32" s="145">
        <f>IF(OR(GradeSheet!$M27="W (Withdrawn)", GradeSheet!$M27="I (Incomplete)"), 0, IF(AI32&gt;=55%, 1, 0))</f>
        <v>0</v>
      </c>
      <c r="AP32" s="145">
        <f>IF(OR(GradeSheet!$M27="W (Withdrawn)", GradeSheet!$M27="I (Incomplete)"), 0, IF(AJ32&gt;=55%, 1, 0))</f>
        <v>0</v>
      </c>
      <c r="AQ32" s="145">
        <f>IF(OR(GradeSheet!$M27="W (Withdrawn)", GradeSheet!$M27="I (Incomplete)"), 0, IF(AK32&gt;=55%, 1, 0))</f>
        <v>0</v>
      </c>
      <c r="AR32" s="145">
        <f>IF(OR(GradeSheet!$M27="W (Withdrawn)", GradeSheet!$M27="I (Incomplete)"), 0, IF(AL32&gt;=55%, 1, 0))</f>
        <v>0</v>
      </c>
      <c r="AS32" s="145">
        <f>IF(OR(GradeSheet!$M27="W (Withdrawn)", GradeSheet!$M27="I (Incomplete)"), 0, IF(AM32&gt;=55%, 1, 0))</f>
        <v>0</v>
      </c>
      <c r="AT32" s="122"/>
      <c r="AU32" s="146">
        <f t="shared" si="11"/>
        <v>0</v>
      </c>
      <c r="AV32" s="146">
        <f t="shared" si="12"/>
        <v>0</v>
      </c>
      <c r="AW32" s="146">
        <f t="array" ref="AW32">IF($AV$9=0,0,MMULT($AH32:$AM32, AV$3:AV$8)/$AV$9)</f>
        <v>0</v>
      </c>
      <c r="AX32" s="146">
        <f t="array" ref="AX32">IF($AW$9=0,0,MMULT($AH32:$AM32, AW$3:AW$8)/$AW$9)</f>
        <v>0</v>
      </c>
      <c r="AY32" s="146">
        <f t="shared" si="13"/>
        <v>0</v>
      </c>
      <c r="AZ32" s="146">
        <f t="array" ref="AZ32">IF($AY$9=0,0,MMULT($AH32:$AM32, AY$3:AY$8)/$AY$9)</f>
        <v>0</v>
      </c>
      <c r="BA32" s="146">
        <f t="array" ref="BA32">IF($AZ$9=0,0,MMULT($AH32:$AM32, AZ$3:AZ$8)/$AZ$9)</f>
        <v>0</v>
      </c>
      <c r="BB32" s="146">
        <f t="array" ref="BB32">IF($BA$9=0,0,MMULT($AH32:$AM32, BA$3:BA$8)/$BA$9)</f>
        <v>0</v>
      </c>
      <c r="BC32" s="146">
        <f t="array" ref="BC32">IF($BB$9=0,0,MMULT($AH32:$AM32, BB$3:BB$8)/$BB$9)</f>
        <v>0</v>
      </c>
      <c r="BD32" s="146">
        <f t="array" ref="BD32">IF($BC$9=0,0,MMULT($AH32:$AM32, BC$3:BC$8)/$BC$9)</f>
        <v>0</v>
      </c>
      <c r="BE32" s="146">
        <f t="shared" si="14"/>
        <v>0</v>
      </c>
      <c r="BF32" s="146">
        <f t="shared" si="15"/>
        <v>0</v>
      </c>
      <c r="BG32" s="145">
        <f>IF(OR(GradeSheet!$M27="W (Withdrawn)", GradeSheet!$M27="I (Incomplete)"), 0, IF(AU32&gt;=65%, 1, 0))</f>
        <v>0</v>
      </c>
      <c r="BH32" s="145">
        <f>IF(OR(GradeSheet!$M27="W (Withdrawn)", GradeSheet!$M27="I (Incomplete)"), 0, IF(AV32&gt;=65%, 1, 0))</f>
        <v>0</v>
      </c>
      <c r="BI32" s="145">
        <f>IF(OR(GradeSheet!$M27="W (Withdrawn)", GradeSheet!$M27="I (Incomplete)"), 0, IF(AW32&gt;=65%, 1, 0))</f>
        <v>0</v>
      </c>
      <c r="BJ32" s="145">
        <f>IF(OR(GradeSheet!$M27="W (Withdrawn)", GradeSheet!$M27="I (Incomplete)"), 0, IF(AX32&gt;=65%, 1, 0))</f>
        <v>0</v>
      </c>
      <c r="BK32" s="145">
        <f>IF(OR(GradeSheet!$M27="W (Withdrawn)", GradeSheet!$M27="I (Incomplete)"), 0, IF(AY32&gt;=65%, 1, 0))</f>
        <v>0</v>
      </c>
      <c r="BL32" s="145">
        <f>IF(OR(GradeSheet!$M27="W (Withdrawn)", GradeSheet!$M27="I (Incomplete)"), 0, IF(AZ32&gt;=65%, 1, 0))</f>
        <v>0</v>
      </c>
      <c r="BM32" s="145">
        <f>IF(OR(GradeSheet!$M27="W (Withdrawn)", GradeSheet!$M27="I (Incomplete)"), 0, IF(BA32&gt;=65%, 1, 0))</f>
        <v>0</v>
      </c>
      <c r="BN32" s="145">
        <f>IF(OR(GradeSheet!$M27="W (Withdrawn)", GradeSheet!$M27="I (Incomplete)"), 0, IF(BB32&gt;=65%, 1, 0))</f>
        <v>0</v>
      </c>
      <c r="BO32" s="145">
        <f>IF(OR(GradeSheet!$M27="W (Withdrawn)", GradeSheet!$M27="I (Incomplete)"), 0, IF(BC32&gt;=65%, 1, 0))</f>
        <v>0</v>
      </c>
      <c r="BP32" s="145">
        <f>IF(OR(GradeSheet!$M27="W (Withdrawn)", GradeSheet!$M27="I (Incomplete)"), 0, IF(BD32&gt;=65%, 1, 0))</f>
        <v>0</v>
      </c>
      <c r="BQ32" s="145">
        <f>IF(OR(GradeSheet!$M27="W (Withdrawn)", GradeSheet!$M27="I (Incomplete)"), 0, IF(BE32&gt;=65%, 1, 0))</f>
        <v>0</v>
      </c>
      <c r="BR32" s="145">
        <f>IF(OR(GradeSheet!$M27="W (Withdrawn)", GradeSheet!$M27="I (Incomplete)"), 0, IF(BF32&gt;=65%, 1, 0))</f>
        <v>0</v>
      </c>
    </row>
    <row r="33" spans="1:70" ht="15.75" customHeight="1">
      <c r="A33" s="136">
        <v>19</v>
      </c>
      <c r="B33" s="22"/>
      <c r="C33" s="30"/>
      <c r="D33" s="137"/>
      <c r="E33" s="137"/>
      <c r="F33" s="138"/>
      <c r="G33" s="138"/>
      <c r="H33" s="138"/>
      <c r="I33" s="138"/>
      <c r="J33" s="137"/>
      <c r="K33" s="137"/>
      <c r="L33" s="137"/>
      <c r="M33" s="138"/>
      <c r="N33" s="138"/>
      <c r="O33" s="138"/>
      <c r="P33" s="139"/>
      <c r="Q33" s="140"/>
      <c r="R33" s="140"/>
      <c r="S33" s="140"/>
      <c r="T33" s="140"/>
      <c r="U33" s="141"/>
      <c r="V33" s="139"/>
      <c r="W33" s="140"/>
      <c r="X33" s="140"/>
      <c r="Y33" s="140"/>
      <c r="Z33" s="140"/>
      <c r="AA33" s="141"/>
      <c r="AB33" s="142">
        <f t="shared" ref="AB33:AE33" si="50">SUM(V33,D33,J33)</f>
        <v>0</v>
      </c>
      <c r="AC33" s="143">
        <f t="shared" si="50"/>
        <v>0</v>
      </c>
      <c r="AD33" s="148">
        <f t="shared" si="50"/>
        <v>0</v>
      </c>
      <c r="AE33" s="148">
        <f t="shared" si="50"/>
        <v>0</v>
      </c>
      <c r="AF33" s="143">
        <f t="shared" si="8"/>
        <v>0</v>
      </c>
      <c r="AG33" s="148">
        <f t="shared" si="9"/>
        <v>0</v>
      </c>
      <c r="AH33" s="144">
        <f t="shared" ref="AH33:AM33" si="51">IF(AB33 = 0, 0, AB33/AB$14)</f>
        <v>0</v>
      </c>
      <c r="AI33" s="144">
        <f t="shared" si="51"/>
        <v>0</v>
      </c>
      <c r="AJ33" s="144">
        <f t="shared" si="51"/>
        <v>0</v>
      </c>
      <c r="AK33" s="144">
        <f t="shared" si="51"/>
        <v>0</v>
      </c>
      <c r="AL33" s="144">
        <f t="shared" si="51"/>
        <v>0</v>
      </c>
      <c r="AM33" s="144">
        <f t="shared" si="51"/>
        <v>0</v>
      </c>
      <c r="AN33" s="145">
        <f>IF(OR(GradeSheet!$M28="W (Withdrawn)", GradeSheet!$M28="I (Incomplete)"), 0, IF(AH33&gt;=55%, 1, 0))</f>
        <v>0</v>
      </c>
      <c r="AO33" s="145">
        <f>IF(OR(GradeSheet!$M28="W (Withdrawn)", GradeSheet!$M28="I (Incomplete)"), 0, IF(AI33&gt;=55%, 1, 0))</f>
        <v>0</v>
      </c>
      <c r="AP33" s="145">
        <f>IF(OR(GradeSheet!$M28="W (Withdrawn)", GradeSheet!$M28="I (Incomplete)"), 0, IF(AJ33&gt;=55%, 1, 0))</f>
        <v>0</v>
      </c>
      <c r="AQ33" s="145">
        <f>IF(OR(GradeSheet!$M28="W (Withdrawn)", GradeSheet!$M28="I (Incomplete)"), 0, IF(AK33&gt;=55%, 1, 0))</f>
        <v>0</v>
      </c>
      <c r="AR33" s="145">
        <f>IF(OR(GradeSheet!$M28="W (Withdrawn)", GradeSheet!$M28="I (Incomplete)"), 0, IF(AL33&gt;=55%, 1, 0))</f>
        <v>0</v>
      </c>
      <c r="AS33" s="145">
        <f>IF(OR(GradeSheet!$M28="W (Withdrawn)", GradeSheet!$M28="I (Incomplete)"), 0, IF(AM33&gt;=55%, 1, 0))</f>
        <v>0</v>
      </c>
      <c r="AT33" s="122"/>
      <c r="AU33" s="146">
        <f t="shared" si="11"/>
        <v>0</v>
      </c>
      <c r="AV33" s="146">
        <f t="shared" si="12"/>
        <v>0</v>
      </c>
      <c r="AW33" s="146">
        <f t="array" ref="AW33">IF($AV$9=0,0,MMULT($AH33:$AM33, AV$3:AV$8)/$AV$9)</f>
        <v>0</v>
      </c>
      <c r="AX33" s="146">
        <f t="array" ref="AX33">IF($AW$9=0,0,MMULT($AH33:$AM33, AW$3:AW$8)/$AW$9)</f>
        <v>0</v>
      </c>
      <c r="AY33" s="146">
        <f t="shared" si="13"/>
        <v>0</v>
      </c>
      <c r="AZ33" s="146">
        <f t="array" ref="AZ33">IF($AY$9=0,0,MMULT($AH33:$AM33, AY$3:AY$8)/$AY$9)</f>
        <v>0</v>
      </c>
      <c r="BA33" s="146">
        <f t="array" ref="BA33">IF($AZ$9=0,0,MMULT($AH33:$AM33, AZ$3:AZ$8)/$AZ$9)</f>
        <v>0</v>
      </c>
      <c r="BB33" s="146">
        <f t="array" ref="BB33">IF($BA$9=0,0,MMULT($AH33:$AM33, BA$3:BA$8)/$BA$9)</f>
        <v>0</v>
      </c>
      <c r="BC33" s="146">
        <f t="array" ref="BC33">IF($BB$9=0,0,MMULT($AH33:$AM33, BB$3:BB$8)/$BB$9)</f>
        <v>0</v>
      </c>
      <c r="BD33" s="146">
        <f t="array" ref="BD33">IF($BC$9=0,0,MMULT($AH33:$AM33, BC$3:BC$8)/$BC$9)</f>
        <v>0</v>
      </c>
      <c r="BE33" s="146">
        <f t="shared" si="14"/>
        <v>0</v>
      </c>
      <c r="BF33" s="146">
        <f t="shared" si="15"/>
        <v>0</v>
      </c>
      <c r="BG33" s="145">
        <f>IF(OR(GradeSheet!$M28="W (Withdrawn)", GradeSheet!$M28="I (Incomplete)"), 0, IF(AU33&gt;=65%, 1, 0))</f>
        <v>0</v>
      </c>
      <c r="BH33" s="145">
        <f>IF(OR(GradeSheet!$M28="W (Withdrawn)", GradeSheet!$M28="I (Incomplete)"), 0, IF(AV33&gt;=65%, 1, 0))</f>
        <v>0</v>
      </c>
      <c r="BI33" s="145">
        <f>IF(OR(GradeSheet!$M28="W (Withdrawn)", GradeSheet!$M28="I (Incomplete)"), 0, IF(AW33&gt;=65%, 1, 0))</f>
        <v>0</v>
      </c>
      <c r="BJ33" s="145">
        <f>IF(OR(GradeSheet!$M28="W (Withdrawn)", GradeSheet!$M28="I (Incomplete)"), 0, IF(AX33&gt;=65%, 1, 0))</f>
        <v>0</v>
      </c>
      <c r="BK33" s="145">
        <f>IF(OR(GradeSheet!$M28="W (Withdrawn)", GradeSheet!$M28="I (Incomplete)"), 0, IF(AY33&gt;=65%, 1, 0))</f>
        <v>0</v>
      </c>
      <c r="BL33" s="145">
        <f>IF(OR(GradeSheet!$M28="W (Withdrawn)", GradeSheet!$M28="I (Incomplete)"), 0, IF(AZ33&gt;=65%, 1, 0))</f>
        <v>0</v>
      </c>
      <c r="BM33" s="145">
        <f>IF(OR(GradeSheet!$M28="W (Withdrawn)", GradeSheet!$M28="I (Incomplete)"), 0, IF(BA33&gt;=65%, 1, 0))</f>
        <v>0</v>
      </c>
      <c r="BN33" s="145">
        <f>IF(OR(GradeSheet!$M28="W (Withdrawn)", GradeSheet!$M28="I (Incomplete)"), 0, IF(BB33&gt;=65%, 1, 0))</f>
        <v>0</v>
      </c>
      <c r="BO33" s="145">
        <f>IF(OR(GradeSheet!$M28="W (Withdrawn)", GradeSheet!$M28="I (Incomplete)"), 0, IF(BC33&gt;=65%, 1, 0))</f>
        <v>0</v>
      </c>
      <c r="BP33" s="145">
        <f>IF(OR(GradeSheet!$M28="W (Withdrawn)", GradeSheet!$M28="I (Incomplete)"), 0, IF(BD33&gt;=65%, 1, 0))</f>
        <v>0</v>
      </c>
      <c r="BQ33" s="145">
        <f>IF(OR(GradeSheet!$M28="W (Withdrawn)", GradeSheet!$M28="I (Incomplete)"), 0, IF(BE33&gt;=65%, 1, 0))</f>
        <v>0</v>
      </c>
      <c r="BR33" s="145">
        <f>IF(OR(GradeSheet!$M28="W (Withdrawn)", GradeSheet!$M28="I (Incomplete)"), 0, IF(BF33&gt;=65%, 1, 0))</f>
        <v>0</v>
      </c>
    </row>
    <row r="34" spans="1:70" ht="15.75" customHeight="1">
      <c r="A34" s="147">
        <v>20</v>
      </c>
      <c r="B34" s="22"/>
      <c r="C34" s="30"/>
      <c r="D34" s="137"/>
      <c r="E34" s="137"/>
      <c r="F34" s="138"/>
      <c r="G34" s="138"/>
      <c r="H34" s="138"/>
      <c r="I34" s="138"/>
      <c r="J34" s="137"/>
      <c r="K34" s="137"/>
      <c r="L34" s="137"/>
      <c r="M34" s="138"/>
      <c r="N34" s="138"/>
      <c r="O34" s="138"/>
      <c r="P34" s="139"/>
      <c r="Q34" s="140"/>
      <c r="R34" s="140"/>
      <c r="S34" s="140"/>
      <c r="T34" s="140"/>
      <c r="U34" s="141"/>
      <c r="V34" s="139"/>
      <c r="W34" s="140"/>
      <c r="X34" s="140"/>
      <c r="Y34" s="140"/>
      <c r="Z34" s="140"/>
      <c r="AA34" s="141"/>
      <c r="AB34" s="142">
        <f t="shared" ref="AB34:AE34" si="52">SUM(V34,D34,J34)</f>
        <v>0</v>
      </c>
      <c r="AC34" s="143">
        <f t="shared" si="52"/>
        <v>0</v>
      </c>
      <c r="AD34" s="148">
        <f t="shared" si="52"/>
        <v>0</v>
      </c>
      <c r="AE34" s="148">
        <f t="shared" si="52"/>
        <v>0</v>
      </c>
      <c r="AF34" s="143">
        <f t="shared" si="8"/>
        <v>0</v>
      </c>
      <c r="AG34" s="148">
        <f t="shared" si="9"/>
        <v>0</v>
      </c>
      <c r="AH34" s="144">
        <f t="shared" ref="AH34:AM34" si="53">IF(AB34 = 0, 0, AB34/AB$14)</f>
        <v>0</v>
      </c>
      <c r="AI34" s="144">
        <f t="shared" si="53"/>
        <v>0</v>
      </c>
      <c r="AJ34" s="144">
        <f t="shared" si="53"/>
        <v>0</v>
      </c>
      <c r="AK34" s="144">
        <f t="shared" si="53"/>
        <v>0</v>
      </c>
      <c r="AL34" s="144">
        <f t="shared" si="53"/>
        <v>0</v>
      </c>
      <c r="AM34" s="144">
        <f t="shared" si="53"/>
        <v>0</v>
      </c>
      <c r="AN34" s="145">
        <f>IF(OR(GradeSheet!$M29="W (Withdrawn)", GradeSheet!$M29="I (Incomplete)"), 0, IF(AH34&gt;=55%, 1, 0))</f>
        <v>0</v>
      </c>
      <c r="AO34" s="145">
        <f>IF(OR(GradeSheet!$M29="W (Withdrawn)", GradeSheet!$M29="I (Incomplete)"), 0, IF(AI34&gt;=55%, 1, 0))</f>
        <v>0</v>
      </c>
      <c r="AP34" s="145">
        <f>IF(OR(GradeSheet!$M29="W (Withdrawn)", GradeSheet!$M29="I (Incomplete)"), 0, IF(AJ34&gt;=55%, 1, 0))</f>
        <v>0</v>
      </c>
      <c r="AQ34" s="145">
        <f>IF(OR(GradeSheet!$M29="W (Withdrawn)", GradeSheet!$M29="I (Incomplete)"), 0, IF(AK34&gt;=55%, 1, 0))</f>
        <v>0</v>
      </c>
      <c r="AR34" s="145">
        <f>IF(OR(GradeSheet!$M29="W (Withdrawn)", GradeSheet!$M29="I (Incomplete)"), 0, IF(AL34&gt;=55%, 1, 0))</f>
        <v>0</v>
      </c>
      <c r="AS34" s="145">
        <f>IF(OR(GradeSheet!$M29="W (Withdrawn)", GradeSheet!$M29="I (Incomplete)"), 0, IF(AM34&gt;=55%, 1, 0))</f>
        <v>0</v>
      </c>
      <c r="AT34" s="122"/>
      <c r="AU34" s="146">
        <f t="shared" si="11"/>
        <v>0</v>
      </c>
      <c r="AV34" s="146">
        <f t="shared" si="12"/>
        <v>0</v>
      </c>
      <c r="AW34" s="146">
        <f t="array" ref="AW34">IF($AV$9=0,0,MMULT($AH34:$AM34, AV$3:AV$8)/$AV$9)</f>
        <v>0</v>
      </c>
      <c r="AX34" s="146">
        <f t="array" ref="AX34">IF($AW$9=0,0,MMULT($AH34:$AM34, AW$3:AW$8)/$AW$9)</f>
        <v>0</v>
      </c>
      <c r="AY34" s="146">
        <f t="shared" si="13"/>
        <v>0</v>
      </c>
      <c r="AZ34" s="146">
        <f t="array" ref="AZ34">IF($AY$9=0,0,MMULT($AH34:$AM34, AY$3:AY$8)/$AY$9)</f>
        <v>0</v>
      </c>
      <c r="BA34" s="146">
        <f t="array" ref="BA34">IF($AZ$9=0,0,MMULT($AH34:$AM34, AZ$3:AZ$8)/$AZ$9)</f>
        <v>0</v>
      </c>
      <c r="BB34" s="146">
        <f t="array" ref="BB34">IF($BA$9=0,0,MMULT($AH34:$AM34, BA$3:BA$8)/$BA$9)</f>
        <v>0</v>
      </c>
      <c r="BC34" s="146">
        <f t="array" ref="BC34">IF($BB$9=0,0,MMULT($AH34:$AM34, BB$3:BB$8)/$BB$9)</f>
        <v>0</v>
      </c>
      <c r="BD34" s="146">
        <f t="array" ref="BD34">IF($BC$9=0,0,MMULT($AH34:$AM34, BC$3:BC$8)/$BC$9)</f>
        <v>0</v>
      </c>
      <c r="BE34" s="146">
        <f t="shared" si="14"/>
        <v>0</v>
      </c>
      <c r="BF34" s="146">
        <f t="shared" si="15"/>
        <v>0</v>
      </c>
      <c r="BG34" s="145">
        <f>IF(OR(GradeSheet!$M29="W (Withdrawn)", GradeSheet!$M29="I (Incomplete)"), 0, IF(AU34&gt;=65%, 1, 0))</f>
        <v>0</v>
      </c>
      <c r="BH34" s="145">
        <f>IF(OR(GradeSheet!$M29="W (Withdrawn)", GradeSheet!$M29="I (Incomplete)"), 0, IF(AV34&gt;=65%, 1, 0))</f>
        <v>0</v>
      </c>
      <c r="BI34" s="145">
        <f>IF(OR(GradeSheet!$M29="W (Withdrawn)", GradeSheet!$M29="I (Incomplete)"), 0, IF(AW34&gt;=65%, 1, 0))</f>
        <v>0</v>
      </c>
      <c r="BJ34" s="145">
        <f>IF(OR(GradeSheet!$M29="W (Withdrawn)", GradeSheet!$M29="I (Incomplete)"), 0, IF(AX34&gt;=65%, 1, 0))</f>
        <v>0</v>
      </c>
      <c r="BK34" s="145">
        <f>IF(OR(GradeSheet!$M29="W (Withdrawn)", GradeSheet!$M29="I (Incomplete)"), 0, IF(AY34&gt;=65%, 1, 0))</f>
        <v>0</v>
      </c>
      <c r="BL34" s="145">
        <f>IF(OR(GradeSheet!$M29="W (Withdrawn)", GradeSheet!$M29="I (Incomplete)"), 0, IF(AZ34&gt;=65%, 1, 0))</f>
        <v>0</v>
      </c>
      <c r="BM34" s="145">
        <f>IF(OR(GradeSheet!$M29="W (Withdrawn)", GradeSheet!$M29="I (Incomplete)"), 0, IF(BA34&gt;=65%, 1, 0))</f>
        <v>0</v>
      </c>
      <c r="BN34" s="145">
        <f>IF(OR(GradeSheet!$M29="W (Withdrawn)", GradeSheet!$M29="I (Incomplete)"), 0, IF(BB34&gt;=65%, 1, 0))</f>
        <v>0</v>
      </c>
      <c r="BO34" s="145">
        <f>IF(OR(GradeSheet!$M29="W (Withdrawn)", GradeSheet!$M29="I (Incomplete)"), 0, IF(BC34&gt;=65%, 1, 0))</f>
        <v>0</v>
      </c>
      <c r="BP34" s="145">
        <f>IF(OR(GradeSheet!$M29="W (Withdrawn)", GradeSheet!$M29="I (Incomplete)"), 0, IF(BD34&gt;=65%, 1, 0))</f>
        <v>0</v>
      </c>
      <c r="BQ34" s="145">
        <f>IF(OR(GradeSheet!$M29="W (Withdrawn)", GradeSheet!$M29="I (Incomplete)"), 0, IF(BE34&gt;=65%, 1, 0))</f>
        <v>0</v>
      </c>
      <c r="BR34" s="145">
        <f>IF(OR(GradeSheet!$M29="W (Withdrawn)", GradeSheet!$M29="I (Incomplete)"), 0, IF(BF34&gt;=65%, 1, 0))</f>
        <v>0</v>
      </c>
    </row>
    <row r="35" spans="1:70" ht="15.75" customHeight="1">
      <c r="A35" s="136">
        <v>21</v>
      </c>
      <c r="B35" s="22"/>
      <c r="C35" s="30"/>
      <c r="D35" s="137"/>
      <c r="E35" s="137"/>
      <c r="F35" s="138"/>
      <c r="G35" s="138"/>
      <c r="H35" s="138"/>
      <c r="I35" s="138"/>
      <c r="J35" s="137"/>
      <c r="K35" s="137"/>
      <c r="L35" s="137"/>
      <c r="M35" s="138"/>
      <c r="N35" s="138"/>
      <c r="O35" s="138"/>
      <c r="P35" s="139"/>
      <c r="Q35" s="140"/>
      <c r="R35" s="140"/>
      <c r="S35" s="140"/>
      <c r="T35" s="140"/>
      <c r="U35" s="141"/>
      <c r="V35" s="139"/>
      <c r="W35" s="140"/>
      <c r="X35" s="140"/>
      <c r="Y35" s="140"/>
      <c r="Z35" s="140"/>
      <c r="AA35" s="141"/>
      <c r="AB35" s="142">
        <f t="shared" ref="AB35:AE35" si="54">SUM(V35,D35,J35)</f>
        <v>0</v>
      </c>
      <c r="AC35" s="143">
        <f t="shared" si="54"/>
        <v>0</v>
      </c>
      <c r="AD35" s="148">
        <f t="shared" si="54"/>
        <v>0</v>
      </c>
      <c r="AE35" s="148">
        <f t="shared" si="54"/>
        <v>0</v>
      </c>
      <c r="AF35" s="143">
        <f t="shared" si="8"/>
        <v>0</v>
      </c>
      <c r="AG35" s="148">
        <f t="shared" si="9"/>
        <v>0</v>
      </c>
      <c r="AH35" s="144">
        <f t="shared" ref="AH35:AM35" si="55">IF(AB35 = 0, 0, AB35/AB$14)</f>
        <v>0</v>
      </c>
      <c r="AI35" s="144">
        <f t="shared" si="55"/>
        <v>0</v>
      </c>
      <c r="AJ35" s="144">
        <f t="shared" si="55"/>
        <v>0</v>
      </c>
      <c r="AK35" s="144">
        <f t="shared" si="55"/>
        <v>0</v>
      </c>
      <c r="AL35" s="144">
        <f t="shared" si="55"/>
        <v>0</v>
      </c>
      <c r="AM35" s="144">
        <f t="shared" si="55"/>
        <v>0</v>
      </c>
      <c r="AN35" s="145">
        <f>IF(OR(GradeSheet!$M30="W (Withdrawn)", GradeSheet!$M30="I (Incomplete)"), 0, IF(AH35&gt;=55%, 1, 0))</f>
        <v>0</v>
      </c>
      <c r="AO35" s="145">
        <f>IF(OR(GradeSheet!$M30="W (Withdrawn)", GradeSheet!$M30="I (Incomplete)"), 0, IF(AI35&gt;=55%, 1, 0))</f>
        <v>0</v>
      </c>
      <c r="AP35" s="145">
        <f>IF(OR(GradeSheet!$M30="W (Withdrawn)", GradeSheet!$M30="I (Incomplete)"), 0, IF(AJ35&gt;=55%, 1, 0))</f>
        <v>0</v>
      </c>
      <c r="AQ35" s="145">
        <f>IF(OR(GradeSheet!$M30="W (Withdrawn)", GradeSheet!$M30="I (Incomplete)"), 0, IF(AK35&gt;=55%, 1, 0))</f>
        <v>0</v>
      </c>
      <c r="AR35" s="145">
        <f>IF(OR(GradeSheet!$M30="W (Withdrawn)", GradeSheet!$M30="I (Incomplete)"), 0, IF(AL35&gt;=55%, 1, 0))</f>
        <v>0</v>
      </c>
      <c r="AS35" s="145">
        <f>IF(OR(GradeSheet!$M30="W (Withdrawn)", GradeSheet!$M30="I (Incomplete)"), 0, IF(AM35&gt;=55%, 1, 0))</f>
        <v>0</v>
      </c>
      <c r="AT35" s="122"/>
      <c r="AU35" s="146">
        <f t="shared" si="11"/>
        <v>0</v>
      </c>
      <c r="AV35" s="146">
        <f t="shared" si="12"/>
        <v>0</v>
      </c>
      <c r="AW35" s="146">
        <f t="array" ref="AW35">IF($AV$9=0,0,MMULT($AH35:$AM35, AV$3:AV$8)/$AV$9)</f>
        <v>0</v>
      </c>
      <c r="AX35" s="146">
        <f t="array" ref="AX35">IF($AW$9=0,0,MMULT($AH35:$AM35, AW$3:AW$8)/$AW$9)</f>
        <v>0</v>
      </c>
      <c r="AY35" s="146">
        <f t="shared" si="13"/>
        <v>0</v>
      </c>
      <c r="AZ35" s="146">
        <f t="array" ref="AZ35">IF($AY$9=0,0,MMULT($AH35:$AM35, AY$3:AY$8)/$AY$9)</f>
        <v>0</v>
      </c>
      <c r="BA35" s="146">
        <f t="array" ref="BA35">IF($AZ$9=0,0,MMULT($AH35:$AM35, AZ$3:AZ$8)/$AZ$9)</f>
        <v>0</v>
      </c>
      <c r="BB35" s="146">
        <f t="array" ref="BB35">IF($BA$9=0,0,MMULT($AH35:$AM35, BA$3:BA$8)/$BA$9)</f>
        <v>0</v>
      </c>
      <c r="BC35" s="146">
        <f t="array" ref="BC35">IF($BB$9=0,0,MMULT($AH35:$AM35, BB$3:BB$8)/$BB$9)</f>
        <v>0</v>
      </c>
      <c r="BD35" s="146">
        <f t="array" ref="BD35">IF($BC$9=0,0,MMULT($AH35:$AM35, BC$3:BC$8)/$BC$9)</f>
        <v>0</v>
      </c>
      <c r="BE35" s="146">
        <f t="shared" si="14"/>
        <v>0</v>
      </c>
      <c r="BF35" s="146">
        <f t="shared" si="15"/>
        <v>0</v>
      </c>
      <c r="BG35" s="145">
        <f>IF(OR(GradeSheet!$M30="W (Withdrawn)", GradeSheet!$M30="I (Incomplete)"), 0, IF(AU35&gt;=65%, 1, 0))</f>
        <v>0</v>
      </c>
      <c r="BH35" s="145">
        <f>IF(OR(GradeSheet!$M30="W (Withdrawn)", GradeSheet!$M30="I (Incomplete)"), 0, IF(AV35&gt;=65%, 1, 0))</f>
        <v>0</v>
      </c>
      <c r="BI35" s="145">
        <f>IF(OR(GradeSheet!$M30="W (Withdrawn)", GradeSheet!$M30="I (Incomplete)"), 0, IF(AW35&gt;=65%, 1, 0))</f>
        <v>0</v>
      </c>
      <c r="BJ35" s="145">
        <f>IF(OR(GradeSheet!$M30="W (Withdrawn)", GradeSheet!$M30="I (Incomplete)"), 0, IF(AX35&gt;=65%, 1, 0))</f>
        <v>0</v>
      </c>
      <c r="BK35" s="145">
        <f>IF(OR(GradeSheet!$M30="W (Withdrawn)", GradeSheet!$M30="I (Incomplete)"), 0, IF(AY35&gt;=65%, 1, 0))</f>
        <v>0</v>
      </c>
      <c r="BL35" s="145">
        <f>IF(OR(GradeSheet!$M30="W (Withdrawn)", GradeSheet!$M30="I (Incomplete)"), 0, IF(AZ35&gt;=65%, 1, 0))</f>
        <v>0</v>
      </c>
      <c r="BM35" s="145">
        <f>IF(OR(GradeSheet!$M30="W (Withdrawn)", GradeSheet!$M30="I (Incomplete)"), 0, IF(BA35&gt;=65%, 1, 0))</f>
        <v>0</v>
      </c>
      <c r="BN35" s="145">
        <f>IF(OR(GradeSheet!$M30="W (Withdrawn)", GradeSheet!$M30="I (Incomplete)"), 0, IF(BB35&gt;=65%, 1, 0))</f>
        <v>0</v>
      </c>
      <c r="BO35" s="145">
        <f>IF(OR(GradeSheet!$M30="W (Withdrawn)", GradeSheet!$M30="I (Incomplete)"), 0, IF(BC35&gt;=65%, 1, 0))</f>
        <v>0</v>
      </c>
      <c r="BP35" s="145">
        <f>IF(OR(GradeSheet!$M30="W (Withdrawn)", GradeSheet!$M30="I (Incomplete)"), 0, IF(BD35&gt;=65%, 1, 0))</f>
        <v>0</v>
      </c>
      <c r="BQ35" s="145">
        <f>IF(OR(GradeSheet!$M30="W (Withdrawn)", GradeSheet!$M30="I (Incomplete)"), 0, IF(BE35&gt;=65%, 1, 0))</f>
        <v>0</v>
      </c>
      <c r="BR35" s="145">
        <f>IF(OR(GradeSheet!$M30="W (Withdrawn)", GradeSheet!$M30="I (Incomplete)"), 0, IF(BF35&gt;=65%, 1, 0))</f>
        <v>0</v>
      </c>
    </row>
    <row r="36" spans="1:70" ht="15.75" customHeight="1">
      <c r="A36" s="147">
        <v>22</v>
      </c>
      <c r="B36" s="22"/>
      <c r="C36" s="30"/>
      <c r="D36" s="137"/>
      <c r="E36" s="137"/>
      <c r="F36" s="138"/>
      <c r="G36" s="138"/>
      <c r="H36" s="138"/>
      <c r="I36" s="138"/>
      <c r="J36" s="137"/>
      <c r="K36" s="137"/>
      <c r="L36" s="137"/>
      <c r="M36" s="138"/>
      <c r="N36" s="138"/>
      <c r="O36" s="138"/>
      <c r="P36" s="139"/>
      <c r="Q36" s="140"/>
      <c r="R36" s="140"/>
      <c r="S36" s="140"/>
      <c r="T36" s="140"/>
      <c r="U36" s="141"/>
      <c r="V36" s="139"/>
      <c r="W36" s="140"/>
      <c r="X36" s="140"/>
      <c r="Y36" s="140"/>
      <c r="Z36" s="140"/>
      <c r="AA36" s="141"/>
      <c r="AB36" s="142">
        <f t="shared" ref="AB36:AE36" si="56">SUM(V36,D36,J36)</f>
        <v>0</v>
      </c>
      <c r="AC36" s="143">
        <f t="shared" si="56"/>
        <v>0</v>
      </c>
      <c r="AD36" s="148">
        <f t="shared" si="56"/>
        <v>0</v>
      </c>
      <c r="AE36" s="148">
        <f t="shared" si="56"/>
        <v>0</v>
      </c>
      <c r="AF36" s="143">
        <f t="shared" si="8"/>
        <v>0</v>
      </c>
      <c r="AG36" s="148">
        <f t="shared" si="9"/>
        <v>0</v>
      </c>
      <c r="AH36" s="144">
        <f t="shared" ref="AH36:AM36" si="57">IF(AB36 = 0, 0, AB36/AB$14)</f>
        <v>0</v>
      </c>
      <c r="AI36" s="144">
        <f t="shared" si="57"/>
        <v>0</v>
      </c>
      <c r="AJ36" s="144">
        <f t="shared" si="57"/>
        <v>0</v>
      </c>
      <c r="AK36" s="144">
        <f t="shared" si="57"/>
        <v>0</v>
      </c>
      <c r="AL36" s="144">
        <f t="shared" si="57"/>
        <v>0</v>
      </c>
      <c r="AM36" s="144">
        <f t="shared" si="57"/>
        <v>0</v>
      </c>
      <c r="AN36" s="145">
        <f>IF(OR(GradeSheet!$M31="W (Withdrawn)", GradeSheet!$M31="I (Incomplete)"), 0, IF(AH36&gt;=55%, 1, 0))</f>
        <v>0</v>
      </c>
      <c r="AO36" s="145">
        <f>IF(OR(GradeSheet!$M31="W (Withdrawn)", GradeSheet!$M31="I (Incomplete)"), 0, IF(AI36&gt;=55%, 1, 0))</f>
        <v>0</v>
      </c>
      <c r="AP36" s="145">
        <f>IF(OR(GradeSheet!$M31="W (Withdrawn)", GradeSheet!$M31="I (Incomplete)"), 0, IF(AJ36&gt;=55%, 1, 0))</f>
        <v>0</v>
      </c>
      <c r="AQ36" s="145">
        <f>IF(OR(GradeSheet!$M31="W (Withdrawn)", GradeSheet!$M31="I (Incomplete)"), 0, IF(AK36&gt;=55%, 1, 0))</f>
        <v>0</v>
      </c>
      <c r="AR36" s="145">
        <f>IF(OR(GradeSheet!$M31="W (Withdrawn)", GradeSheet!$M31="I (Incomplete)"), 0, IF(AL36&gt;=55%, 1, 0))</f>
        <v>0</v>
      </c>
      <c r="AS36" s="145">
        <f>IF(OR(GradeSheet!$M31="W (Withdrawn)", GradeSheet!$M31="I (Incomplete)"), 0, IF(AM36&gt;=55%, 1, 0))</f>
        <v>0</v>
      </c>
      <c r="AT36" s="122"/>
      <c r="AU36" s="146">
        <f t="shared" si="11"/>
        <v>0</v>
      </c>
      <c r="AV36" s="146">
        <f t="shared" si="12"/>
        <v>0</v>
      </c>
      <c r="AW36" s="146">
        <f t="array" ref="AW36">IF($AV$9=0,0,MMULT($AH36:$AM36, AV$3:AV$8)/$AV$9)</f>
        <v>0</v>
      </c>
      <c r="AX36" s="146">
        <f t="array" ref="AX36">IF($AW$9=0,0,MMULT($AH36:$AM36, AW$3:AW$8)/$AW$9)</f>
        <v>0</v>
      </c>
      <c r="AY36" s="146">
        <f t="shared" si="13"/>
        <v>0</v>
      </c>
      <c r="AZ36" s="146">
        <f t="array" ref="AZ36">IF($AY$9=0,0,MMULT($AH36:$AM36, AY$3:AY$8)/$AY$9)</f>
        <v>0</v>
      </c>
      <c r="BA36" s="146">
        <f t="array" ref="BA36">IF($AZ$9=0,0,MMULT($AH36:$AM36, AZ$3:AZ$8)/$AZ$9)</f>
        <v>0</v>
      </c>
      <c r="BB36" s="146">
        <f t="array" ref="BB36">IF($BA$9=0,0,MMULT($AH36:$AM36, BA$3:BA$8)/$BA$9)</f>
        <v>0</v>
      </c>
      <c r="BC36" s="146">
        <f t="array" ref="BC36">IF($BB$9=0,0,MMULT($AH36:$AM36, BB$3:BB$8)/$BB$9)</f>
        <v>0</v>
      </c>
      <c r="BD36" s="146">
        <f t="array" ref="BD36">IF($BC$9=0,0,MMULT($AH36:$AM36, BC$3:BC$8)/$BC$9)</f>
        <v>0</v>
      </c>
      <c r="BE36" s="146">
        <f t="shared" si="14"/>
        <v>0</v>
      </c>
      <c r="BF36" s="146">
        <f t="shared" si="15"/>
        <v>0</v>
      </c>
      <c r="BG36" s="145">
        <f>IF(OR(GradeSheet!$M31="W (Withdrawn)", GradeSheet!$M31="I (Incomplete)"), 0, IF(AU36&gt;=65%, 1, 0))</f>
        <v>0</v>
      </c>
      <c r="BH36" s="145">
        <f>IF(OR(GradeSheet!$M31="W (Withdrawn)", GradeSheet!$M31="I (Incomplete)"), 0, IF(AV36&gt;=65%, 1, 0))</f>
        <v>0</v>
      </c>
      <c r="BI36" s="145">
        <f>IF(OR(GradeSheet!$M31="W (Withdrawn)", GradeSheet!$M31="I (Incomplete)"), 0, IF(AW36&gt;=65%, 1, 0))</f>
        <v>0</v>
      </c>
      <c r="BJ36" s="145">
        <f>IF(OR(GradeSheet!$M31="W (Withdrawn)", GradeSheet!$M31="I (Incomplete)"), 0, IF(AX36&gt;=65%, 1, 0))</f>
        <v>0</v>
      </c>
      <c r="BK36" s="145">
        <f>IF(OR(GradeSheet!$M31="W (Withdrawn)", GradeSheet!$M31="I (Incomplete)"), 0, IF(AY36&gt;=65%, 1, 0))</f>
        <v>0</v>
      </c>
      <c r="BL36" s="145">
        <f>IF(OR(GradeSheet!$M31="W (Withdrawn)", GradeSheet!$M31="I (Incomplete)"), 0, IF(AZ36&gt;=65%, 1, 0))</f>
        <v>0</v>
      </c>
      <c r="BM36" s="145">
        <f>IF(OR(GradeSheet!$M31="W (Withdrawn)", GradeSheet!$M31="I (Incomplete)"), 0, IF(BA36&gt;=65%, 1, 0))</f>
        <v>0</v>
      </c>
      <c r="BN36" s="145">
        <f>IF(OR(GradeSheet!$M31="W (Withdrawn)", GradeSheet!$M31="I (Incomplete)"), 0, IF(BB36&gt;=65%, 1, 0))</f>
        <v>0</v>
      </c>
      <c r="BO36" s="145">
        <f>IF(OR(GradeSheet!$M31="W (Withdrawn)", GradeSheet!$M31="I (Incomplete)"), 0, IF(BC36&gt;=65%, 1, 0))</f>
        <v>0</v>
      </c>
      <c r="BP36" s="145">
        <f>IF(OR(GradeSheet!$M31="W (Withdrawn)", GradeSheet!$M31="I (Incomplete)"), 0, IF(BD36&gt;=65%, 1, 0))</f>
        <v>0</v>
      </c>
      <c r="BQ36" s="145">
        <f>IF(OR(GradeSheet!$M31="W (Withdrawn)", GradeSheet!$M31="I (Incomplete)"), 0, IF(BE36&gt;=65%, 1, 0))</f>
        <v>0</v>
      </c>
      <c r="BR36" s="145">
        <f>IF(OR(GradeSheet!$M31="W (Withdrawn)", GradeSheet!$M31="I (Incomplete)"), 0, IF(BF36&gt;=65%, 1, 0))</f>
        <v>0</v>
      </c>
    </row>
    <row r="37" spans="1:70" ht="15.75" customHeight="1">
      <c r="A37" s="136">
        <v>23</v>
      </c>
      <c r="B37" s="22"/>
      <c r="C37" s="30"/>
      <c r="D37" s="137"/>
      <c r="E37" s="137"/>
      <c r="F37" s="138"/>
      <c r="G37" s="138"/>
      <c r="H37" s="138"/>
      <c r="I37" s="138"/>
      <c r="J37" s="137"/>
      <c r="K37" s="137"/>
      <c r="L37" s="137"/>
      <c r="M37" s="138"/>
      <c r="N37" s="138"/>
      <c r="O37" s="138"/>
      <c r="P37" s="139"/>
      <c r="Q37" s="140"/>
      <c r="R37" s="140"/>
      <c r="S37" s="140"/>
      <c r="T37" s="140"/>
      <c r="U37" s="141"/>
      <c r="V37" s="139"/>
      <c r="W37" s="140"/>
      <c r="X37" s="140"/>
      <c r="Y37" s="140"/>
      <c r="Z37" s="140"/>
      <c r="AA37" s="141"/>
      <c r="AB37" s="142">
        <f t="shared" ref="AB37:AE37" si="58">SUM(V37,D37,J37)</f>
        <v>0</v>
      </c>
      <c r="AC37" s="143">
        <f t="shared" si="58"/>
        <v>0</v>
      </c>
      <c r="AD37" s="148">
        <f t="shared" si="58"/>
        <v>0</v>
      </c>
      <c r="AE37" s="148">
        <f t="shared" si="58"/>
        <v>0</v>
      </c>
      <c r="AF37" s="143">
        <f t="shared" si="8"/>
        <v>0</v>
      </c>
      <c r="AG37" s="148">
        <f t="shared" si="9"/>
        <v>0</v>
      </c>
      <c r="AH37" s="144">
        <f t="shared" ref="AH37:AM37" si="59">IF(AB37 = 0, 0, AB37/AB$14)</f>
        <v>0</v>
      </c>
      <c r="AI37" s="144">
        <f t="shared" si="59"/>
        <v>0</v>
      </c>
      <c r="AJ37" s="144">
        <f t="shared" si="59"/>
        <v>0</v>
      </c>
      <c r="AK37" s="144">
        <f t="shared" si="59"/>
        <v>0</v>
      </c>
      <c r="AL37" s="144">
        <f t="shared" si="59"/>
        <v>0</v>
      </c>
      <c r="AM37" s="144">
        <f t="shared" si="59"/>
        <v>0</v>
      </c>
      <c r="AN37" s="145">
        <f>IF(OR(GradeSheet!$M32="W (Withdrawn)", GradeSheet!$M32="I (Incomplete)"), 0, IF(AH37&gt;=55%, 1, 0))</f>
        <v>0</v>
      </c>
      <c r="AO37" s="145">
        <f>IF(OR(GradeSheet!$M32="W (Withdrawn)", GradeSheet!$M32="I (Incomplete)"), 0, IF(AI37&gt;=55%, 1, 0))</f>
        <v>0</v>
      </c>
      <c r="AP37" s="145">
        <f>IF(OR(GradeSheet!$M32="W (Withdrawn)", GradeSheet!$M32="I (Incomplete)"), 0, IF(AJ37&gt;=55%, 1, 0))</f>
        <v>0</v>
      </c>
      <c r="AQ37" s="145">
        <f>IF(OR(GradeSheet!$M32="W (Withdrawn)", GradeSheet!$M32="I (Incomplete)"), 0, IF(AK37&gt;=55%, 1, 0))</f>
        <v>0</v>
      </c>
      <c r="AR37" s="145">
        <f>IF(OR(GradeSheet!$M32="W (Withdrawn)", GradeSheet!$M32="I (Incomplete)"), 0, IF(AL37&gt;=55%, 1, 0))</f>
        <v>0</v>
      </c>
      <c r="AS37" s="145">
        <f>IF(OR(GradeSheet!$M32="W (Withdrawn)", GradeSheet!$M32="I (Incomplete)"), 0, IF(AM37&gt;=55%, 1, 0))</f>
        <v>0</v>
      </c>
      <c r="AT37" s="122"/>
      <c r="AU37" s="146">
        <f t="shared" si="11"/>
        <v>0</v>
      </c>
      <c r="AV37" s="146">
        <f t="shared" si="12"/>
        <v>0</v>
      </c>
      <c r="AW37" s="146">
        <f t="array" ref="AW37">IF($AV$9=0,0,MMULT($AH37:$AM37, AV$3:AV$8)/$AV$9)</f>
        <v>0</v>
      </c>
      <c r="AX37" s="146">
        <f t="array" ref="AX37">IF($AW$9=0,0,MMULT($AH37:$AM37, AW$3:AW$8)/$AW$9)</f>
        <v>0</v>
      </c>
      <c r="AY37" s="146">
        <f t="shared" si="13"/>
        <v>0</v>
      </c>
      <c r="AZ37" s="146">
        <f t="array" ref="AZ37">IF($AY$9=0,0,MMULT($AH37:$AM37, AY$3:AY$8)/$AY$9)</f>
        <v>0</v>
      </c>
      <c r="BA37" s="146">
        <f t="array" ref="BA37">IF($AZ$9=0,0,MMULT($AH37:$AM37, AZ$3:AZ$8)/$AZ$9)</f>
        <v>0</v>
      </c>
      <c r="BB37" s="146">
        <f t="array" ref="BB37">IF($BA$9=0,0,MMULT($AH37:$AM37, BA$3:BA$8)/$BA$9)</f>
        <v>0</v>
      </c>
      <c r="BC37" s="146">
        <f t="array" ref="BC37">IF($BB$9=0,0,MMULT($AH37:$AM37, BB$3:BB$8)/$BB$9)</f>
        <v>0</v>
      </c>
      <c r="BD37" s="146">
        <f t="array" ref="BD37">IF($BC$9=0,0,MMULT($AH37:$AM37, BC$3:BC$8)/$BC$9)</f>
        <v>0</v>
      </c>
      <c r="BE37" s="146">
        <f t="shared" si="14"/>
        <v>0</v>
      </c>
      <c r="BF37" s="146">
        <f t="shared" si="15"/>
        <v>0</v>
      </c>
      <c r="BG37" s="145">
        <f>IF(OR(GradeSheet!$M32="W (Withdrawn)", GradeSheet!$M32="I (Incomplete)"), 0, IF(AU37&gt;=65%, 1, 0))</f>
        <v>0</v>
      </c>
      <c r="BH37" s="145">
        <f>IF(OR(GradeSheet!$M32="W (Withdrawn)", GradeSheet!$M32="I (Incomplete)"), 0, IF(AV37&gt;=65%, 1, 0))</f>
        <v>0</v>
      </c>
      <c r="BI37" s="145">
        <f>IF(OR(GradeSheet!$M32="W (Withdrawn)", GradeSheet!$M32="I (Incomplete)"), 0, IF(AW37&gt;=65%, 1, 0))</f>
        <v>0</v>
      </c>
      <c r="BJ37" s="145">
        <f>IF(OR(GradeSheet!$M32="W (Withdrawn)", GradeSheet!$M32="I (Incomplete)"), 0, IF(AX37&gt;=65%, 1, 0))</f>
        <v>0</v>
      </c>
      <c r="BK37" s="145">
        <f>IF(OR(GradeSheet!$M32="W (Withdrawn)", GradeSheet!$M32="I (Incomplete)"), 0, IF(AY37&gt;=65%, 1, 0))</f>
        <v>0</v>
      </c>
      <c r="BL37" s="145">
        <f>IF(OR(GradeSheet!$M32="W (Withdrawn)", GradeSheet!$M32="I (Incomplete)"), 0, IF(AZ37&gt;=65%, 1, 0))</f>
        <v>0</v>
      </c>
      <c r="BM37" s="145">
        <f>IF(OR(GradeSheet!$M32="W (Withdrawn)", GradeSheet!$M32="I (Incomplete)"), 0, IF(BA37&gt;=65%, 1, 0))</f>
        <v>0</v>
      </c>
      <c r="BN37" s="145">
        <f>IF(OR(GradeSheet!$M32="W (Withdrawn)", GradeSheet!$M32="I (Incomplete)"), 0, IF(BB37&gt;=65%, 1, 0))</f>
        <v>0</v>
      </c>
      <c r="BO37" s="145">
        <f>IF(OR(GradeSheet!$M32="W (Withdrawn)", GradeSheet!$M32="I (Incomplete)"), 0, IF(BC37&gt;=65%, 1, 0))</f>
        <v>0</v>
      </c>
      <c r="BP37" s="145">
        <f>IF(OR(GradeSheet!$M32="W (Withdrawn)", GradeSheet!$M32="I (Incomplete)"), 0, IF(BD37&gt;=65%, 1, 0))</f>
        <v>0</v>
      </c>
      <c r="BQ37" s="145">
        <f>IF(OR(GradeSheet!$M32="W (Withdrawn)", GradeSheet!$M32="I (Incomplete)"), 0, IF(BE37&gt;=65%, 1, 0))</f>
        <v>0</v>
      </c>
      <c r="BR37" s="145">
        <f>IF(OR(GradeSheet!$M32="W (Withdrawn)", GradeSheet!$M32="I (Incomplete)"), 0, IF(BF37&gt;=65%, 1, 0))</f>
        <v>0</v>
      </c>
    </row>
    <row r="38" spans="1:70" ht="15.75" customHeight="1">
      <c r="A38" s="147">
        <v>24</v>
      </c>
      <c r="B38" s="22"/>
      <c r="C38" s="30"/>
      <c r="D38" s="137"/>
      <c r="E38" s="137"/>
      <c r="F38" s="138"/>
      <c r="G38" s="138"/>
      <c r="H38" s="138"/>
      <c r="I38" s="138"/>
      <c r="J38" s="137"/>
      <c r="K38" s="137"/>
      <c r="L38" s="137"/>
      <c r="M38" s="138"/>
      <c r="N38" s="138"/>
      <c r="O38" s="138"/>
      <c r="P38" s="139"/>
      <c r="Q38" s="140"/>
      <c r="R38" s="140"/>
      <c r="S38" s="140"/>
      <c r="T38" s="140"/>
      <c r="U38" s="141"/>
      <c r="V38" s="139"/>
      <c r="W38" s="140"/>
      <c r="X38" s="140"/>
      <c r="Y38" s="140"/>
      <c r="Z38" s="140"/>
      <c r="AA38" s="141"/>
      <c r="AB38" s="142">
        <f t="shared" ref="AB38:AE38" si="60">SUM(V38,D38,J38)</f>
        <v>0</v>
      </c>
      <c r="AC38" s="143">
        <f t="shared" si="60"/>
        <v>0</v>
      </c>
      <c r="AD38" s="148">
        <f t="shared" si="60"/>
        <v>0</v>
      </c>
      <c r="AE38" s="148">
        <f t="shared" si="60"/>
        <v>0</v>
      </c>
      <c r="AF38" s="143">
        <f t="shared" si="8"/>
        <v>0</v>
      </c>
      <c r="AG38" s="148">
        <f t="shared" si="9"/>
        <v>0</v>
      </c>
      <c r="AH38" s="144">
        <f t="shared" ref="AH38:AM38" si="61">IF(AB38 = 0, 0, AB38/AB$14)</f>
        <v>0</v>
      </c>
      <c r="AI38" s="144">
        <f t="shared" si="61"/>
        <v>0</v>
      </c>
      <c r="AJ38" s="144">
        <f t="shared" si="61"/>
        <v>0</v>
      </c>
      <c r="AK38" s="144">
        <f t="shared" si="61"/>
        <v>0</v>
      </c>
      <c r="AL38" s="144">
        <f t="shared" si="61"/>
        <v>0</v>
      </c>
      <c r="AM38" s="144">
        <f t="shared" si="61"/>
        <v>0</v>
      </c>
      <c r="AN38" s="145">
        <v>1</v>
      </c>
      <c r="AO38" s="145">
        <f>IF(OR(GradeSheet!$M33="W (Withdrawn)", GradeSheet!$M33="I (Incomplete)"), 0, IF(AI38&gt;=55%, 1, 0))</f>
        <v>0</v>
      </c>
      <c r="AP38" s="145">
        <f>IF(OR(GradeSheet!$M33="W (Withdrawn)", GradeSheet!$M33="I (Incomplete)"), 0, IF(AJ38&gt;=55%, 1, 0))</f>
        <v>0</v>
      </c>
      <c r="AQ38" s="145">
        <f>IF(OR(GradeSheet!$M33="W (Withdrawn)", GradeSheet!$M33="I (Incomplete)"), 0, IF(AK38&gt;=55%, 1, 0))</f>
        <v>0</v>
      </c>
      <c r="AR38" s="145">
        <f>IF(OR(GradeSheet!$M33="W (Withdrawn)", GradeSheet!$M33="I (Incomplete)"), 0, IF(AL38&gt;=55%, 1, 0))</f>
        <v>0</v>
      </c>
      <c r="AS38" s="145">
        <f>IF(OR(GradeSheet!$M33="W (Withdrawn)", GradeSheet!$M33="I (Incomplete)"), 0, IF(AM38&gt;=55%, 1, 0))</f>
        <v>0</v>
      </c>
      <c r="AT38" s="122"/>
      <c r="AU38" s="146">
        <f t="shared" si="11"/>
        <v>0</v>
      </c>
      <c r="AV38" s="146">
        <f t="shared" si="12"/>
        <v>0</v>
      </c>
      <c r="AW38" s="146">
        <f t="array" ref="AW38">IF($AV$9=0,0,MMULT($AH38:$AM38, AV$3:AV$8)/$AV$9)</f>
        <v>0</v>
      </c>
      <c r="AX38" s="146">
        <f t="array" ref="AX38">IF($AW$9=0,0,MMULT($AH38:$AM38, AW$3:AW$8)/$AW$9)</f>
        <v>0</v>
      </c>
      <c r="AY38" s="146">
        <f t="shared" si="13"/>
        <v>0</v>
      </c>
      <c r="AZ38" s="146">
        <f t="array" ref="AZ38">IF($AY$9=0,0,MMULT($AH38:$AM38, AY$3:AY$8)/$AY$9)</f>
        <v>0</v>
      </c>
      <c r="BA38" s="146">
        <f t="array" ref="BA38">IF($AZ$9=0,0,MMULT($AH38:$AM38, AZ$3:AZ$8)/$AZ$9)</f>
        <v>0</v>
      </c>
      <c r="BB38" s="146">
        <f t="array" ref="BB38">IF($BA$9=0,0,MMULT($AH38:$AM38, BA$3:BA$8)/$BA$9)</f>
        <v>0</v>
      </c>
      <c r="BC38" s="146">
        <f t="array" ref="BC38">IF($BB$9=0,0,MMULT($AH38:$AM38, BB$3:BB$8)/$BB$9)</f>
        <v>0</v>
      </c>
      <c r="BD38" s="146">
        <f t="array" ref="BD38">IF($BC$9=0,0,MMULT($AH38:$AM38, BC$3:BC$8)/$BC$9)</f>
        <v>0</v>
      </c>
      <c r="BE38" s="146">
        <f t="shared" si="14"/>
        <v>0</v>
      </c>
      <c r="BF38" s="146">
        <f t="shared" si="15"/>
        <v>0</v>
      </c>
      <c r="BG38" s="145">
        <f>IF(OR(GradeSheet!$M33="W (Withdrawn)", GradeSheet!$M33="I (Incomplete)"), 0, IF(AU38&gt;=65%, 1, 0))</f>
        <v>0</v>
      </c>
      <c r="BH38" s="145">
        <f>IF(OR(GradeSheet!$M33="W (Withdrawn)", GradeSheet!$M33="I (Incomplete)"), 0, IF(AV38&gt;=65%, 1, 0))</f>
        <v>0</v>
      </c>
      <c r="BI38" s="145">
        <f>IF(OR(GradeSheet!$M33="W (Withdrawn)", GradeSheet!$M33="I (Incomplete)"), 0, IF(AW38&gt;=65%, 1, 0))</f>
        <v>0</v>
      </c>
      <c r="BJ38" s="145">
        <f>IF(OR(GradeSheet!$M33="W (Withdrawn)", GradeSheet!$M33="I (Incomplete)"), 0, IF(AX38&gt;=65%, 1, 0))</f>
        <v>0</v>
      </c>
      <c r="BK38" s="145">
        <f>IF(OR(GradeSheet!$M33="W (Withdrawn)", GradeSheet!$M33="I (Incomplete)"), 0, IF(AY38&gt;=65%, 1, 0))</f>
        <v>0</v>
      </c>
      <c r="BL38" s="145">
        <f>IF(OR(GradeSheet!$M33="W (Withdrawn)", GradeSheet!$M33="I (Incomplete)"), 0, IF(AZ38&gt;=65%, 1, 0))</f>
        <v>0</v>
      </c>
      <c r="BM38" s="145">
        <f>IF(OR(GradeSheet!$M33="W (Withdrawn)", GradeSheet!$M33="I (Incomplete)"), 0, IF(BA38&gt;=65%, 1, 0))</f>
        <v>0</v>
      </c>
      <c r="BN38" s="145">
        <f>IF(OR(GradeSheet!$M33="W (Withdrawn)", GradeSheet!$M33="I (Incomplete)"), 0, IF(BB38&gt;=65%, 1, 0))</f>
        <v>0</v>
      </c>
      <c r="BO38" s="145">
        <f>IF(OR(GradeSheet!$M33="W (Withdrawn)", GradeSheet!$M33="I (Incomplete)"), 0, IF(BC38&gt;=65%, 1, 0))</f>
        <v>0</v>
      </c>
      <c r="BP38" s="145">
        <f>IF(OR(GradeSheet!$M33="W (Withdrawn)", GradeSheet!$M33="I (Incomplete)"), 0, IF(BD38&gt;=65%, 1, 0))</f>
        <v>0</v>
      </c>
      <c r="BQ38" s="145">
        <f>IF(OR(GradeSheet!$M33="W (Withdrawn)", GradeSheet!$M33="I (Incomplete)"), 0, IF(BE38&gt;=65%, 1, 0))</f>
        <v>0</v>
      </c>
      <c r="BR38" s="145">
        <f>IF(OR(GradeSheet!$M33="W (Withdrawn)", GradeSheet!$M33="I (Incomplete)"), 0, IF(BF38&gt;=65%, 1, 0))</f>
        <v>0</v>
      </c>
    </row>
    <row r="39" spans="1:70" ht="15.75" customHeight="1">
      <c r="A39" s="136">
        <v>25</v>
      </c>
      <c r="B39" s="22"/>
      <c r="C39" s="30"/>
      <c r="D39" s="137"/>
      <c r="E39" s="137"/>
      <c r="F39" s="138"/>
      <c r="G39" s="138"/>
      <c r="H39" s="138"/>
      <c r="I39" s="138"/>
      <c r="J39" s="137"/>
      <c r="K39" s="137"/>
      <c r="L39" s="137"/>
      <c r="M39" s="138"/>
      <c r="N39" s="138"/>
      <c r="O39" s="138"/>
      <c r="P39" s="139"/>
      <c r="Q39" s="140"/>
      <c r="R39" s="140"/>
      <c r="S39" s="140"/>
      <c r="T39" s="140"/>
      <c r="U39" s="141"/>
      <c r="V39" s="139"/>
      <c r="W39" s="140"/>
      <c r="X39" s="140"/>
      <c r="Y39" s="140"/>
      <c r="Z39" s="140"/>
      <c r="AA39" s="141"/>
      <c r="AB39" s="142">
        <f t="shared" ref="AB39:AE39" si="62">SUM(V39,D39,J39)</f>
        <v>0</v>
      </c>
      <c r="AC39" s="143">
        <f t="shared" si="62"/>
        <v>0</v>
      </c>
      <c r="AD39" s="148">
        <f t="shared" si="62"/>
        <v>0</v>
      </c>
      <c r="AE39" s="148">
        <f t="shared" si="62"/>
        <v>0</v>
      </c>
      <c r="AF39" s="143">
        <f t="shared" si="8"/>
        <v>0</v>
      </c>
      <c r="AG39" s="148">
        <f t="shared" si="9"/>
        <v>0</v>
      </c>
      <c r="AH39" s="144">
        <f t="shared" ref="AH39:AM39" si="63">IF(AB39 = 0, 0, AB39/AB$14)</f>
        <v>0</v>
      </c>
      <c r="AI39" s="144">
        <f t="shared" si="63"/>
        <v>0</v>
      </c>
      <c r="AJ39" s="144">
        <f t="shared" si="63"/>
        <v>0</v>
      </c>
      <c r="AK39" s="144">
        <f t="shared" si="63"/>
        <v>0</v>
      </c>
      <c r="AL39" s="144">
        <f t="shared" si="63"/>
        <v>0</v>
      </c>
      <c r="AM39" s="144">
        <f t="shared" si="63"/>
        <v>0</v>
      </c>
      <c r="AN39" s="145">
        <f>IF(OR(GradeSheet!$M34="W (Withdrawn)", GradeSheet!$M34="I (Incomplete)"), 0, IF(AH39&gt;=55%, 1, 0))</f>
        <v>0</v>
      </c>
      <c r="AO39" s="145">
        <f>IF(OR(GradeSheet!$M34="W (Withdrawn)", GradeSheet!$M34="I (Incomplete)"), 0, IF(AI39&gt;=55%, 1, 0))</f>
        <v>0</v>
      </c>
      <c r="AP39" s="145">
        <f>IF(OR(GradeSheet!$M34="W (Withdrawn)", GradeSheet!$M34="I (Incomplete)"), 0, IF(AJ39&gt;=55%, 1, 0))</f>
        <v>0</v>
      </c>
      <c r="AQ39" s="145">
        <f>IF(OR(GradeSheet!$M34="W (Withdrawn)", GradeSheet!$M34="I (Incomplete)"), 0, IF(AK39&gt;=55%, 1, 0))</f>
        <v>0</v>
      </c>
      <c r="AR39" s="145">
        <f>IF(OR(GradeSheet!$M34="W (Withdrawn)", GradeSheet!$M34="I (Incomplete)"), 0, IF(AL39&gt;=55%, 1, 0))</f>
        <v>0</v>
      </c>
      <c r="AS39" s="145">
        <f>IF(OR(GradeSheet!$M34="W (Withdrawn)", GradeSheet!$M34="I (Incomplete)"), 0, IF(AM39&gt;=55%, 1, 0))</f>
        <v>0</v>
      </c>
      <c r="AT39" s="122"/>
      <c r="AU39" s="146">
        <f t="shared" si="11"/>
        <v>0</v>
      </c>
      <c r="AV39" s="146">
        <f t="shared" si="12"/>
        <v>0</v>
      </c>
      <c r="AW39" s="146">
        <f t="array" ref="AW39">IF($AV$9=0,0,MMULT($AH39:$AM39, AV$3:AV$8)/$AV$9)</f>
        <v>0</v>
      </c>
      <c r="AX39" s="146">
        <f t="array" ref="AX39">IF($AW$9=0,0,MMULT($AH39:$AM39, AW$3:AW$8)/$AW$9)</f>
        <v>0</v>
      </c>
      <c r="AY39" s="146">
        <f t="shared" si="13"/>
        <v>0</v>
      </c>
      <c r="AZ39" s="146">
        <f t="array" ref="AZ39">IF($AY$9=0,0,MMULT($AH39:$AM39, AY$3:AY$8)/$AY$9)</f>
        <v>0</v>
      </c>
      <c r="BA39" s="146">
        <f t="array" ref="BA39">IF($AZ$9=0,0,MMULT($AH39:$AM39, AZ$3:AZ$8)/$AZ$9)</f>
        <v>0</v>
      </c>
      <c r="BB39" s="146">
        <f t="array" ref="BB39">IF($BA$9=0,0,MMULT($AH39:$AM39, BA$3:BA$8)/$BA$9)</f>
        <v>0</v>
      </c>
      <c r="BC39" s="146">
        <f t="array" ref="BC39">IF($BB$9=0,0,MMULT($AH39:$AM39, BB$3:BB$8)/$BB$9)</f>
        <v>0</v>
      </c>
      <c r="BD39" s="146">
        <f t="array" ref="BD39">IF($BC$9=0,0,MMULT($AH39:$AM39, BC$3:BC$8)/$BC$9)</f>
        <v>0</v>
      </c>
      <c r="BE39" s="146">
        <f t="shared" si="14"/>
        <v>0</v>
      </c>
      <c r="BF39" s="146">
        <f t="shared" si="15"/>
        <v>0</v>
      </c>
      <c r="BG39" s="145">
        <f>IF(OR(GradeSheet!$M34="W (Withdrawn)", GradeSheet!$M34="I (Incomplete)"), 0, IF(AU39&gt;=65%, 1, 0))</f>
        <v>0</v>
      </c>
      <c r="BH39" s="145">
        <f>IF(OR(GradeSheet!$M34="W (Withdrawn)", GradeSheet!$M34="I (Incomplete)"), 0, IF(AV39&gt;=65%, 1, 0))</f>
        <v>0</v>
      </c>
      <c r="BI39" s="145">
        <f>IF(OR(GradeSheet!$M34="W (Withdrawn)", GradeSheet!$M34="I (Incomplete)"), 0, IF(AW39&gt;=65%, 1, 0))</f>
        <v>0</v>
      </c>
      <c r="BJ39" s="145">
        <f>IF(OR(GradeSheet!$M34="W (Withdrawn)", GradeSheet!$M34="I (Incomplete)"), 0, IF(AX39&gt;=65%, 1, 0))</f>
        <v>0</v>
      </c>
      <c r="BK39" s="145">
        <f>IF(OR(GradeSheet!$M34="W (Withdrawn)", GradeSheet!$M34="I (Incomplete)"), 0, IF(AY39&gt;=65%, 1, 0))</f>
        <v>0</v>
      </c>
      <c r="BL39" s="145">
        <f>IF(OR(GradeSheet!$M34="W (Withdrawn)", GradeSheet!$M34="I (Incomplete)"), 0, IF(AZ39&gt;=65%, 1, 0))</f>
        <v>0</v>
      </c>
      <c r="BM39" s="145">
        <f>IF(OR(GradeSheet!$M34="W (Withdrawn)", GradeSheet!$M34="I (Incomplete)"), 0, IF(BA39&gt;=65%, 1, 0))</f>
        <v>0</v>
      </c>
      <c r="BN39" s="145">
        <f>IF(OR(GradeSheet!$M34="W (Withdrawn)", GradeSheet!$M34="I (Incomplete)"), 0, IF(BB39&gt;=65%, 1, 0))</f>
        <v>0</v>
      </c>
      <c r="BO39" s="145">
        <f>IF(OR(GradeSheet!$M34="W (Withdrawn)", GradeSheet!$M34="I (Incomplete)"), 0, IF(BC39&gt;=65%, 1, 0))</f>
        <v>0</v>
      </c>
      <c r="BP39" s="145">
        <f>IF(OR(GradeSheet!$M34="W (Withdrawn)", GradeSheet!$M34="I (Incomplete)"), 0, IF(BD39&gt;=65%, 1, 0))</f>
        <v>0</v>
      </c>
      <c r="BQ39" s="145">
        <f>IF(OR(GradeSheet!$M34="W (Withdrawn)", GradeSheet!$M34="I (Incomplete)"), 0, IF(BE39&gt;=65%, 1, 0))</f>
        <v>0</v>
      </c>
      <c r="BR39" s="145">
        <f>IF(OR(GradeSheet!$M34="W (Withdrawn)", GradeSheet!$M34="I (Incomplete)"), 0, IF(BF39&gt;=65%, 1, 0))</f>
        <v>0</v>
      </c>
    </row>
    <row r="40" spans="1:70" ht="15.75" customHeight="1">
      <c r="A40" s="147">
        <v>26</v>
      </c>
      <c r="B40" s="22"/>
      <c r="C40" s="30"/>
      <c r="D40" s="137"/>
      <c r="E40" s="137"/>
      <c r="F40" s="138"/>
      <c r="G40" s="138"/>
      <c r="H40" s="138"/>
      <c r="I40" s="138"/>
      <c r="J40" s="137"/>
      <c r="K40" s="137"/>
      <c r="L40" s="137"/>
      <c r="M40" s="138"/>
      <c r="N40" s="138"/>
      <c r="O40" s="138"/>
      <c r="P40" s="139"/>
      <c r="Q40" s="140"/>
      <c r="R40" s="140"/>
      <c r="S40" s="140"/>
      <c r="T40" s="140"/>
      <c r="U40" s="141"/>
      <c r="V40" s="139"/>
      <c r="W40" s="140"/>
      <c r="X40" s="140"/>
      <c r="Y40" s="140"/>
      <c r="Z40" s="140"/>
      <c r="AA40" s="141"/>
      <c r="AB40" s="142">
        <f t="shared" ref="AB40:AE40" si="64">SUM(V40,D40,J40)</f>
        <v>0</v>
      </c>
      <c r="AC40" s="143">
        <f t="shared" si="64"/>
        <v>0</v>
      </c>
      <c r="AD40" s="148">
        <f t="shared" si="64"/>
        <v>0</v>
      </c>
      <c r="AE40" s="148">
        <f t="shared" si="64"/>
        <v>0</v>
      </c>
      <c r="AF40" s="143">
        <f t="shared" si="8"/>
        <v>0</v>
      </c>
      <c r="AG40" s="148">
        <f t="shared" si="9"/>
        <v>0</v>
      </c>
      <c r="AH40" s="144">
        <f t="shared" ref="AH40:AM40" si="65">IF(AB40 = 0, 0, AB40/AB$14)</f>
        <v>0</v>
      </c>
      <c r="AI40" s="144">
        <f t="shared" si="65"/>
        <v>0</v>
      </c>
      <c r="AJ40" s="144">
        <f t="shared" si="65"/>
        <v>0</v>
      </c>
      <c r="AK40" s="144">
        <f t="shared" si="65"/>
        <v>0</v>
      </c>
      <c r="AL40" s="144">
        <f t="shared" si="65"/>
        <v>0</v>
      </c>
      <c r="AM40" s="144">
        <f t="shared" si="65"/>
        <v>0</v>
      </c>
      <c r="AN40" s="145">
        <f>IF(OR(GradeSheet!$M35="W (Withdrawn)", GradeSheet!$M35="I (Incomplete)"), 0, IF(AH40&gt;=55%, 1, 0))</f>
        <v>0</v>
      </c>
      <c r="AO40" s="145">
        <f>IF(OR(GradeSheet!$M35="W (Withdrawn)", GradeSheet!$M35="I (Incomplete)"), 0, IF(AI40&gt;=55%, 1, 0))</f>
        <v>0</v>
      </c>
      <c r="AP40" s="145">
        <f>IF(OR(GradeSheet!$M35="W (Withdrawn)", GradeSheet!$M35="I (Incomplete)"), 0, IF(AJ40&gt;=55%, 1, 0))</f>
        <v>0</v>
      </c>
      <c r="AQ40" s="145">
        <f>IF(OR(GradeSheet!$M35="W (Withdrawn)", GradeSheet!$M35="I (Incomplete)"), 0, IF(AK40&gt;=55%, 1, 0))</f>
        <v>0</v>
      </c>
      <c r="AR40" s="145">
        <f>IF(OR(GradeSheet!$M35="W (Withdrawn)", GradeSheet!$M35="I (Incomplete)"), 0, IF(AL40&gt;=55%, 1, 0))</f>
        <v>0</v>
      </c>
      <c r="AS40" s="145">
        <f>IF(OR(GradeSheet!$M35="W (Withdrawn)", GradeSheet!$M35="I (Incomplete)"), 0, IF(AM40&gt;=55%, 1, 0))</f>
        <v>0</v>
      </c>
      <c r="AT40" s="122"/>
      <c r="AU40" s="146">
        <f t="shared" si="11"/>
        <v>0</v>
      </c>
      <c r="AV40" s="146">
        <f t="shared" si="12"/>
        <v>0</v>
      </c>
      <c r="AW40" s="146">
        <f t="array" ref="AW40">IF($AV$9=0,0,MMULT($AH40:$AM40, AV$3:AV$8)/$AV$9)</f>
        <v>0</v>
      </c>
      <c r="AX40" s="146">
        <f t="array" ref="AX40">IF($AW$9=0,0,MMULT($AH40:$AM40, AW$3:AW$8)/$AW$9)</f>
        <v>0</v>
      </c>
      <c r="AY40" s="146">
        <f t="shared" si="13"/>
        <v>0</v>
      </c>
      <c r="AZ40" s="146">
        <f t="array" ref="AZ40">IF($AY$9=0,0,MMULT($AH40:$AM40, AY$3:AY$8)/$AY$9)</f>
        <v>0</v>
      </c>
      <c r="BA40" s="146">
        <f t="array" ref="BA40">IF($AZ$9=0,0,MMULT($AH40:$AM40, AZ$3:AZ$8)/$AZ$9)</f>
        <v>0</v>
      </c>
      <c r="BB40" s="146">
        <f t="array" ref="BB40">IF($BA$9=0,0,MMULT($AH40:$AM40, BA$3:BA$8)/$BA$9)</f>
        <v>0</v>
      </c>
      <c r="BC40" s="146">
        <f t="array" ref="BC40">IF($BB$9=0,0,MMULT($AH40:$AM40, BB$3:BB$8)/$BB$9)</f>
        <v>0</v>
      </c>
      <c r="BD40" s="146">
        <f t="array" ref="BD40">IF($BC$9=0,0,MMULT($AH40:$AM40, BC$3:BC$8)/$BC$9)</f>
        <v>0</v>
      </c>
      <c r="BE40" s="146">
        <f t="shared" si="14"/>
        <v>0</v>
      </c>
      <c r="BF40" s="146">
        <f t="shared" si="15"/>
        <v>0</v>
      </c>
      <c r="BG40" s="145">
        <f>IF(OR(GradeSheet!$M35="W (Withdrawn)", GradeSheet!$M35="I (Incomplete)"), 0, IF(AU40&gt;=65%, 1, 0))</f>
        <v>0</v>
      </c>
      <c r="BH40" s="145">
        <f>IF(OR(GradeSheet!$M35="W (Withdrawn)", GradeSheet!$M35="I (Incomplete)"), 0, IF(AV40&gt;=65%, 1, 0))</f>
        <v>0</v>
      </c>
      <c r="BI40" s="145">
        <f>IF(OR(GradeSheet!$M35="W (Withdrawn)", GradeSheet!$M35="I (Incomplete)"), 0, IF(AW40&gt;=65%, 1, 0))</f>
        <v>0</v>
      </c>
      <c r="BJ40" s="145">
        <f>IF(OR(GradeSheet!$M35="W (Withdrawn)", GradeSheet!$M35="I (Incomplete)"), 0, IF(AX40&gt;=65%, 1, 0))</f>
        <v>0</v>
      </c>
      <c r="BK40" s="145">
        <f>IF(OR(GradeSheet!$M35="W (Withdrawn)", GradeSheet!$M35="I (Incomplete)"), 0, IF(AY40&gt;=65%, 1, 0))</f>
        <v>0</v>
      </c>
      <c r="BL40" s="145">
        <f>IF(OR(GradeSheet!$M35="W (Withdrawn)", GradeSheet!$M35="I (Incomplete)"), 0, IF(AZ40&gt;=65%, 1, 0))</f>
        <v>0</v>
      </c>
      <c r="BM40" s="145">
        <f>IF(OR(GradeSheet!$M35="W (Withdrawn)", GradeSheet!$M35="I (Incomplete)"), 0, IF(BA40&gt;=65%, 1, 0))</f>
        <v>0</v>
      </c>
      <c r="BN40" s="145">
        <f>IF(OR(GradeSheet!$M35="W (Withdrawn)", GradeSheet!$M35="I (Incomplete)"), 0, IF(BB40&gt;=65%, 1, 0))</f>
        <v>0</v>
      </c>
      <c r="BO40" s="145">
        <f>IF(OR(GradeSheet!$M35="W (Withdrawn)", GradeSheet!$M35="I (Incomplete)"), 0, IF(BC40&gt;=65%, 1, 0))</f>
        <v>0</v>
      </c>
      <c r="BP40" s="145">
        <f>IF(OR(GradeSheet!$M35="W (Withdrawn)", GradeSheet!$M35="I (Incomplete)"), 0, IF(BD40&gt;=65%, 1, 0))</f>
        <v>0</v>
      </c>
      <c r="BQ40" s="145">
        <f>IF(OR(GradeSheet!$M35="W (Withdrawn)", GradeSheet!$M35="I (Incomplete)"), 0, IF(BE40&gt;=65%, 1, 0))</f>
        <v>0</v>
      </c>
      <c r="BR40" s="145">
        <f>IF(OR(GradeSheet!$M35="W (Withdrawn)", GradeSheet!$M35="I (Incomplete)"), 0, IF(BF40&gt;=65%, 1, 0))</f>
        <v>0</v>
      </c>
    </row>
    <row r="41" spans="1:70" ht="15.75" customHeight="1">
      <c r="A41" s="136">
        <v>27</v>
      </c>
      <c r="B41" s="22"/>
      <c r="C41" s="30"/>
      <c r="D41" s="137"/>
      <c r="E41" s="137"/>
      <c r="F41" s="138"/>
      <c r="G41" s="138"/>
      <c r="H41" s="138"/>
      <c r="I41" s="138"/>
      <c r="J41" s="137"/>
      <c r="K41" s="137"/>
      <c r="L41" s="137"/>
      <c r="M41" s="138"/>
      <c r="N41" s="138"/>
      <c r="O41" s="138"/>
      <c r="P41" s="139"/>
      <c r="Q41" s="140"/>
      <c r="R41" s="140"/>
      <c r="S41" s="140"/>
      <c r="T41" s="140"/>
      <c r="U41" s="141"/>
      <c r="V41" s="139"/>
      <c r="W41" s="140"/>
      <c r="X41" s="140"/>
      <c r="Y41" s="140"/>
      <c r="Z41" s="140"/>
      <c r="AA41" s="141"/>
      <c r="AB41" s="142">
        <f t="shared" ref="AB41:AE41" si="66">SUM(V41,D41,J41)</f>
        <v>0</v>
      </c>
      <c r="AC41" s="143">
        <f t="shared" si="66"/>
        <v>0</v>
      </c>
      <c r="AD41" s="148">
        <f t="shared" si="66"/>
        <v>0</v>
      </c>
      <c r="AE41" s="148">
        <f t="shared" si="66"/>
        <v>0</v>
      </c>
      <c r="AF41" s="143">
        <f t="shared" si="8"/>
        <v>0</v>
      </c>
      <c r="AG41" s="148">
        <f t="shared" si="9"/>
        <v>0</v>
      </c>
      <c r="AH41" s="144">
        <f t="shared" ref="AH41:AM41" si="67">IF(AB41 = 0, 0, AB41/AB$14)</f>
        <v>0</v>
      </c>
      <c r="AI41" s="144">
        <f t="shared" si="67"/>
        <v>0</v>
      </c>
      <c r="AJ41" s="144">
        <f t="shared" si="67"/>
        <v>0</v>
      </c>
      <c r="AK41" s="144">
        <f t="shared" si="67"/>
        <v>0</v>
      </c>
      <c r="AL41" s="144">
        <f t="shared" si="67"/>
        <v>0</v>
      </c>
      <c r="AM41" s="144">
        <f t="shared" si="67"/>
        <v>0</v>
      </c>
      <c r="AN41" s="145">
        <f>IF(OR(GradeSheet!$M36="W (Withdrawn)", GradeSheet!$M36="I (Incomplete)"), 0, IF(AH41&gt;=55%, 1, 0))</f>
        <v>0</v>
      </c>
      <c r="AO41" s="145">
        <f>IF(OR(GradeSheet!$M36="W (Withdrawn)", GradeSheet!$M36="I (Incomplete)"), 0, IF(AI41&gt;=55%, 1, 0))</f>
        <v>0</v>
      </c>
      <c r="AP41" s="145">
        <f>IF(OR(GradeSheet!$M36="W (Withdrawn)", GradeSheet!$M36="I (Incomplete)"), 0, IF(AJ41&gt;=55%, 1, 0))</f>
        <v>0</v>
      </c>
      <c r="AQ41" s="145">
        <f>IF(OR(GradeSheet!$M36="W (Withdrawn)", GradeSheet!$M36="I (Incomplete)"), 0, IF(AK41&gt;=55%, 1, 0))</f>
        <v>0</v>
      </c>
      <c r="AR41" s="145">
        <f>IF(OR(GradeSheet!$M36="W (Withdrawn)", GradeSheet!$M36="I (Incomplete)"), 0, IF(AL41&gt;=55%, 1, 0))</f>
        <v>0</v>
      </c>
      <c r="AS41" s="145">
        <f>IF(OR(GradeSheet!$M36="W (Withdrawn)", GradeSheet!$M36="I (Incomplete)"), 0, IF(AM41&gt;=55%, 1, 0))</f>
        <v>0</v>
      </c>
      <c r="AT41" s="122"/>
      <c r="AU41" s="146">
        <f t="shared" si="11"/>
        <v>0</v>
      </c>
      <c r="AV41" s="146">
        <f t="shared" si="12"/>
        <v>0</v>
      </c>
      <c r="AW41" s="146">
        <f t="array" ref="AW41">IF($AV$9=0,0,MMULT($AH41:$AM41, AV$3:AV$8)/$AV$9)</f>
        <v>0</v>
      </c>
      <c r="AX41" s="146">
        <f t="array" ref="AX41">IF($AW$9=0,0,MMULT($AH41:$AM41, AW$3:AW$8)/$AW$9)</f>
        <v>0</v>
      </c>
      <c r="AY41" s="146">
        <f t="shared" si="13"/>
        <v>0</v>
      </c>
      <c r="AZ41" s="146">
        <f t="array" ref="AZ41">IF($AY$9=0,0,MMULT($AH41:$AM41, AY$3:AY$8)/$AY$9)</f>
        <v>0</v>
      </c>
      <c r="BA41" s="146">
        <f t="array" ref="BA41">IF($AZ$9=0,0,MMULT($AH41:$AM41, AZ$3:AZ$8)/$AZ$9)</f>
        <v>0</v>
      </c>
      <c r="BB41" s="146">
        <f t="array" ref="BB41">IF($BA$9=0,0,MMULT($AH41:$AM41, BA$3:BA$8)/$BA$9)</f>
        <v>0</v>
      </c>
      <c r="BC41" s="146">
        <f t="array" ref="BC41">IF($BB$9=0,0,MMULT($AH41:$AM41, BB$3:BB$8)/$BB$9)</f>
        <v>0</v>
      </c>
      <c r="BD41" s="146">
        <f t="array" ref="BD41">IF($BC$9=0,0,MMULT($AH41:$AM41, BC$3:BC$8)/$BC$9)</f>
        <v>0</v>
      </c>
      <c r="BE41" s="146">
        <f t="shared" si="14"/>
        <v>0</v>
      </c>
      <c r="BF41" s="146">
        <f t="shared" si="15"/>
        <v>0</v>
      </c>
      <c r="BG41" s="145">
        <f>IF(OR(GradeSheet!$M36="W (Withdrawn)", GradeSheet!$M36="I (Incomplete)"), 0, IF(AU41&gt;=65%, 1, 0))</f>
        <v>0</v>
      </c>
      <c r="BH41" s="145">
        <f>IF(OR(GradeSheet!$M36="W (Withdrawn)", GradeSheet!$M36="I (Incomplete)"), 0, IF(AV41&gt;=65%, 1, 0))</f>
        <v>0</v>
      </c>
      <c r="BI41" s="145">
        <f>IF(OR(GradeSheet!$M36="W (Withdrawn)", GradeSheet!$M36="I (Incomplete)"), 0, IF(AW41&gt;=65%, 1, 0))</f>
        <v>0</v>
      </c>
      <c r="BJ41" s="145">
        <f>IF(OR(GradeSheet!$M36="W (Withdrawn)", GradeSheet!$M36="I (Incomplete)"), 0, IF(AX41&gt;=65%, 1, 0))</f>
        <v>0</v>
      </c>
      <c r="BK41" s="145">
        <f>IF(OR(GradeSheet!$M36="W (Withdrawn)", GradeSheet!$M36="I (Incomplete)"), 0, IF(AY41&gt;=65%, 1, 0))</f>
        <v>0</v>
      </c>
      <c r="BL41" s="145">
        <f>IF(OR(GradeSheet!$M36="W (Withdrawn)", GradeSheet!$M36="I (Incomplete)"), 0, IF(AZ41&gt;=65%, 1, 0))</f>
        <v>0</v>
      </c>
      <c r="BM41" s="145">
        <f>IF(OR(GradeSheet!$M36="W (Withdrawn)", GradeSheet!$M36="I (Incomplete)"), 0, IF(BA41&gt;=65%, 1, 0))</f>
        <v>0</v>
      </c>
      <c r="BN41" s="145">
        <f>IF(OR(GradeSheet!$M36="W (Withdrawn)", GradeSheet!$M36="I (Incomplete)"), 0, IF(BB41&gt;=65%, 1, 0))</f>
        <v>0</v>
      </c>
      <c r="BO41" s="145">
        <f>IF(OR(GradeSheet!$M36="W (Withdrawn)", GradeSheet!$M36="I (Incomplete)"), 0, IF(BC41&gt;=65%, 1, 0))</f>
        <v>0</v>
      </c>
      <c r="BP41" s="145">
        <f>IF(OR(GradeSheet!$M36="W (Withdrawn)", GradeSheet!$M36="I (Incomplete)"), 0, IF(BD41&gt;=65%, 1, 0))</f>
        <v>0</v>
      </c>
      <c r="BQ41" s="145">
        <f>IF(OR(GradeSheet!$M36="W (Withdrawn)", GradeSheet!$M36="I (Incomplete)"), 0, IF(BE41&gt;=65%, 1, 0))</f>
        <v>0</v>
      </c>
      <c r="BR41" s="145">
        <f>IF(OR(GradeSheet!$M36="W (Withdrawn)", GradeSheet!$M36="I (Incomplete)"), 0, IF(BF41&gt;=65%, 1, 0))</f>
        <v>0</v>
      </c>
    </row>
    <row r="42" spans="1:70" ht="15.75" customHeight="1">
      <c r="A42" s="147">
        <v>28</v>
      </c>
      <c r="B42" s="22"/>
      <c r="C42" s="30"/>
      <c r="D42" s="137"/>
      <c r="E42" s="137"/>
      <c r="F42" s="138"/>
      <c r="G42" s="138"/>
      <c r="H42" s="138"/>
      <c r="I42" s="138"/>
      <c r="J42" s="137"/>
      <c r="K42" s="137"/>
      <c r="L42" s="137"/>
      <c r="M42" s="138"/>
      <c r="N42" s="138"/>
      <c r="O42" s="138"/>
      <c r="P42" s="139"/>
      <c r="Q42" s="140"/>
      <c r="R42" s="140"/>
      <c r="S42" s="140"/>
      <c r="T42" s="140"/>
      <c r="U42" s="141"/>
      <c r="V42" s="139"/>
      <c r="W42" s="140"/>
      <c r="X42" s="140"/>
      <c r="Y42" s="140"/>
      <c r="Z42" s="140"/>
      <c r="AA42" s="141"/>
      <c r="AB42" s="142">
        <f t="shared" ref="AB42:AE42" si="68">SUM(V42,D42,J42)</f>
        <v>0</v>
      </c>
      <c r="AC42" s="143">
        <f t="shared" si="68"/>
        <v>0</v>
      </c>
      <c r="AD42" s="148">
        <f t="shared" si="68"/>
        <v>0</v>
      </c>
      <c r="AE42" s="148">
        <f t="shared" si="68"/>
        <v>0</v>
      </c>
      <c r="AF42" s="143">
        <f t="shared" si="8"/>
        <v>0</v>
      </c>
      <c r="AG42" s="148">
        <f t="shared" si="9"/>
        <v>0</v>
      </c>
      <c r="AH42" s="144">
        <f t="shared" ref="AH42:AM42" si="69">IF(AB42 = 0, 0, AB42/AB$14)</f>
        <v>0</v>
      </c>
      <c r="AI42" s="144">
        <f t="shared" si="69"/>
        <v>0</v>
      </c>
      <c r="AJ42" s="144">
        <f t="shared" si="69"/>
        <v>0</v>
      </c>
      <c r="AK42" s="144">
        <f t="shared" si="69"/>
        <v>0</v>
      </c>
      <c r="AL42" s="144">
        <f t="shared" si="69"/>
        <v>0</v>
      </c>
      <c r="AM42" s="144">
        <f t="shared" si="69"/>
        <v>0</v>
      </c>
      <c r="AN42" s="145">
        <f>IF(OR(GradeSheet!$M37="W (Withdrawn)", GradeSheet!$M37="I (Incomplete)"), 0, IF(AH42&gt;=55%, 1, 0))</f>
        <v>0</v>
      </c>
      <c r="AO42" s="145">
        <f>IF(OR(GradeSheet!$M37="W (Withdrawn)", GradeSheet!$M37="I (Incomplete)"), 0, IF(AI42&gt;=55%, 1, 0))</f>
        <v>0</v>
      </c>
      <c r="AP42" s="145">
        <f>IF(OR(GradeSheet!$M37="W (Withdrawn)", GradeSheet!$M37="I (Incomplete)"), 0, IF(AJ42&gt;=55%, 1, 0))</f>
        <v>0</v>
      </c>
      <c r="AQ42" s="145">
        <f>IF(OR(GradeSheet!$M37="W (Withdrawn)", GradeSheet!$M37="I (Incomplete)"), 0, IF(AK42&gt;=55%, 1, 0))</f>
        <v>0</v>
      </c>
      <c r="AR42" s="145">
        <f>IF(OR(GradeSheet!$M37="W (Withdrawn)", GradeSheet!$M37="I (Incomplete)"), 0, IF(AL42&gt;=55%, 1, 0))</f>
        <v>0</v>
      </c>
      <c r="AS42" s="145">
        <f>IF(OR(GradeSheet!$M37="W (Withdrawn)", GradeSheet!$M37="I (Incomplete)"), 0, IF(AM42&gt;=55%, 1, 0))</f>
        <v>0</v>
      </c>
      <c r="AT42" s="122"/>
      <c r="AU42" s="146">
        <f t="shared" si="11"/>
        <v>0</v>
      </c>
      <c r="AV42" s="146">
        <f t="shared" si="12"/>
        <v>0</v>
      </c>
      <c r="AW42" s="146">
        <f t="array" ref="AW42">IF($AV$9=0,0,MMULT($AH42:$AM42, AV$3:AV$8)/$AV$9)</f>
        <v>0</v>
      </c>
      <c r="AX42" s="146">
        <f t="array" ref="AX42">IF($AW$9=0,0,MMULT($AH42:$AM42, AW$3:AW$8)/$AW$9)</f>
        <v>0</v>
      </c>
      <c r="AY42" s="146">
        <f t="shared" si="13"/>
        <v>0</v>
      </c>
      <c r="AZ42" s="146">
        <f t="array" ref="AZ42">IF($AY$9=0,0,MMULT($AH42:$AM42, AY$3:AY$8)/$AY$9)</f>
        <v>0</v>
      </c>
      <c r="BA42" s="146">
        <f t="array" ref="BA42">IF($AZ$9=0,0,MMULT($AH42:$AM42, AZ$3:AZ$8)/$AZ$9)</f>
        <v>0</v>
      </c>
      <c r="BB42" s="146">
        <f t="array" ref="BB42">IF($BA$9=0,0,MMULT($AH42:$AM42, BA$3:BA$8)/$BA$9)</f>
        <v>0</v>
      </c>
      <c r="BC42" s="146">
        <f t="array" ref="BC42">IF($BB$9=0,0,MMULT($AH42:$AM42, BB$3:BB$8)/$BB$9)</f>
        <v>0</v>
      </c>
      <c r="BD42" s="146">
        <f t="array" ref="BD42">IF($BC$9=0,0,MMULT($AH42:$AM42, BC$3:BC$8)/$BC$9)</f>
        <v>0</v>
      </c>
      <c r="BE42" s="146">
        <f t="shared" si="14"/>
        <v>0</v>
      </c>
      <c r="BF42" s="146">
        <f t="shared" si="15"/>
        <v>0</v>
      </c>
      <c r="BG42" s="145">
        <f>IF(OR(GradeSheet!$M37="W (Withdrawn)", GradeSheet!$M37="I (Incomplete)"), 0, IF(AU42&gt;=65%, 1, 0))</f>
        <v>0</v>
      </c>
      <c r="BH42" s="145">
        <f>IF(OR(GradeSheet!$M37="W (Withdrawn)", GradeSheet!$M37="I (Incomplete)"), 0, IF(AV42&gt;=65%, 1, 0))</f>
        <v>0</v>
      </c>
      <c r="BI42" s="145">
        <f>IF(OR(GradeSheet!$M37="W (Withdrawn)", GradeSheet!$M37="I (Incomplete)"), 0, IF(AW42&gt;=65%, 1, 0))</f>
        <v>0</v>
      </c>
      <c r="BJ42" s="145">
        <f>IF(OR(GradeSheet!$M37="W (Withdrawn)", GradeSheet!$M37="I (Incomplete)"), 0, IF(AX42&gt;=65%, 1, 0))</f>
        <v>0</v>
      </c>
      <c r="BK42" s="145">
        <f>IF(OR(GradeSheet!$M37="W (Withdrawn)", GradeSheet!$M37="I (Incomplete)"), 0, IF(AY42&gt;=65%, 1, 0))</f>
        <v>0</v>
      </c>
      <c r="BL42" s="145">
        <f>IF(OR(GradeSheet!$M37="W (Withdrawn)", GradeSheet!$M37="I (Incomplete)"), 0, IF(AZ42&gt;=65%, 1, 0))</f>
        <v>0</v>
      </c>
      <c r="BM42" s="145">
        <f>IF(OR(GradeSheet!$M37="W (Withdrawn)", GradeSheet!$M37="I (Incomplete)"), 0, IF(BA42&gt;=65%, 1, 0))</f>
        <v>0</v>
      </c>
      <c r="BN42" s="145">
        <f>IF(OR(GradeSheet!$M37="W (Withdrawn)", GradeSheet!$M37="I (Incomplete)"), 0, IF(BB42&gt;=65%, 1, 0))</f>
        <v>0</v>
      </c>
      <c r="BO42" s="145">
        <f>IF(OR(GradeSheet!$M37="W (Withdrawn)", GradeSheet!$M37="I (Incomplete)"), 0, IF(BC42&gt;=65%, 1, 0))</f>
        <v>0</v>
      </c>
      <c r="BP42" s="145">
        <f>IF(OR(GradeSheet!$M37="W (Withdrawn)", GradeSheet!$M37="I (Incomplete)"), 0, IF(BD42&gt;=65%, 1, 0))</f>
        <v>0</v>
      </c>
      <c r="BQ42" s="145">
        <f>IF(OR(GradeSheet!$M37="W (Withdrawn)", GradeSheet!$M37="I (Incomplete)"), 0, IF(BE42&gt;=65%, 1, 0))</f>
        <v>0</v>
      </c>
      <c r="BR42" s="145">
        <f>IF(OR(GradeSheet!$M37="W (Withdrawn)", GradeSheet!$M37="I (Incomplete)"), 0, IF(BF42&gt;=65%, 1, 0))</f>
        <v>0</v>
      </c>
    </row>
    <row r="43" spans="1:70" ht="15.75" customHeight="1">
      <c r="A43" s="136">
        <v>29</v>
      </c>
      <c r="B43" s="22"/>
      <c r="C43" s="30"/>
      <c r="D43" s="137"/>
      <c r="E43" s="137"/>
      <c r="F43" s="138"/>
      <c r="G43" s="138"/>
      <c r="H43" s="138"/>
      <c r="I43" s="138"/>
      <c r="J43" s="137"/>
      <c r="K43" s="137"/>
      <c r="L43" s="137"/>
      <c r="M43" s="138"/>
      <c r="N43" s="138"/>
      <c r="O43" s="138"/>
      <c r="P43" s="139"/>
      <c r="Q43" s="140"/>
      <c r="R43" s="140"/>
      <c r="S43" s="140"/>
      <c r="T43" s="140"/>
      <c r="U43" s="141"/>
      <c r="V43" s="139"/>
      <c r="W43" s="140"/>
      <c r="X43" s="140"/>
      <c r="Y43" s="140"/>
      <c r="Z43" s="140"/>
      <c r="AA43" s="141"/>
      <c r="AB43" s="142">
        <f t="shared" ref="AB43:AE43" si="70">SUM(V43,D43,J43)</f>
        <v>0</v>
      </c>
      <c r="AC43" s="143">
        <f t="shared" si="70"/>
        <v>0</v>
      </c>
      <c r="AD43" s="148">
        <f t="shared" si="70"/>
        <v>0</v>
      </c>
      <c r="AE43" s="148">
        <f t="shared" si="70"/>
        <v>0</v>
      </c>
      <c r="AF43" s="143">
        <f t="shared" si="8"/>
        <v>0</v>
      </c>
      <c r="AG43" s="148">
        <f t="shared" si="9"/>
        <v>0</v>
      </c>
      <c r="AH43" s="144">
        <f t="shared" ref="AH43:AM43" si="71">IF(AB43 = 0, 0, AB43/AB$14)</f>
        <v>0</v>
      </c>
      <c r="AI43" s="144">
        <f t="shared" si="71"/>
        <v>0</v>
      </c>
      <c r="AJ43" s="144">
        <f t="shared" si="71"/>
        <v>0</v>
      </c>
      <c r="AK43" s="144">
        <f t="shared" si="71"/>
        <v>0</v>
      </c>
      <c r="AL43" s="144">
        <f t="shared" si="71"/>
        <v>0</v>
      </c>
      <c r="AM43" s="144">
        <f t="shared" si="71"/>
        <v>0</v>
      </c>
      <c r="AN43" s="145">
        <f>IF(OR(GradeSheet!$M38="W (Withdrawn)", GradeSheet!$M38="I (Incomplete)"), 0, IF(AH43&gt;=55%, 1, 0))</f>
        <v>0</v>
      </c>
      <c r="AO43" s="145">
        <f>IF(OR(GradeSheet!$M38="W (Withdrawn)", GradeSheet!$M38="I (Incomplete)"), 0, IF(AI43&gt;=55%, 1, 0))</f>
        <v>0</v>
      </c>
      <c r="AP43" s="145">
        <f>IF(OR(GradeSheet!$M38="W (Withdrawn)", GradeSheet!$M38="I (Incomplete)"), 0, IF(AJ43&gt;=55%, 1, 0))</f>
        <v>0</v>
      </c>
      <c r="AQ43" s="145">
        <f>IF(OR(GradeSheet!$M38="W (Withdrawn)", GradeSheet!$M38="I (Incomplete)"), 0, IF(AK43&gt;=55%, 1, 0))</f>
        <v>0</v>
      </c>
      <c r="AR43" s="145">
        <f>IF(OR(GradeSheet!$M38="W (Withdrawn)", GradeSheet!$M38="I (Incomplete)"), 0, IF(AL43&gt;=55%, 1, 0))</f>
        <v>0</v>
      </c>
      <c r="AS43" s="145">
        <f>IF(OR(GradeSheet!$M38="W (Withdrawn)", GradeSheet!$M38="I (Incomplete)"), 0, IF(AM43&gt;=55%, 1, 0))</f>
        <v>0</v>
      </c>
      <c r="AT43" s="122"/>
      <c r="AU43" s="146">
        <f t="shared" si="11"/>
        <v>0</v>
      </c>
      <c r="AV43" s="146">
        <f t="shared" si="12"/>
        <v>0</v>
      </c>
      <c r="AW43" s="146">
        <f t="array" ref="AW43">IF($AV$9=0,0,MMULT($AH43:$AM43, AV$3:AV$8)/$AV$9)</f>
        <v>0</v>
      </c>
      <c r="AX43" s="146">
        <f t="array" ref="AX43">IF($AW$9=0,0,MMULT($AH43:$AM43, AW$3:AW$8)/$AW$9)</f>
        <v>0</v>
      </c>
      <c r="AY43" s="146">
        <f t="shared" si="13"/>
        <v>0</v>
      </c>
      <c r="AZ43" s="146">
        <f t="array" ref="AZ43">IF($AY$9=0,0,MMULT($AH43:$AM43, AY$3:AY$8)/$AY$9)</f>
        <v>0</v>
      </c>
      <c r="BA43" s="146">
        <f t="array" ref="BA43">IF($AZ$9=0,0,MMULT($AH43:$AM43, AZ$3:AZ$8)/$AZ$9)</f>
        <v>0</v>
      </c>
      <c r="BB43" s="146">
        <f t="array" ref="BB43">IF($BA$9=0,0,MMULT($AH43:$AM43, BA$3:BA$8)/$BA$9)</f>
        <v>0</v>
      </c>
      <c r="BC43" s="146">
        <f t="array" ref="BC43">IF($BB$9=0,0,MMULT($AH43:$AM43, BB$3:BB$8)/$BB$9)</f>
        <v>0</v>
      </c>
      <c r="BD43" s="146">
        <f t="array" ref="BD43">IF($BC$9=0,0,MMULT($AH43:$AM43, BC$3:BC$8)/$BC$9)</f>
        <v>0</v>
      </c>
      <c r="BE43" s="146">
        <f t="shared" si="14"/>
        <v>0</v>
      </c>
      <c r="BF43" s="146">
        <f t="shared" si="15"/>
        <v>0</v>
      </c>
      <c r="BG43" s="145">
        <f>IF(OR(GradeSheet!$M38="W (Withdrawn)", GradeSheet!$M38="I (Incomplete)"), 0, IF(AU43&gt;=65%, 1, 0))</f>
        <v>0</v>
      </c>
      <c r="BH43" s="145">
        <f>IF(OR(GradeSheet!$M38="W (Withdrawn)", GradeSheet!$M38="I (Incomplete)"), 0, IF(AV43&gt;=65%, 1, 0))</f>
        <v>0</v>
      </c>
      <c r="BI43" s="145">
        <f>IF(OR(GradeSheet!$M38="W (Withdrawn)", GradeSheet!$M38="I (Incomplete)"), 0, IF(AW43&gt;=65%, 1, 0))</f>
        <v>0</v>
      </c>
      <c r="BJ43" s="145">
        <f>IF(OR(GradeSheet!$M38="W (Withdrawn)", GradeSheet!$M38="I (Incomplete)"), 0, IF(AX43&gt;=65%, 1, 0))</f>
        <v>0</v>
      </c>
      <c r="BK43" s="145">
        <f>IF(OR(GradeSheet!$M38="W (Withdrawn)", GradeSheet!$M38="I (Incomplete)"), 0, IF(AY43&gt;=65%, 1, 0))</f>
        <v>0</v>
      </c>
      <c r="BL43" s="145">
        <f>IF(OR(GradeSheet!$M38="W (Withdrawn)", GradeSheet!$M38="I (Incomplete)"), 0, IF(AZ43&gt;=65%, 1, 0))</f>
        <v>0</v>
      </c>
      <c r="BM43" s="145">
        <f>IF(OR(GradeSheet!$M38="W (Withdrawn)", GradeSheet!$M38="I (Incomplete)"), 0, IF(BA43&gt;=65%, 1, 0))</f>
        <v>0</v>
      </c>
      <c r="BN43" s="145">
        <f>IF(OR(GradeSheet!$M38="W (Withdrawn)", GradeSheet!$M38="I (Incomplete)"), 0, IF(BB43&gt;=65%, 1, 0))</f>
        <v>0</v>
      </c>
      <c r="BO43" s="145">
        <f>IF(OR(GradeSheet!$M38="W (Withdrawn)", GradeSheet!$M38="I (Incomplete)"), 0, IF(BC43&gt;=65%, 1, 0))</f>
        <v>0</v>
      </c>
      <c r="BP43" s="145">
        <f>IF(OR(GradeSheet!$M38="W (Withdrawn)", GradeSheet!$M38="I (Incomplete)"), 0, IF(BD43&gt;=65%, 1, 0))</f>
        <v>0</v>
      </c>
      <c r="BQ43" s="145">
        <f>IF(OR(GradeSheet!$M38="W (Withdrawn)", GradeSheet!$M38="I (Incomplete)"), 0, IF(BE43&gt;=65%, 1, 0))</f>
        <v>0</v>
      </c>
      <c r="BR43" s="145">
        <f>IF(OR(GradeSheet!$M38="W (Withdrawn)", GradeSheet!$M38="I (Incomplete)"), 0, IF(BF43&gt;=65%, 1, 0))</f>
        <v>0</v>
      </c>
    </row>
    <row r="44" spans="1:70" ht="15.75" customHeight="1">
      <c r="A44" s="147">
        <v>30</v>
      </c>
      <c r="B44" s="22"/>
      <c r="C44" s="30"/>
      <c r="D44" s="137"/>
      <c r="E44" s="137"/>
      <c r="F44" s="138"/>
      <c r="G44" s="138"/>
      <c r="H44" s="138"/>
      <c r="I44" s="138"/>
      <c r="J44" s="137"/>
      <c r="K44" s="137"/>
      <c r="L44" s="137"/>
      <c r="M44" s="138"/>
      <c r="N44" s="138"/>
      <c r="O44" s="138"/>
      <c r="P44" s="139"/>
      <c r="Q44" s="140"/>
      <c r="R44" s="140"/>
      <c r="S44" s="140"/>
      <c r="T44" s="140"/>
      <c r="U44" s="141"/>
      <c r="V44" s="139"/>
      <c r="W44" s="140"/>
      <c r="X44" s="140"/>
      <c r="Y44" s="140"/>
      <c r="Z44" s="140"/>
      <c r="AA44" s="141"/>
      <c r="AB44" s="142">
        <f t="shared" ref="AB44:AE44" si="72">SUM(V44,D44,J44)</f>
        <v>0</v>
      </c>
      <c r="AC44" s="143">
        <f t="shared" si="72"/>
        <v>0</v>
      </c>
      <c r="AD44" s="148">
        <f t="shared" si="72"/>
        <v>0</v>
      </c>
      <c r="AE44" s="148">
        <f t="shared" si="72"/>
        <v>0</v>
      </c>
      <c r="AF44" s="143">
        <f t="shared" si="8"/>
        <v>0</v>
      </c>
      <c r="AG44" s="148">
        <f t="shared" si="9"/>
        <v>0</v>
      </c>
      <c r="AH44" s="144">
        <f t="shared" ref="AH44:AM44" si="73">IF(AB44 = 0, 0, AB44/AB$14)</f>
        <v>0</v>
      </c>
      <c r="AI44" s="144">
        <f t="shared" si="73"/>
        <v>0</v>
      </c>
      <c r="AJ44" s="144">
        <f t="shared" si="73"/>
        <v>0</v>
      </c>
      <c r="AK44" s="144">
        <f t="shared" si="73"/>
        <v>0</v>
      </c>
      <c r="AL44" s="144">
        <f t="shared" si="73"/>
        <v>0</v>
      </c>
      <c r="AM44" s="144">
        <f t="shared" si="73"/>
        <v>0</v>
      </c>
      <c r="AN44" s="145">
        <f>IF(OR(GradeSheet!$M39="W (Withdrawn)", GradeSheet!$M39="I (Incomplete)"), 0, IF(AH44&gt;=55%, 1, 0))</f>
        <v>0</v>
      </c>
      <c r="AO44" s="145">
        <f>IF(OR(GradeSheet!$M39="W (Withdrawn)", GradeSheet!$M39="I (Incomplete)"), 0, IF(AI44&gt;=55%, 1, 0))</f>
        <v>0</v>
      </c>
      <c r="AP44" s="145">
        <f>IF(OR(GradeSheet!$M39="W (Withdrawn)", GradeSheet!$M39="I (Incomplete)"), 0, IF(AJ44&gt;=55%, 1, 0))</f>
        <v>0</v>
      </c>
      <c r="AQ44" s="145">
        <f>IF(OR(GradeSheet!$M39="W (Withdrawn)", GradeSheet!$M39="I (Incomplete)"), 0, IF(AK44&gt;=55%, 1, 0))</f>
        <v>0</v>
      </c>
      <c r="AR44" s="145">
        <f>IF(OR(GradeSheet!$M39="W (Withdrawn)", GradeSheet!$M39="I (Incomplete)"), 0, IF(AL44&gt;=55%, 1, 0))</f>
        <v>0</v>
      </c>
      <c r="AS44" s="145">
        <f>IF(OR(GradeSheet!$M39="W (Withdrawn)", GradeSheet!$M39="I (Incomplete)"), 0, IF(AM44&gt;=55%, 1, 0))</f>
        <v>0</v>
      </c>
      <c r="AT44" s="122"/>
      <c r="AU44" s="146">
        <f t="shared" si="11"/>
        <v>0</v>
      </c>
      <c r="AV44" s="146">
        <f t="shared" si="12"/>
        <v>0</v>
      </c>
      <c r="AW44" s="146">
        <f t="array" ref="AW44">IF($AV$9=0,0,MMULT($AH44:$AM44, AV$3:AV$8)/$AV$9)</f>
        <v>0</v>
      </c>
      <c r="AX44" s="146">
        <f t="array" ref="AX44">IF($AW$9=0,0,MMULT($AH44:$AM44, AW$3:AW$8)/$AW$9)</f>
        <v>0</v>
      </c>
      <c r="AY44" s="146">
        <f t="shared" si="13"/>
        <v>0</v>
      </c>
      <c r="AZ44" s="146">
        <f t="array" ref="AZ44">IF($AY$9=0,0,MMULT($AH44:$AM44, AY$3:AY$8)/$AY$9)</f>
        <v>0</v>
      </c>
      <c r="BA44" s="146">
        <f t="array" ref="BA44">IF($AZ$9=0,0,MMULT($AH44:$AM44, AZ$3:AZ$8)/$AZ$9)</f>
        <v>0</v>
      </c>
      <c r="BB44" s="146">
        <f t="array" ref="BB44">IF($BA$9=0,0,MMULT($AH44:$AM44, BA$3:BA$8)/$BA$9)</f>
        <v>0</v>
      </c>
      <c r="BC44" s="146">
        <f t="array" ref="BC44">IF($BB$9=0,0,MMULT($AH44:$AM44, BB$3:BB$8)/$BB$9)</f>
        <v>0</v>
      </c>
      <c r="BD44" s="146">
        <f t="array" ref="BD44">IF($BC$9=0,0,MMULT($AH44:$AM44, BC$3:BC$8)/$BC$9)</f>
        <v>0</v>
      </c>
      <c r="BE44" s="146">
        <f t="shared" si="14"/>
        <v>0</v>
      </c>
      <c r="BF44" s="146">
        <f t="shared" si="15"/>
        <v>0</v>
      </c>
      <c r="BG44" s="145">
        <f>IF(OR(GradeSheet!$M39="W (Withdrawn)", GradeSheet!$M39="I (Incomplete)"), 0, IF(AU44&gt;=65%, 1, 0))</f>
        <v>0</v>
      </c>
      <c r="BH44" s="145">
        <f>IF(OR(GradeSheet!$M39="W (Withdrawn)", GradeSheet!$M39="I (Incomplete)"), 0, IF(AV44&gt;=65%, 1, 0))</f>
        <v>0</v>
      </c>
      <c r="BI44" s="145">
        <f>IF(OR(GradeSheet!$M39="W (Withdrawn)", GradeSheet!$M39="I (Incomplete)"), 0, IF(AW44&gt;=65%, 1, 0))</f>
        <v>0</v>
      </c>
      <c r="BJ44" s="145">
        <f>IF(OR(GradeSheet!$M39="W (Withdrawn)", GradeSheet!$M39="I (Incomplete)"), 0, IF(AX44&gt;=65%, 1, 0))</f>
        <v>0</v>
      </c>
      <c r="BK44" s="145">
        <f>IF(OR(GradeSheet!$M39="W (Withdrawn)", GradeSheet!$M39="I (Incomplete)"), 0, IF(AY44&gt;=65%, 1, 0))</f>
        <v>0</v>
      </c>
      <c r="BL44" s="145">
        <f>IF(OR(GradeSheet!$M39="W (Withdrawn)", GradeSheet!$M39="I (Incomplete)"), 0, IF(AZ44&gt;=65%, 1, 0))</f>
        <v>0</v>
      </c>
      <c r="BM44" s="145">
        <f>IF(OR(GradeSheet!$M39="W (Withdrawn)", GradeSheet!$M39="I (Incomplete)"), 0, IF(BA44&gt;=65%, 1, 0))</f>
        <v>0</v>
      </c>
      <c r="BN44" s="145">
        <f>IF(OR(GradeSheet!$M39="W (Withdrawn)", GradeSheet!$M39="I (Incomplete)"), 0, IF(BB44&gt;=65%, 1, 0))</f>
        <v>0</v>
      </c>
      <c r="BO44" s="145">
        <f>IF(OR(GradeSheet!$M39="W (Withdrawn)", GradeSheet!$M39="I (Incomplete)"), 0, IF(BC44&gt;=65%, 1, 0))</f>
        <v>0</v>
      </c>
      <c r="BP44" s="145">
        <f>IF(OR(GradeSheet!$M39="W (Withdrawn)", GradeSheet!$M39="I (Incomplete)"), 0, IF(BD44&gt;=65%, 1, 0))</f>
        <v>0</v>
      </c>
      <c r="BQ44" s="145">
        <f>IF(OR(GradeSheet!$M39="W (Withdrawn)", GradeSheet!$M39="I (Incomplete)"), 0, IF(BE44&gt;=65%, 1, 0))</f>
        <v>0</v>
      </c>
      <c r="BR44" s="145">
        <f>IF(OR(GradeSheet!$M39="W (Withdrawn)", GradeSheet!$M39="I (Incomplete)"), 0, IF(BF44&gt;=65%, 1, 0))</f>
        <v>0</v>
      </c>
    </row>
    <row r="45" spans="1:70" ht="15.75" customHeight="1">
      <c r="A45" s="136">
        <v>31</v>
      </c>
      <c r="B45" s="22"/>
      <c r="C45" s="30"/>
      <c r="D45" s="137"/>
      <c r="E45" s="137"/>
      <c r="F45" s="138"/>
      <c r="G45" s="138"/>
      <c r="H45" s="138"/>
      <c r="I45" s="138"/>
      <c r="J45" s="137"/>
      <c r="K45" s="137"/>
      <c r="L45" s="137"/>
      <c r="M45" s="138"/>
      <c r="N45" s="138"/>
      <c r="O45" s="138"/>
      <c r="P45" s="139"/>
      <c r="Q45" s="140"/>
      <c r="R45" s="140"/>
      <c r="S45" s="140"/>
      <c r="T45" s="140"/>
      <c r="U45" s="141"/>
      <c r="V45" s="139"/>
      <c r="W45" s="140"/>
      <c r="X45" s="140"/>
      <c r="Y45" s="140"/>
      <c r="Z45" s="140"/>
      <c r="AA45" s="141"/>
      <c r="AB45" s="142">
        <f t="shared" ref="AB45:AE45" si="74">SUM(V45,D45,J45)</f>
        <v>0</v>
      </c>
      <c r="AC45" s="143">
        <f t="shared" si="74"/>
        <v>0</v>
      </c>
      <c r="AD45" s="148">
        <f t="shared" si="74"/>
        <v>0</v>
      </c>
      <c r="AE45" s="148">
        <f t="shared" si="74"/>
        <v>0</v>
      </c>
      <c r="AF45" s="143">
        <f t="shared" si="8"/>
        <v>0</v>
      </c>
      <c r="AG45" s="148">
        <f t="shared" si="9"/>
        <v>0</v>
      </c>
      <c r="AH45" s="144">
        <f t="shared" ref="AH45:AM45" si="75">IF(AB45 = 0, 0, AB45/AB$14)</f>
        <v>0</v>
      </c>
      <c r="AI45" s="144">
        <f t="shared" si="75"/>
        <v>0</v>
      </c>
      <c r="AJ45" s="144">
        <f t="shared" si="75"/>
        <v>0</v>
      </c>
      <c r="AK45" s="144">
        <f t="shared" si="75"/>
        <v>0</v>
      </c>
      <c r="AL45" s="144">
        <f t="shared" si="75"/>
        <v>0</v>
      </c>
      <c r="AM45" s="144">
        <f t="shared" si="75"/>
        <v>0</v>
      </c>
      <c r="AN45" s="145">
        <f>IF(OR(GradeSheet!$M40="W (Withdrawn)", GradeSheet!$M40="I (Incomplete)"), 0, IF(AH45&gt;=55%, 1, 0))</f>
        <v>0</v>
      </c>
      <c r="AO45" s="145">
        <f>IF(OR(GradeSheet!$M40="W (Withdrawn)", GradeSheet!$M40="I (Incomplete)"), 0, IF(AI45&gt;=55%, 1, 0))</f>
        <v>0</v>
      </c>
      <c r="AP45" s="145">
        <f>IF(OR(GradeSheet!$M40="W (Withdrawn)", GradeSheet!$M40="I (Incomplete)"), 0, IF(AJ45&gt;=55%, 1, 0))</f>
        <v>0</v>
      </c>
      <c r="AQ45" s="145">
        <f>IF(OR(GradeSheet!$M40="W (Withdrawn)", GradeSheet!$M40="I (Incomplete)"), 0, IF(AK45&gt;=55%, 1, 0))</f>
        <v>0</v>
      </c>
      <c r="AR45" s="145">
        <f>IF(OR(GradeSheet!$M40="W (Withdrawn)", GradeSheet!$M40="I (Incomplete)"), 0, IF(AL45&gt;=55%, 1, 0))</f>
        <v>0</v>
      </c>
      <c r="AS45" s="145">
        <f>IF(OR(GradeSheet!$M40="W (Withdrawn)", GradeSheet!$M40="I (Incomplete)"), 0, IF(AM45&gt;=55%, 1, 0))</f>
        <v>0</v>
      </c>
      <c r="AT45" s="122"/>
      <c r="AU45" s="146">
        <f t="shared" si="11"/>
        <v>0</v>
      </c>
      <c r="AV45" s="146">
        <f t="shared" si="12"/>
        <v>0</v>
      </c>
      <c r="AW45" s="146">
        <f t="array" ref="AW45">IF($AV$9=0,0,MMULT($AH45:$AM45, AV$3:AV$8)/$AV$9)</f>
        <v>0</v>
      </c>
      <c r="AX45" s="146">
        <f t="array" ref="AX45">IF($AW$9=0,0,MMULT($AH45:$AM45, AW$3:AW$8)/$AW$9)</f>
        <v>0</v>
      </c>
      <c r="AY45" s="146">
        <f t="shared" si="13"/>
        <v>0</v>
      </c>
      <c r="AZ45" s="146">
        <f t="array" ref="AZ45">IF($AY$9=0,0,MMULT($AH45:$AM45, AY$3:AY$8)/$AY$9)</f>
        <v>0</v>
      </c>
      <c r="BA45" s="146">
        <f t="array" ref="BA45">IF($AZ$9=0,0,MMULT($AH45:$AM45, AZ$3:AZ$8)/$AZ$9)</f>
        <v>0</v>
      </c>
      <c r="BB45" s="146">
        <f t="array" ref="BB45">IF($BA$9=0,0,MMULT($AH45:$AM45, BA$3:BA$8)/$BA$9)</f>
        <v>0</v>
      </c>
      <c r="BC45" s="146">
        <f t="array" ref="BC45">IF($BB$9=0,0,MMULT($AH45:$AM45, BB$3:BB$8)/$BB$9)</f>
        <v>0</v>
      </c>
      <c r="BD45" s="146">
        <f t="array" ref="BD45">IF($BC$9=0,0,MMULT($AH45:$AM45, BC$3:BC$8)/$BC$9)</f>
        <v>0</v>
      </c>
      <c r="BE45" s="146">
        <f t="shared" si="14"/>
        <v>0</v>
      </c>
      <c r="BF45" s="146">
        <f t="shared" si="15"/>
        <v>0</v>
      </c>
      <c r="BG45" s="145">
        <f>IF(OR(GradeSheet!$M40="W (Withdrawn)", GradeSheet!$M40="I (Incomplete)"), 0, IF(AU45&gt;=65%, 1, 0))</f>
        <v>0</v>
      </c>
      <c r="BH45" s="145">
        <f>IF(OR(GradeSheet!$M40="W (Withdrawn)", GradeSheet!$M40="I (Incomplete)"), 0, IF(AV45&gt;=65%, 1, 0))</f>
        <v>0</v>
      </c>
      <c r="BI45" s="145">
        <f>IF(OR(GradeSheet!$M40="W (Withdrawn)", GradeSheet!$M40="I (Incomplete)"), 0, IF(AW45&gt;=65%, 1, 0))</f>
        <v>0</v>
      </c>
      <c r="BJ45" s="145">
        <f>IF(OR(GradeSheet!$M40="W (Withdrawn)", GradeSheet!$M40="I (Incomplete)"), 0, IF(AX45&gt;=65%, 1, 0))</f>
        <v>0</v>
      </c>
      <c r="BK45" s="145">
        <f>IF(OR(GradeSheet!$M40="W (Withdrawn)", GradeSheet!$M40="I (Incomplete)"), 0, IF(AY45&gt;=65%, 1, 0))</f>
        <v>0</v>
      </c>
      <c r="BL45" s="145">
        <f>IF(OR(GradeSheet!$M40="W (Withdrawn)", GradeSheet!$M40="I (Incomplete)"), 0, IF(AZ45&gt;=65%, 1, 0))</f>
        <v>0</v>
      </c>
      <c r="BM45" s="145">
        <f>IF(OR(GradeSheet!$M40="W (Withdrawn)", GradeSheet!$M40="I (Incomplete)"), 0, IF(BA45&gt;=65%, 1, 0))</f>
        <v>0</v>
      </c>
      <c r="BN45" s="145">
        <f>IF(OR(GradeSheet!$M40="W (Withdrawn)", GradeSheet!$M40="I (Incomplete)"), 0, IF(BB45&gt;=65%, 1, 0))</f>
        <v>0</v>
      </c>
      <c r="BO45" s="145">
        <f>IF(OR(GradeSheet!$M40="W (Withdrawn)", GradeSheet!$M40="I (Incomplete)"), 0, IF(BC45&gt;=65%, 1, 0))</f>
        <v>0</v>
      </c>
      <c r="BP45" s="145">
        <f>IF(OR(GradeSheet!$M40="W (Withdrawn)", GradeSheet!$M40="I (Incomplete)"), 0, IF(BD45&gt;=65%, 1, 0))</f>
        <v>0</v>
      </c>
      <c r="BQ45" s="145">
        <f>IF(OR(GradeSheet!$M40="W (Withdrawn)", GradeSheet!$M40="I (Incomplete)"), 0, IF(BE45&gt;=65%, 1, 0))</f>
        <v>0</v>
      </c>
      <c r="BR45" s="145">
        <f>IF(OR(GradeSheet!$M40="W (Withdrawn)", GradeSheet!$M40="I (Incomplete)"), 0, IF(BF45&gt;=65%, 1, 0))</f>
        <v>0</v>
      </c>
    </row>
    <row r="46" spans="1:70" ht="15.75" customHeight="1">
      <c r="A46" s="147">
        <v>32</v>
      </c>
      <c r="B46" s="22"/>
      <c r="C46" s="30"/>
      <c r="D46" s="137"/>
      <c r="E46" s="137"/>
      <c r="F46" s="138"/>
      <c r="G46" s="138"/>
      <c r="H46" s="138"/>
      <c r="I46" s="138"/>
      <c r="J46" s="137"/>
      <c r="K46" s="137"/>
      <c r="L46" s="137"/>
      <c r="M46" s="138"/>
      <c r="N46" s="138"/>
      <c r="O46" s="138"/>
      <c r="P46" s="139"/>
      <c r="Q46" s="140"/>
      <c r="R46" s="140" t="s">
        <v>145</v>
      </c>
      <c r="S46" s="140"/>
      <c r="T46" s="140"/>
      <c r="U46" s="141"/>
      <c r="V46" s="139"/>
      <c r="W46" s="140"/>
      <c r="X46" s="140"/>
      <c r="Y46" s="140"/>
      <c r="Z46" s="140"/>
      <c r="AA46" s="141"/>
      <c r="AB46" s="142">
        <f t="shared" ref="AB46:AE46" si="76">SUM(V46,D46,J46)</f>
        <v>0</v>
      </c>
      <c r="AC46" s="143">
        <f t="shared" si="76"/>
        <v>0</v>
      </c>
      <c r="AD46" s="148">
        <f t="shared" si="76"/>
        <v>0</v>
      </c>
      <c r="AE46" s="148">
        <f t="shared" si="76"/>
        <v>0</v>
      </c>
      <c r="AF46" s="143">
        <f t="shared" si="8"/>
        <v>0</v>
      </c>
      <c r="AG46" s="148">
        <f t="shared" si="9"/>
        <v>0</v>
      </c>
      <c r="AH46" s="144">
        <f t="shared" ref="AH46:AM46" si="77">IF(AB46 = 0, 0, AB46/AB$14)</f>
        <v>0</v>
      </c>
      <c r="AI46" s="144">
        <f t="shared" si="77"/>
        <v>0</v>
      </c>
      <c r="AJ46" s="144">
        <f t="shared" si="77"/>
        <v>0</v>
      </c>
      <c r="AK46" s="144">
        <f t="shared" si="77"/>
        <v>0</v>
      </c>
      <c r="AL46" s="144">
        <f t="shared" si="77"/>
        <v>0</v>
      </c>
      <c r="AM46" s="144">
        <f t="shared" si="77"/>
        <v>0</v>
      </c>
      <c r="AN46" s="145">
        <f>IF(OR(GradeSheet!$M41="W (Withdrawn)", GradeSheet!$M41="I (Incomplete)"), 0, IF(AH46&gt;=55%, 1, 0))</f>
        <v>0</v>
      </c>
      <c r="AO46" s="145">
        <f>IF(OR(GradeSheet!$M41="W (Withdrawn)", GradeSheet!$M41="I (Incomplete)"), 0, IF(AI46&gt;=55%, 1, 0))</f>
        <v>0</v>
      </c>
      <c r="AP46" s="145">
        <f>IF(OR(GradeSheet!$M41="W (Withdrawn)", GradeSheet!$M41="I (Incomplete)"), 0, IF(AJ46&gt;=55%, 1, 0))</f>
        <v>0</v>
      </c>
      <c r="AQ46" s="145">
        <f>IF(OR(GradeSheet!$M41="W (Withdrawn)", GradeSheet!$M41="I (Incomplete)"), 0, IF(AK46&gt;=55%, 1, 0))</f>
        <v>0</v>
      </c>
      <c r="AR46" s="145">
        <f>IF(OR(GradeSheet!$M41="W (Withdrawn)", GradeSheet!$M41="I (Incomplete)"), 0, IF(AL46&gt;=55%, 1, 0))</f>
        <v>0</v>
      </c>
      <c r="AS46" s="145">
        <f>IF(OR(GradeSheet!$M41="W (Withdrawn)", GradeSheet!$M41="I (Incomplete)"), 0, IF(AM46&gt;=55%, 1, 0))</f>
        <v>0</v>
      </c>
      <c r="AT46" s="122"/>
      <c r="AU46" s="146">
        <f t="shared" si="11"/>
        <v>0</v>
      </c>
      <c r="AV46" s="146">
        <f t="shared" si="12"/>
        <v>0</v>
      </c>
      <c r="AW46" s="146">
        <f t="array" ref="AW46">IF($AV$9=0,0,MMULT($AH46:$AM46, AV$3:AV$8)/$AV$9)</f>
        <v>0</v>
      </c>
      <c r="AX46" s="146">
        <f t="array" ref="AX46">IF($AW$9=0,0,MMULT($AH46:$AM46, AW$3:AW$8)/$AW$9)</f>
        <v>0</v>
      </c>
      <c r="AY46" s="146">
        <f t="shared" si="13"/>
        <v>0</v>
      </c>
      <c r="AZ46" s="146">
        <f t="array" ref="AZ46">IF($AY$9=0,0,MMULT($AH46:$AM46, AY$3:AY$8)/$AY$9)</f>
        <v>0</v>
      </c>
      <c r="BA46" s="146">
        <f t="array" ref="BA46">IF($AZ$9=0,0,MMULT($AH46:$AM46, AZ$3:AZ$8)/$AZ$9)</f>
        <v>0</v>
      </c>
      <c r="BB46" s="146">
        <f t="array" ref="BB46">IF($BA$9=0,0,MMULT($AH46:$AM46, BA$3:BA$8)/$BA$9)</f>
        <v>0</v>
      </c>
      <c r="BC46" s="146">
        <f t="array" ref="BC46">IF($BB$9=0,0,MMULT($AH46:$AM46, BB$3:BB$8)/$BB$9)</f>
        <v>0</v>
      </c>
      <c r="BD46" s="146">
        <f t="array" ref="BD46">IF($BC$9=0,0,MMULT($AH46:$AM46, BC$3:BC$8)/$BC$9)</f>
        <v>0</v>
      </c>
      <c r="BE46" s="146">
        <f t="shared" si="14"/>
        <v>0</v>
      </c>
      <c r="BF46" s="146">
        <f t="shared" si="15"/>
        <v>0</v>
      </c>
      <c r="BG46" s="145">
        <f>IF(OR(GradeSheet!$M41="W (Withdrawn)", GradeSheet!$M41="I (Incomplete)"), 0, IF(AU46&gt;=65%, 1, 0))</f>
        <v>0</v>
      </c>
      <c r="BH46" s="145">
        <f>IF(OR(GradeSheet!$M41="W (Withdrawn)", GradeSheet!$M41="I (Incomplete)"), 0, IF(AV46&gt;=65%, 1, 0))</f>
        <v>0</v>
      </c>
      <c r="BI46" s="145">
        <f>IF(OR(GradeSheet!$M41="W (Withdrawn)", GradeSheet!$M41="I (Incomplete)"), 0, IF(AW46&gt;=65%, 1, 0))</f>
        <v>0</v>
      </c>
      <c r="BJ46" s="145">
        <f>IF(OR(GradeSheet!$M41="W (Withdrawn)", GradeSheet!$M41="I (Incomplete)"), 0, IF(AX46&gt;=65%, 1, 0))</f>
        <v>0</v>
      </c>
      <c r="BK46" s="145">
        <f>IF(OR(GradeSheet!$M41="W (Withdrawn)", GradeSheet!$M41="I (Incomplete)"), 0, IF(AY46&gt;=65%, 1, 0))</f>
        <v>0</v>
      </c>
      <c r="BL46" s="145">
        <f>IF(OR(GradeSheet!$M41="W (Withdrawn)", GradeSheet!$M41="I (Incomplete)"), 0, IF(AZ46&gt;=65%, 1, 0))</f>
        <v>0</v>
      </c>
      <c r="BM46" s="145">
        <f>IF(OR(GradeSheet!$M41="W (Withdrawn)", GradeSheet!$M41="I (Incomplete)"), 0, IF(BA46&gt;=65%, 1, 0))</f>
        <v>0</v>
      </c>
      <c r="BN46" s="145">
        <f>IF(OR(GradeSheet!$M41="W (Withdrawn)", GradeSheet!$M41="I (Incomplete)"), 0, IF(BB46&gt;=65%, 1, 0))</f>
        <v>0</v>
      </c>
      <c r="BO46" s="145">
        <f>IF(OR(GradeSheet!$M41="W (Withdrawn)", GradeSheet!$M41="I (Incomplete)"), 0, IF(BC46&gt;=65%, 1, 0))</f>
        <v>0</v>
      </c>
      <c r="BP46" s="145">
        <f>IF(OR(GradeSheet!$M41="W (Withdrawn)", GradeSheet!$M41="I (Incomplete)"), 0, IF(BD46&gt;=65%, 1, 0))</f>
        <v>0</v>
      </c>
      <c r="BQ46" s="145">
        <f>IF(OR(GradeSheet!$M41="W (Withdrawn)", GradeSheet!$M41="I (Incomplete)"), 0, IF(BE46&gt;=65%, 1, 0))</f>
        <v>0</v>
      </c>
      <c r="BR46" s="145">
        <f>IF(OR(GradeSheet!$M41="W (Withdrawn)", GradeSheet!$M41="I (Incomplete)"), 0, IF(BF46&gt;=65%, 1, 0))</f>
        <v>0</v>
      </c>
    </row>
    <row r="47" spans="1:70" ht="15.75" customHeight="1">
      <c r="A47" s="136">
        <v>33</v>
      </c>
      <c r="B47" s="22"/>
      <c r="C47" s="30"/>
      <c r="D47" s="137"/>
      <c r="E47" s="137"/>
      <c r="F47" s="138"/>
      <c r="G47" s="138"/>
      <c r="H47" s="138"/>
      <c r="I47" s="138"/>
      <c r="J47" s="137"/>
      <c r="K47" s="137"/>
      <c r="L47" s="137"/>
      <c r="M47" s="138"/>
      <c r="N47" s="138"/>
      <c r="O47" s="138"/>
      <c r="P47" s="139"/>
      <c r="Q47" s="140"/>
      <c r="R47" s="140"/>
      <c r="S47" s="140"/>
      <c r="T47" s="140"/>
      <c r="U47" s="141"/>
      <c r="V47" s="139"/>
      <c r="W47" s="140"/>
      <c r="X47" s="140"/>
      <c r="Y47" s="140"/>
      <c r="Z47" s="140"/>
      <c r="AA47" s="141"/>
      <c r="AB47" s="142">
        <f t="shared" ref="AB47:AE47" si="78">SUM(V47,D47,J47)</f>
        <v>0</v>
      </c>
      <c r="AC47" s="143">
        <f t="shared" si="78"/>
        <v>0</v>
      </c>
      <c r="AD47" s="148">
        <f t="shared" si="78"/>
        <v>0</v>
      </c>
      <c r="AE47" s="148">
        <f t="shared" si="78"/>
        <v>0</v>
      </c>
      <c r="AF47" s="143">
        <f t="shared" si="8"/>
        <v>0</v>
      </c>
      <c r="AG47" s="148">
        <f t="shared" si="9"/>
        <v>0</v>
      </c>
      <c r="AH47" s="144">
        <f t="shared" ref="AH47:AM47" si="79">IF(AB47 = 0, 0, AB47/AB$14)</f>
        <v>0</v>
      </c>
      <c r="AI47" s="144">
        <f t="shared" si="79"/>
        <v>0</v>
      </c>
      <c r="AJ47" s="144">
        <f t="shared" si="79"/>
        <v>0</v>
      </c>
      <c r="AK47" s="144">
        <f t="shared" si="79"/>
        <v>0</v>
      </c>
      <c r="AL47" s="144">
        <f t="shared" si="79"/>
        <v>0</v>
      </c>
      <c r="AM47" s="144">
        <f t="shared" si="79"/>
        <v>0</v>
      </c>
      <c r="AN47" s="145">
        <f>IF(OR(GradeSheet!$M42="W (Withdrawn)", GradeSheet!$M42="I (Incomplete)"), 0, IF(AH47&gt;=55%, 1, 0))</f>
        <v>0</v>
      </c>
      <c r="AO47" s="145">
        <f>IF(OR(GradeSheet!$M42="W (Withdrawn)", GradeSheet!$M42="I (Incomplete)"), 0, IF(AI47&gt;=55%, 1, 0))</f>
        <v>0</v>
      </c>
      <c r="AP47" s="145">
        <f>IF(OR(GradeSheet!$M42="W (Withdrawn)", GradeSheet!$M42="I (Incomplete)"), 0, IF(AJ47&gt;=55%, 1, 0))</f>
        <v>0</v>
      </c>
      <c r="AQ47" s="145">
        <f>IF(OR(GradeSheet!$M42="W (Withdrawn)", GradeSheet!$M42="I (Incomplete)"), 0, IF(AK47&gt;=55%, 1, 0))</f>
        <v>0</v>
      </c>
      <c r="AR47" s="145">
        <f>IF(OR(GradeSheet!$M42="W (Withdrawn)", GradeSheet!$M42="I (Incomplete)"), 0, IF(AL47&gt;=55%, 1, 0))</f>
        <v>0</v>
      </c>
      <c r="AS47" s="145">
        <f>IF(OR(GradeSheet!$M42="W (Withdrawn)", GradeSheet!$M42="I (Incomplete)"), 0, IF(AM47&gt;=55%, 1, 0))</f>
        <v>0</v>
      </c>
      <c r="AT47" s="122"/>
      <c r="AU47" s="146">
        <f t="shared" si="11"/>
        <v>0</v>
      </c>
      <c r="AV47" s="146">
        <f t="shared" si="12"/>
        <v>0</v>
      </c>
      <c r="AW47" s="146">
        <f t="array" ref="AW47">IF($AV$9=0,0,MMULT($AH47:$AM47, AV$3:AV$8)/$AV$9)</f>
        <v>0</v>
      </c>
      <c r="AX47" s="146">
        <f t="array" ref="AX47">IF($AW$9=0,0,MMULT($AH47:$AM47, AW$3:AW$8)/$AW$9)</f>
        <v>0</v>
      </c>
      <c r="AY47" s="146">
        <f t="shared" si="13"/>
        <v>0</v>
      </c>
      <c r="AZ47" s="146">
        <f t="array" ref="AZ47">IF($AY$9=0,0,MMULT($AH47:$AM47, AY$3:AY$8)/$AY$9)</f>
        <v>0</v>
      </c>
      <c r="BA47" s="146">
        <f t="array" ref="BA47">IF($AZ$9=0,0,MMULT($AH47:$AM47, AZ$3:AZ$8)/$AZ$9)</f>
        <v>0</v>
      </c>
      <c r="BB47" s="146">
        <f t="array" ref="BB47">IF($BA$9=0,0,MMULT($AH47:$AM47, BA$3:BA$8)/$BA$9)</f>
        <v>0</v>
      </c>
      <c r="BC47" s="146">
        <f t="array" ref="BC47">IF($BB$9=0,0,MMULT($AH47:$AM47, BB$3:BB$8)/$BB$9)</f>
        <v>0</v>
      </c>
      <c r="BD47" s="146">
        <f t="array" ref="BD47">IF($BC$9=0,0,MMULT($AH47:$AM47, BC$3:BC$8)/$BC$9)</f>
        <v>0</v>
      </c>
      <c r="BE47" s="146">
        <f t="shared" si="14"/>
        <v>0</v>
      </c>
      <c r="BF47" s="146">
        <f t="shared" si="15"/>
        <v>0</v>
      </c>
      <c r="BG47" s="145">
        <f>IF(OR(GradeSheet!$M42="W (Withdrawn)", GradeSheet!$M42="I (Incomplete)"), 0, IF(AU47&gt;=65%, 1, 0))</f>
        <v>0</v>
      </c>
      <c r="BH47" s="145">
        <f>IF(OR(GradeSheet!$M42="W (Withdrawn)", GradeSheet!$M42="I (Incomplete)"), 0, IF(AV47&gt;=65%, 1, 0))</f>
        <v>0</v>
      </c>
      <c r="BI47" s="145">
        <f>IF(OR(GradeSheet!$M42="W (Withdrawn)", GradeSheet!$M42="I (Incomplete)"), 0, IF(AW47&gt;=65%, 1, 0))</f>
        <v>0</v>
      </c>
      <c r="BJ47" s="145">
        <f>IF(OR(GradeSheet!$M42="W (Withdrawn)", GradeSheet!$M42="I (Incomplete)"), 0, IF(AX47&gt;=65%, 1, 0))</f>
        <v>0</v>
      </c>
      <c r="BK47" s="145">
        <f>IF(OR(GradeSheet!$M42="W (Withdrawn)", GradeSheet!$M42="I (Incomplete)"), 0, IF(AY47&gt;=65%, 1, 0))</f>
        <v>0</v>
      </c>
      <c r="BL47" s="145">
        <f>IF(OR(GradeSheet!$M42="W (Withdrawn)", GradeSheet!$M42="I (Incomplete)"), 0, IF(AZ47&gt;=65%, 1, 0))</f>
        <v>0</v>
      </c>
      <c r="BM47" s="145">
        <f>IF(OR(GradeSheet!$M42="W (Withdrawn)", GradeSheet!$M42="I (Incomplete)"), 0, IF(BA47&gt;=65%, 1, 0))</f>
        <v>0</v>
      </c>
      <c r="BN47" s="145">
        <f>IF(OR(GradeSheet!$M42="W (Withdrawn)", GradeSheet!$M42="I (Incomplete)"), 0, IF(BB47&gt;=65%, 1, 0))</f>
        <v>0</v>
      </c>
      <c r="BO47" s="145">
        <f>IF(OR(GradeSheet!$M42="W (Withdrawn)", GradeSheet!$M42="I (Incomplete)"), 0, IF(BC47&gt;=65%, 1, 0))</f>
        <v>0</v>
      </c>
      <c r="BP47" s="145">
        <f>IF(OR(GradeSheet!$M42="W (Withdrawn)", GradeSheet!$M42="I (Incomplete)"), 0, IF(BD47&gt;=65%, 1, 0))</f>
        <v>0</v>
      </c>
      <c r="BQ47" s="145">
        <f>IF(OR(GradeSheet!$M42="W (Withdrawn)", GradeSheet!$M42="I (Incomplete)"), 0, IF(BE47&gt;=65%, 1, 0))</f>
        <v>0</v>
      </c>
      <c r="BR47" s="145">
        <f>IF(OR(GradeSheet!$M42="W (Withdrawn)", GradeSheet!$M42="I (Incomplete)"), 0, IF(BF47&gt;=65%, 1, 0))</f>
        <v>0</v>
      </c>
    </row>
    <row r="48" spans="1:70" ht="15.75" customHeight="1">
      <c r="A48" s="147">
        <v>34</v>
      </c>
      <c r="B48" s="22"/>
      <c r="C48" s="30"/>
      <c r="D48" s="137"/>
      <c r="E48" s="137"/>
      <c r="F48" s="138"/>
      <c r="G48" s="138"/>
      <c r="H48" s="138"/>
      <c r="I48" s="138"/>
      <c r="J48" s="137"/>
      <c r="K48" s="137"/>
      <c r="L48" s="137"/>
      <c r="M48" s="138"/>
      <c r="N48" s="138"/>
      <c r="O48" s="138"/>
      <c r="P48" s="139"/>
      <c r="Q48" s="140"/>
      <c r="R48" s="140"/>
      <c r="S48" s="140"/>
      <c r="T48" s="140"/>
      <c r="U48" s="141"/>
      <c r="V48" s="139"/>
      <c r="W48" s="140"/>
      <c r="X48" s="140"/>
      <c r="Y48" s="140"/>
      <c r="Z48" s="140"/>
      <c r="AA48" s="141"/>
      <c r="AB48" s="142">
        <f t="shared" ref="AB48:AE48" si="80">SUM(V48,D48,J48)</f>
        <v>0</v>
      </c>
      <c r="AC48" s="143">
        <f t="shared" si="80"/>
        <v>0</v>
      </c>
      <c r="AD48" s="148">
        <f t="shared" si="80"/>
        <v>0</v>
      </c>
      <c r="AE48" s="148">
        <f t="shared" si="80"/>
        <v>0</v>
      </c>
      <c r="AF48" s="143">
        <f t="shared" si="8"/>
        <v>0</v>
      </c>
      <c r="AG48" s="148">
        <f t="shared" si="9"/>
        <v>0</v>
      </c>
      <c r="AH48" s="144">
        <f t="shared" ref="AH48:AM48" si="81">IF(AB48 = 0, 0, AB48/AB$14)</f>
        <v>0</v>
      </c>
      <c r="AI48" s="144">
        <f t="shared" si="81"/>
        <v>0</v>
      </c>
      <c r="AJ48" s="144">
        <f t="shared" si="81"/>
        <v>0</v>
      </c>
      <c r="AK48" s="144">
        <f t="shared" si="81"/>
        <v>0</v>
      </c>
      <c r="AL48" s="144">
        <f t="shared" si="81"/>
        <v>0</v>
      </c>
      <c r="AM48" s="144">
        <f t="shared" si="81"/>
        <v>0</v>
      </c>
      <c r="AN48" s="145">
        <f>IF(OR(GradeSheet!$M43="W (Withdrawn)", GradeSheet!$M43="I (Incomplete)"), 0, IF(AH48&gt;=55%, 1, 0))</f>
        <v>0</v>
      </c>
      <c r="AO48" s="145">
        <f>IF(OR(GradeSheet!$M43="W (Withdrawn)", GradeSheet!$M43="I (Incomplete)"), 0, IF(AI48&gt;=55%, 1, 0))</f>
        <v>0</v>
      </c>
      <c r="AP48" s="145">
        <f>IF(OR(GradeSheet!$M43="W (Withdrawn)", GradeSheet!$M43="I (Incomplete)"), 0, IF(AJ48&gt;=55%, 1, 0))</f>
        <v>0</v>
      </c>
      <c r="AQ48" s="145">
        <f>IF(OR(GradeSheet!$M43="W (Withdrawn)", GradeSheet!$M43="I (Incomplete)"), 0, IF(AK48&gt;=55%, 1, 0))</f>
        <v>0</v>
      </c>
      <c r="AR48" s="145">
        <f>IF(OR(GradeSheet!$M43="W (Withdrawn)", GradeSheet!$M43="I (Incomplete)"), 0, IF(AL48&gt;=55%, 1, 0))</f>
        <v>0</v>
      </c>
      <c r="AS48" s="145">
        <f>IF(OR(GradeSheet!$M43="W (Withdrawn)", GradeSheet!$M43="I (Incomplete)"), 0, IF(AM48&gt;=55%, 1, 0))</f>
        <v>0</v>
      </c>
      <c r="AT48" s="122"/>
      <c r="AU48" s="146">
        <f t="shared" si="11"/>
        <v>0</v>
      </c>
      <c r="AV48" s="146">
        <f t="shared" si="12"/>
        <v>0</v>
      </c>
      <c r="AW48" s="146">
        <f t="array" ref="AW48">IF($AV$9=0,0,MMULT($AH48:$AM48, AV$3:AV$8)/$AV$9)</f>
        <v>0</v>
      </c>
      <c r="AX48" s="146">
        <f t="array" ref="AX48">IF($AW$9=0,0,MMULT($AH48:$AM48, AW$3:AW$8)/$AW$9)</f>
        <v>0</v>
      </c>
      <c r="AY48" s="146">
        <f t="shared" si="13"/>
        <v>0</v>
      </c>
      <c r="AZ48" s="146">
        <f t="array" ref="AZ48">IF($AY$9=0,0,MMULT($AH48:$AM48, AY$3:AY$8)/$AY$9)</f>
        <v>0</v>
      </c>
      <c r="BA48" s="146">
        <f t="array" ref="BA48">IF($AZ$9=0,0,MMULT($AH48:$AM48, AZ$3:AZ$8)/$AZ$9)</f>
        <v>0</v>
      </c>
      <c r="BB48" s="146">
        <f t="array" ref="BB48">IF($BA$9=0,0,MMULT($AH48:$AM48, BA$3:BA$8)/$BA$9)</f>
        <v>0</v>
      </c>
      <c r="BC48" s="146">
        <f t="array" ref="BC48">IF($BB$9=0,0,MMULT($AH48:$AM48, BB$3:BB$8)/$BB$9)</f>
        <v>0</v>
      </c>
      <c r="BD48" s="146">
        <f t="array" ref="BD48">IF($BC$9=0,0,MMULT($AH48:$AM48, BC$3:BC$8)/$BC$9)</f>
        <v>0</v>
      </c>
      <c r="BE48" s="146">
        <f t="shared" si="14"/>
        <v>0</v>
      </c>
      <c r="BF48" s="146">
        <f t="shared" si="15"/>
        <v>0</v>
      </c>
      <c r="BG48" s="145">
        <f>IF(OR(GradeSheet!$M43="W (Withdrawn)", GradeSheet!$M43="I (Incomplete)"), 0, IF(AU48&gt;=65%, 1, 0))</f>
        <v>0</v>
      </c>
      <c r="BH48" s="145">
        <f>IF(OR(GradeSheet!$M43="W (Withdrawn)", GradeSheet!$M43="I (Incomplete)"), 0, IF(AV48&gt;=65%, 1, 0))</f>
        <v>0</v>
      </c>
      <c r="BI48" s="145">
        <f>IF(OR(GradeSheet!$M43="W (Withdrawn)", GradeSheet!$M43="I (Incomplete)"), 0, IF(AW48&gt;=65%, 1, 0))</f>
        <v>0</v>
      </c>
      <c r="BJ48" s="145">
        <f>IF(OR(GradeSheet!$M43="W (Withdrawn)", GradeSheet!$M43="I (Incomplete)"), 0, IF(AX48&gt;=65%, 1, 0))</f>
        <v>0</v>
      </c>
      <c r="BK48" s="145">
        <f>IF(OR(GradeSheet!$M43="W (Withdrawn)", GradeSheet!$M43="I (Incomplete)"), 0, IF(AY48&gt;=65%, 1, 0))</f>
        <v>0</v>
      </c>
      <c r="BL48" s="145">
        <f>IF(OR(GradeSheet!$M43="W (Withdrawn)", GradeSheet!$M43="I (Incomplete)"), 0, IF(AZ48&gt;=65%, 1, 0))</f>
        <v>0</v>
      </c>
      <c r="BM48" s="145">
        <f>IF(OR(GradeSheet!$M43="W (Withdrawn)", GradeSheet!$M43="I (Incomplete)"), 0, IF(BA48&gt;=65%, 1, 0))</f>
        <v>0</v>
      </c>
      <c r="BN48" s="145">
        <f>IF(OR(GradeSheet!$M43="W (Withdrawn)", GradeSheet!$M43="I (Incomplete)"), 0, IF(BB48&gt;=65%, 1, 0))</f>
        <v>0</v>
      </c>
      <c r="BO48" s="145">
        <f>IF(OR(GradeSheet!$M43="W (Withdrawn)", GradeSheet!$M43="I (Incomplete)"), 0, IF(BC48&gt;=65%, 1, 0))</f>
        <v>0</v>
      </c>
      <c r="BP48" s="145">
        <f>IF(OR(GradeSheet!$M43="W (Withdrawn)", GradeSheet!$M43="I (Incomplete)"), 0, IF(BD48&gt;=65%, 1, 0))</f>
        <v>0</v>
      </c>
      <c r="BQ48" s="145">
        <f>IF(OR(GradeSheet!$M43="W (Withdrawn)", GradeSheet!$M43="I (Incomplete)"), 0, IF(BE48&gt;=65%, 1, 0))</f>
        <v>0</v>
      </c>
      <c r="BR48" s="145">
        <f>IF(OR(GradeSheet!$M43="W (Withdrawn)", GradeSheet!$M43="I (Incomplete)"), 0, IF(BF48&gt;=65%, 1, 0))</f>
        <v>0</v>
      </c>
    </row>
    <row r="49" spans="1:70" ht="15.75" customHeight="1">
      <c r="A49" s="136">
        <v>35</v>
      </c>
      <c r="B49" s="22"/>
      <c r="C49" s="30"/>
      <c r="D49" s="137"/>
      <c r="E49" s="137"/>
      <c r="F49" s="138"/>
      <c r="G49" s="138"/>
      <c r="H49" s="138"/>
      <c r="I49" s="138"/>
      <c r="J49" s="137"/>
      <c r="K49" s="137"/>
      <c r="L49" s="137"/>
      <c r="M49" s="138"/>
      <c r="N49" s="138"/>
      <c r="O49" s="138"/>
      <c r="P49" s="139"/>
      <c r="Q49" s="140"/>
      <c r="R49" s="140"/>
      <c r="S49" s="140"/>
      <c r="T49" s="140"/>
      <c r="U49" s="141"/>
      <c r="V49" s="139"/>
      <c r="W49" s="140"/>
      <c r="X49" s="140"/>
      <c r="Y49" s="140"/>
      <c r="Z49" s="140"/>
      <c r="AA49" s="141"/>
      <c r="AB49" s="142">
        <f t="shared" ref="AB49:AE49" si="82">SUM(V49,D49,J49)</f>
        <v>0</v>
      </c>
      <c r="AC49" s="143">
        <f t="shared" si="82"/>
        <v>0</v>
      </c>
      <c r="AD49" s="148">
        <f t="shared" si="82"/>
        <v>0</v>
      </c>
      <c r="AE49" s="148">
        <f t="shared" si="82"/>
        <v>0</v>
      </c>
      <c r="AF49" s="143">
        <f t="shared" si="8"/>
        <v>0</v>
      </c>
      <c r="AG49" s="148">
        <f t="shared" si="9"/>
        <v>0</v>
      </c>
      <c r="AH49" s="144">
        <f t="shared" ref="AH49:AM49" si="83">IF(AB49 = 0, 0, AB49/AB$14)</f>
        <v>0</v>
      </c>
      <c r="AI49" s="144">
        <f t="shared" si="83"/>
        <v>0</v>
      </c>
      <c r="AJ49" s="144">
        <f t="shared" si="83"/>
        <v>0</v>
      </c>
      <c r="AK49" s="144">
        <f t="shared" si="83"/>
        <v>0</v>
      </c>
      <c r="AL49" s="144">
        <f t="shared" si="83"/>
        <v>0</v>
      </c>
      <c r="AM49" s="144">
        <f t="shared" si="83"/>
        <v>0</v>
      </c>
      <c r="AN49" s="145">
        <f>IF(OR(GradeSheet!$M44="W (Withdrawn)", GradeSheet!$M44="I (Incomplete)"), 0, IF(AH49&gt;=55%, 1, 0))</f>
        <v>0</v>
      </c>
      <c r="AO49" s="145">
        <f>IF(OR(GradeSheet!$M44="W (Withdrawn)", GradeSheet!$M44="I (Incomplete)"), 0, IF(AI49&gt;=55%, 1, 0))</f>
        <v>0</v>
      </c>
      <c r="AP49" s="145">
        <f>IF(OR(GradeSheet!$M44="W (Withdrawn)", GradeSheet!$M44="I (Incomplete)"), 0, IF(AJ49&gt;=55%, 1, 0))</f>
        <v>0</v>
      </c>
      <c r="AQ49" s="145">
        <f>IF(OR(GradeSheet!$M44="W (Withdrawn)", GradeSheet!$M44="I (Incomplete)"), 0, IF(AK49&gt;=55%, 1, 0))</f>
        <v>0</v>
      </c>
      <c r="AR49" s="145">
        <f>IF(OR(GradeSheet!$M44="W (Withdrawn)", GradeSheet!$M44="I (Incomplete)"), 0, IF(AL49&gt;=55%, 1, 0))</f>
        <v>0</v>
      </c>
      <c r="AS49" s="145">
        <f>IF(OR(GradeSheet!$M44="W (Withdrawn)", GradeSheet!$M44="I (Incomplete)"), 0, IF(AM49&gt;=55%, 1, 0))</f>
        <v>0</v>
      </c>
      <c r="AT49" s="122"/>
      <c r="AU49" s="146">
        <f t="shared" si="11"/>
        <v>0</v>
      </c>
      <c r="AV49" s="146">
        <f t="shared" si="12"/>
        <v>0</v>
      </c>
      <c r="AW49" s="146">
        <f t="array" ref="AW49">IF($AV$9=0,0,MMULT($AH49:$AM49, AV$3:AV$8)/$AV$9)</f>
        <v>0</v>
      </c>
      <c r="AX49" s="146">
        <f t="array" ref="AX49">IF($AW$9=0,0,MMULT($AH49:$AM49, AW$3:AW$8)/$AW$9)</f>
        <v>0</v>
      </c>
      <c r="AY49" s="146">
        <f t="shared" si="13"/>
        <v>0</v>
      </c>
      <c r="AZ49" s="146">
        <f t="array" ref="AZ49">IF($AY$9=0,0,MMULT($AH49:$AM49, AY$3:AY$8)/$AY$9)</f>
        <v>0</v>
      </c>
      <c r="BA49" s="146">
        <f t="array" ref="BA49">IF($AZ$9=0,0,MMULT($AH49:$AM49, AZ$3:AZ$8)/$AZ$9)</f>
        <v>0</v>
      </c>
      <c r="BB49" s="146">
        <f t="array" ref="BB49">IF($BA$9=0,0,MMULT($AH49:$AM49, BA$3:BA$8)/$BA$9)</f>
        <v>0</v>
      </c>
      <c r="BC49" s="146">
        <f t="array" ref="BC49">IF($BB$9=0,0,MMULT($AH49:$AM49, BB$3:BB$8)/$BB$9)</f>
        <v>0</v>
      </c>
      <c r="BD49" s="146">
        <f t="array" ref="BD49">IF($BC$9=0,0,MMULT($AH49:$AM49, BC$3:BC$8)/$BC$9)</f>
        <v>0</v>
      </c>
      <c r="BE49" s="146">
        <f t="shared" si="14"/>
        <v>0</v>
      </c>
      <c r="BF49" s="146">
        <f t="shared" si="15"/>
        <v>0</v>
      </c>
      <c r="BG49" s="145">
        <f>IF(OR(GradeSheet!$M44="W (Withdrawn)", GradeSheet!$M44="I (Incomplete)"), 0, IF(AU49&gt;=65%, 1, 0))</f>
        <v>0</v>
      </c>
      <c r="BH49" s="145">
        <f>IF(OR(GradeSheet!$M44="W (Withdrawn)", GradeSheet!$M44="I (Incomplete)"), 0, IF(AV49&gt;=65%, 1, 0))</f>
        <v>0</v>
      </c>
      <c r="BI49" s="145">
        <f>IF(OR(GradeSheet!$M44="W (Withdrawn)", GradeSheet!$M44="I (Incomplete)"), 0, IF(AW49&gt;=65%, 1, 0))</f>
        <v>0</v>
      </c>
      <c r="BJ49" s="145">
        <f>IF(OR(GradeSheet!$M44="W (Withdrawn)", GradeSheet!$M44="I (Incomplete)"), 0, IF(AX49&gt;=65%, 1, 0))</f>
        <v>0</v>
      </c>
      <c r="BK49" s="145">
        <f>IF(OR(GradeSheet!$M44="W (Withdrawn)", GradeSheet!$M44="I (Incomplete)"), 0, IF(AY49&gt;=65%, 1, 0))</f>
        <v>0</v>
      </c>
      <c r="BL49" s="145">
        <f>IF(OR(GradeSheet!$M44="W (Withdrawn)", GradeSheet!$M44="I (Incomplete)"), 0, IF(AZ49&gt;=65%, 1, 0))</f>
        <v>0</v>
      </c>
      <c r="BM49" s="145">
        <f>IF(OR(GradeSheet!$M44="W (Withdrawn)", GradeSheet!$M44="I (Incomplete)"), 0, IF(BA49&gt;=65%, 1, 0))</f>
        <v>0</v>
      </c>
      <c r="BN49" s="145">
        <f>IF(OR(GradeSheet!$M44="W (Withdrawn)", GradeSheet!$M44="I (Incomplete)"), 0, IF(BB49&gt;=65%, 1, 0))</f>
        <v>0</v>
      </c>
      <c r="BO49" s="145">
        <f>IF(OR(GradeSheet!$M44="W (Withdrawn)", GradeSheet!$M44="I (Incomplete)"), 0, IF(BC49&gt;=65%, 1, 0))</f>
        <v>0</v>
      </c>
      <c r="BP49" s="145">
        <f>IF(OR(GradeSheet!$M44="W (Withdrawn)", GradeSheet!$M44="I (Incomplete)"), 0, IF(BD49&gt;=65%, 1, 0))</f>
        <v>0</v>
      </c>
      <c r="BQ49" s="145">
        <f>IF(OR(GradeSheet!$M44="W (Withdrawn)", GradeSheet!$M44="I (Incomplete)"), 0, IF(BE49&gt;=65%, 1, 0))</f>
        <v>0</v>
      </c>
      <c r="BR49" s="145">
        <f>IF(OR(GradeSheet!$M44="W (Withdrawn)", GradeSheet!$M44="I (Incomplete)"), 0, IF(BF49&gt;=65%, 1, 0))</f>
        <v>0</v>
      </c>
    </row>
    <row r="50" spans="1:70" ht="15.75" customHeight="1">
      <c r="A50" s="147">
        <v>36</v>
      </c>
      <c r="B50" s="22"/>
      <c r="C50" s="30"/>
      <c r="D50" s="137"/>
      <c r="E50" s="137"/>
      <c r="F50" s="138"/>
      <c r="G50" s="138"/>
      <c r="H50" s="138"/>
      <c r="I50" s="138"/>
      <c r="J50" s="137"/>
      <c r="K50" s="137"/>
      <c r="L50" s="137"/>
      <c r="M50" s="138"/>
      <c r="N50" s="138"/>
      <c r="O50" s="138"/>
      <c r="P50" s="139"/>
      <c r="Q50" s="140"/>
      <c r="R50" s="140"/>
      <c r="S50" s="140"/>
      <c r="T50" s="140"/>
      <c r="U50" s="141"/>
      <c r="V50" s="139"/>
      <c r="W50" s="140"/>
      <c r="X50" s="140"/>
      <c r="Y50" s="140"/>
      <c r="Z50" s="140"/>
      <c r="AA50" s="141"/>
      <c r="AB50" s="142">
        <f t="shared" ref="AB50:AE50" si="84">SUM(V50,D50,J50)</f>
        <v>0</v>
      </c>
      <c r="AC50" s="143">
        <f t="shared" si="84"/>
        <v>0</v>
      </c>
      <c r="AD50" s="148">
        <f t="shared" si="84"/>
        <v>0</v>
      </c>
      <c r="AE50" s="148">
        <f t="shared" si="84"/>
        <v>0</v>
      </c>
      <c r="AF50" s="143">
        <f t="shared" si="8"/>
        <v>0</v>
      </c>
      <c r="AG50" s="148">
        <f t="shared" si="9"/>
        <v>0</v>
      </c>
      <c r="AH50" s="144">
        <f t="shared" ref="AH50:AM50" si="85">IF(AB50 = 0, 0, AB50/AB$14)</f>
        <v>0</v>
      </c>
      <c r="AI50" s="144">
        <f t="shared" si="85"/>
        <v>0</v>
      </c>
      <c r="AJ50" s="144">
        <f t="shared" si="85"/>
        <v>0</v>
      </c>
      <c r="AK50" s="144">
        <f t="shared" si="85"/>
        <v>0</v>
      </c>
      <c r="AL50" s="144">
        <f t="shared" si="85"/>
        <v>0</v>
      </c>
      <c r="AM50" s="144">
        <f t="shared" si="85"/>
        <v>0</v>
      </c>
      <c r="AN50" s="145">
        <f>IF(OR(GradeSheet!$M45="W (Withdrawn)", GradeSheet!$M45="I (Incomplete)"), 0, IF(AH50&gt;=55%, 1, 0))</f>
        <v>0</v>
      </c>
      <c r="AO50" s="145">
        <f>IF(OR(GradeSheet!$M45="W (Withdrawn)", GradeSheet!$M45="I (Incomplete)"), 0, IF(AI50&gt;=55%, 1, 0))</f>
        <v>0</v>
      </c>
      <c r="AP50" s="145">
        <f>IF(OR(GradeSheet!$M45="W (Withdrawn)", GradeSheet!$M45="I (Incomplete)"), 0, IF(AJ50&gt;=55%, 1, 0))</f>
        <v>0</v>
      </c>
      <c r="AQ50" s="145">
        <f>IF(OR(GradeSheet!$M45="W (Withdrawn)", GradeSheet!$M45="I (Incomplete)"), 0, IF(AK50&gt;=55%, 1, 0))</f>
        <v>0</v>
      </c>
      <c r="AR50" s="145">
        <f>IF(OR(GradeSheet!$M45="W (Withdrawn)", GradeSheet!$M45="I (Incomplete)"), 0, IF(AL50&gt;=55%, 1, 0))</f>
        <v>0</v>
      </c>
      <c r="AS50" s="145">
        <f>IF(OR(GradeSheet!$M45="W (Withdrawn)", GradeSheet!$M45="I (Incomplete)"), 0, IF(AM50&gt;=55%, 1, 0))</f>
        <v>0</v>
      </c>
      <c r="AT50" s="122"/>
      <c r="AU50" s="146">
        <f t="shared" si="11"/>
        <v>0</v>
      </c>
      <c r="AV50" s="146">
        <f t="shared" si="12"/>
        <v>0</v>
      </c>
      <c r="AW50" s="146">
        <f t="array" ref="AW50">IF($AV$9=0,0,MMULT($AH50:$AM50, AV$3:AV$8)/$AV$9)</f>
        <v>0</v>
      </c>
      <c r="AX50" s="146">
        <f t="array" ref="AX50">IF($AW$9=0,0,MMULT($AH50:$AM50, AW$3:AW$8)/$AW$9)</f>
        <v>0</v>
      </c>
      <c r="AY50" s="146">
        <f t="shared" si="13"/>
        <v>0</v>
      </c>
      <c r="AZ50" s="146">
        <f t="array" ref="AZ50">IF($AY$9=0,0,MMULT($AH50:$AM50, AY$3:AY$8)/$AY$9)</f>
        <v>0</v>
      </c>
      <c r="BA50" s="146">
        <f t="array" ref="BA50">IF($AZ$9=0,0,MMULT($AH50:$AM50, AZ$3:AZ$8)/$AZ$9)</f>
        <v>0</v>
      </c>
      <c r="BB50" s="146">
        <f t="array" ref="BB50">IF($BA$9=0,0,MMULT($AH50:$AM50, BA$3:BA$8)/$BA$9)</f>
        <v>0</v>
      </c>
      <c r="BC50" s="146">
        <f t="array" ref="BC50">IF($BB$9=0,0,MMULT($AH50:$AM50, BB$3:BB$8)/$BB$9)</f>
        <v>0</v>
      </c>
      <c r="BD50" s="146">
        <f t="array" ref="BD50">IF($BC$9=0,0,MMULT($AH50:$AM50, BC$3:BC$8)/$BC$9)</f>
        <v>0</v>
      </c>
      <c r="BE50" s="146">
        <f t="shared" si="14"/>
        <v>0</v>
      </c>
      <c r="BF50" s="146">
        <f t="shared" si="15"/>
        <v>0</v>
      </c>
      <c r="BG50" s="145">
        <f>IF(OR(GradeSheet!$M45="W (Withdrawn)", GradeSheet!$M45="I (Incomplete)"), 0, IF(AU50&gt;=65%, 1, 0))</f>
        <v>0</v>
      </c>
      <c r="BH50" s="145">
        <f>IF(OR(GradeSheet!$M45="W (Withdrawn)", GradeSheet!$M45="I (Incomplete)"), 0, IF(AV50&gt;=65%, 1, 0))</f>
        <v>0</v>
      </c>
      <c r="BI50" s="145">
        <f>IF(OR(GradeSheet!$M45="W (Withdrawn)", GradeSheet!$M45="I (Incomplete)"), 0, IF(AW50&gt;=65%, 1, 0))</f>
        <v>0</v>
      </c>
      <c r="BJ50" s="145">
        <f>IF(OR(GradeSheet!$M45="W (Withdrawn)", GradeSheet!$M45="I (Incomplete)"), 0, IF(AX50&gt;=65%, 1, 0))</f>
        <v>0</v>
      </c>
      <c r="BK50" s="145">
        <f>IF(OR(GradeSheet!$M45="W (Withdrawn)", GradeSheet!$M45="I (Incomplete)"), 0, IF(AY50&gt;=65%, 1, 0))</f>
        <v>0</v>
      </c>
      <c r="BL50" s="145">
        <f>IF(OR(GradeSheet!$M45="W (Withdrawn)", GradeSheet!$M45="I (Incomplete)"), 0, IF(AZ50&gt;=65%, 1, 0))</f>
        <v>0</v>
      </c>
      <c r="BM50" s="145">
        <f>IF(OR(GradeSheet!$M45="W (Withdrawn)", GradeSheet!$M45="I (Incomplete)"), 0, IF(BA50&gt;=65%, 1, 0))</f>
        <v>0</v>
      </c>
      <c r="BN50" s="145">
        <f>IF(OR(GradeSheet!$M45="W (Withdrawn)", GradeSheet!$M45="I (Incomplete)"), 0, IF(BB50&gt;=65%, 1, 0))</f>
        <v>0</v>
      </c>
      <c r="BO50" s="145">
        <f>IF(OR(GradeSheet!$M45="W (Withdrawn)", GradeSheet!$M45="I (Incomplete)"), 0, IF(BC50&gt;=65%, 1, 0))</f>
        <v>0</v>
      </c>
      <c r="BP50" s="145">
        <f>IF(OR(GradeSheet!$M45="W (Withdrawn)", GradeSheet!$M45="I (Incomplete)"), 0, IF(BD50&gt;=65%, 1, 0))</f>
        <v>0</v>
      </c>
      <c r="BQ50" s="145">
        <f>IF(OR(GradeSheet!$M45="W (Withdrawn)", GradeSheet!$M45="I (Incomplete)"), 0, IF(BE50&gt;=65%, 1, 0))</f>
        <v>0</v>
      </c>
      <c r="BR50" s="145">
        <f>IF(OR(GradeSheet!$M45="W (Withdrawn)", GradeSheet!$M45="I (Incomplete)"), 0, IF(BF50&gt;=65%, 1, 0))</f>
        <v>0</v>
      </c>
    </row>
    <row r="51" spans="1:70" ht="15.75" customHeight="1">
      <c r="A51" s="136">
        <v>37</v>
      </c>
      <c r="B51" s="22"/>
      <c r="C51" s="30"/>
      <c r="D51" s="137"/>
      <c r="E51" s="137"/>
      <c r="F51" s="138"/>
      <c r="G51" s="138"/>
      <c r="H51" s="138"/>
      <c r="I51" s="138"/>
      <c r="J51" s="137"/>
      <c r="K51" s="137"/>
      <c r="L51" s="137"/>
      <c r="M51" s="138"/>
      <c r="N51" s="138"/>
      <c r="O51" s="138"/>
      <c r="P51" s="139"/>
      <c r="Q51" s="140"/>
      <c r="R51" s="140"/>
      <c r="S51" s="140"/>
      <c r="T51" s="140"/>
      <c r="U51" s="141"/>
      <c r="V51" s="139"/>
      <c r="W51" s="140"/>
      <c r="X51" s="140"/>
      <c r="Y51" s="140"/>
      <c r="Z51" s="140"/>
      <c r="AA51" s="141"/>
      <c r="AB51" s="142">
        <f t="shared" ref="AB51:AE51" si="86">SUM(V51,D51,J51)</f>
        <v>0</v>
      </c>
      <c r="AC51" s="143">
        <f t="shared" si="86"/>
        <v>0</v>
      </c>
      <c r="AD51" s="148">
        <f t="shared" si="86"/>
        <v>0</v>
      </c>
      <c r="AE51" s="148">
        <f t="shared" si="86"/>
        <v>0</v>
      </c>
      <c r="AF51" s="143">
        <f t="shared" si="8"/>
        <v>0</v>
      </c>
      <c r="AG51" s="148">
        <f t="shared" si="9"/>
        <v>0</v>
      </c>
      <c r="AH51" s="144">
        <f t="shared" ref="AH51:AM51" si="87">IF(AB51 = 0, 0, AB51/AB$14)</f>
        <v>0</v>
      </c>
      <c r="AI51" s="144">
        <f t="shared" si="87"/>
        <v>0</v>
      </c>
      <c r="AJ51" s="144">
        <f t="shared" si="87"/>
        <v>0</v>
      </c>
      <c r="AK51" s="144">
        <f t="shared" si="87"/>
        <v>0</v>
      </c>
      <c r="AL51" s="144">
        <f t="shared" si="87"/>
        <v>0</v>
      </c>
      <c r="AM51" s="144">
        <f t="shared" si="87"/>
        <v>0</v>
      </c>
      <c r="AN51" s="145">
        <f>IF(OR(GradeSheet!$M46="W (Withdrawn)", GradeSheet!$M46="I (Incomplete)"), 0, IF(AH51&gt;=55%, 1, 0))</f>
        <v>0</v>
      </c>
      <c r="AO51" s="145">
        <f>IF(OR(GradeSheet!$M46="W (Withdrawn)", GradeSheet!$M46="I (Incomplete)"), 0, IF(AI51&gt;=55%, 1, 0))</f>
        <v>0</v>
      </c>
      <c r="AP51" s="145">
        <f>IF(OR(GradeSheet!$M46="W (Withdrawn)", GradeSheet!$M46="I (Incomplete)"), 0, IF(AJ51&gt;=55%, 1, 0))</f>
        <v>0</v>
      </c>
      <c r="AQ51" s="145">
        <f>IF(OR(GradeSheet!$M46="W (Withdrawn)", GradeSheet!$M46="I (Incomplete)"), 0, IF(AK51&gt;=55%, 1, 0))</f>
        <v>0</v>
      </c>
      <c r="AR51" s="145">
        <f>IF(OR(GradeSheet!$M46="W (Withdrawn)", GradeSheet!$M46="I (Incomplete)"), 0, IF(AL51&gt;=55%, 1, 0))</f>
        <v>0</v>
      </c>
      <c r="AS51" s="145">
        <f>IF(OR(GradeSheet!$M46="W (Withdrawn)", GradeSheet!$M46="I (Incomplete)"), 0, IF(AM51&gt;=55%, 1, 0))</f>
        <v>0</v>
      </c>
      <c r="AT51" s="122"/>
      <c r="AU51" s="146">
        <f t="shared" si="11"/>
        <v>0</v>
      </c>
      <c r="AV51" s="146">
        <f t="shared" si="12"/>
        <v>0</v>
      </c>
      <c r="AW51" s="146">
        <f t="array" ref="AW51">IF($AV$9=0,0,MMULT($AH51:$AM51, AV$3:AV$8)/$AV$9)</f>
        <v>0</v>
      </c>
      <c r="AX51" s="146">
        <f t="array" ref="AX51">IF($AW$9=0,0,MMULT($AH51:$AM51, AW$3:AW$8)/$AW$9)</f>
        <v>0</v>
      </c>
      <c r="AY51" s="146">
        <f t="shared" si="13"/>
        <v>0</v>
      </c>
      <c r="AZ51" s="146">
        <f t="array" ref="AZ51">IF($AY$9=0,0,MMULT($AH51:$AM51, AY$3:AY$8)/$AY$9)</f>
        <v>0</v>
      </c>
      <c r="BA51" s="146">
        <f t="array" ref="BA51">IF($AZ$9=0,0,MMULT($AH51:$AM51, AZ$3:AZ$8)/$AZ$9)</f>
        <v>0</v>
      </c>
      <c r="BB51" s="146">
        <f t="array" ref="BB51">IF($BA$9=0,0,MMULT($AH51:$AM51, BA$3:BA$8)/$BA$9)</f>
        <v>0</v>
      </c>
      <c r="BC51" s="146">
        <f t="array" ref="BC51">IF($BB$9=0,0,MMULT($AH51:$AM51, BB$3:BB$8)/$BB$9)</f>
        <v>0</v>
      </c>
      <c r="BD51" s="146">
        <f t="array" ref="BD51">IF($BC$9=0,0,MMULT($AH51:$AM51, BC$3:BC$8)/$BC$9)</f>
        <v>0</v>
      </c>
      <c r="BE51" s="146">
        <f t="shared" si="14"/>
        <v>0</v>
      </c>
      <c r="BF51" s="146">
        <f t="shared" si="15"/>
        <v>0</v>
      </c>
      <c r="BG51" s="145">
        <f>IF(OR(GradeSheet!$M46="W (Withdrawn)", GradeSheet!$M46="I (Incomplete)"), 0, IF(AU51&gt;=65%, 1, 0))</f>
        <v>0</v>
      </c>
      <c r="BH51" s="145">
        <f>IF(OR(GradeSheet!$M46="W (Withdrawn)", GradeSheet!$M46="I (Incomplete)"), 0, IF(AV51&gt;=65%, 1, 0))</f>
        <v>0</v>
      </c>
      <c r="BI51" s="145">
        <f>IF(OR(GradeSheet!$M46="W (Withdrawn)", GradeSheet!$M46="I (Incomplete)"), 0, IF(AW51&gt;=65%, 1, 0))</f>
        <v>0</v>
      </c>
      <c r="BJ51" s="145">
        <f>IF(OR(GradeSheet!$M46="W (Withdrawn)", GradeSheet!$M46="I (Incomplete)"), 0, IF(AX51&gt;=65%, 1, 0))</f>
        <v>0</v>
      </c>
      <c r="BK51" s="145">
        <f>IF(OR(GradeSheet!$M46="W (Withdrawn)", GradeSheet!$M46="I (Incomplete)"), 0, IF(AY51&gt;=65%, 1, 0))</f>
        <v>0</v>
      </c>
      <c r="BL51" s="145">
        <f>IF(OR(GradeSheet!$M46="W (Withdrawn)", GradeSheet!$M46="I (Incomplete)"), 0, IF(AZ51&gt;=65%, 1, 0))</f>
        <v>0</v>
      </c>
      <c r="BM51" s="145">
        <f>IF(OR(GradeSheet!$M46="W (Withdrawn)", GradeSheet!$M46="I (Incomplete)"), 0, IF(BA51&gt;=65%, 1, 0))</f>
        <v>0</v>
      </c>
      <c r="BN51" s="145">
        <f>IF(OR(GradeSheet!$M46="W (Withdrawn)", GradeSheet!$M46="I (Incomplete)"), 0, IF(BB51&gt;=65%, 1, 0))</f>
        <v>0</v>
      </c>
      <c r="BO51" s="145">
        <f>IF(OR(GradeSheet!$M46="W (Withdrawn)", GradeSheet!$M46="I (Incomplete)"), 0, IF(BC51&gt;=65%, 1, 0))</f>
        <v>0</v>
      </c>
      <c r="BP51" s="145">
        <f>IF(OR(GradeSheet!$M46="W (Withdrawn)", GradeSheet!$M46="I (Incomplete)"), 0, IF(BD51&gt;=65%, 1, 0))</f>
        <v>0</v>
      </c>
      <c r="BQ51" s="145">
        <f>IF(OR(GradeSheet!$M46="W (Withdrawn)", GradeSheet!$M46="I (Incomplete)"), 0, IF(BE51&gt;=65%, 1, 0))</f>
        <v>0</v>
      </c>
      <c r="BR51" s="145">
        <f>IF(OR(GradeSheet!$M46="W (Withdrawn)", GradeSheet!$M46="I (Incomplete)"), 0, IF(BF51&gt;=65%, 1, 0))</f>
        <v>0</v>
      </c>
    </row>
    <row r="52" spans="1:70" ht="15.75" customHeight="1">
      <c r="A52" s="147">
        <v>38</v>
      </c>
      <c r="B52" s="22"/>
      <c r="C52" s="30"/>
      <c r="D52" s="137"/>
      <c r="E52" s="137"/>
      <c r="F52" s="138"/>
      <c r="G52" s="138"/>
      <c r="H52" s="138"/>
      <c r="I52" s="138"/>
      <c r="J52" s="137"/>
      <c r="K52" s="137"/>
      <c r="L52" s="137"/>
      <c r="M52" s="138"/>
      <c r="N52" s="138"/>
      <c r="O52" s="138"/>
      <c r="P52" s="139"/>
      <c r="Q52" s="140"/>
      <c r="R52" s="140"/>
      <c r="S52" s="140"/>
      <c r="T52" s="140"/>
      <c r="U52" s="141"/>
      <c r="V52" s="139"/>
      <c r="W52" s="140"/>
      <c r="X52" s="140"/>
      <c r="Y52" s="140"/>
      <c r="Z52" s="140"/>
      <c r="AA52" s="141"/>
      <c r="AB52" s="142">
        <f t="shared" ref="AB52:AE52" si="88">SUM(V52,D52,J52)</f>
        <v>0</v>
      </c>
      <c r="AC52" s="143">
        <f t="shared" si="88"/>
        <v>0</v>
      </c>
      <c r="AD52" s="148">
        <f t="shared" si="88"/>
        <v>0</v>
      </c>
      <c r="AE52" s="148">
        <f t="shared" si="88"/>
        <v>0</v>
      </c>
      <c r="AF52" s="143">
        <f t="shared" si="8"/>
        <v>0</v>
      </c>
      <c r="AG52" s="148">
        <f t="shared" si="9"/>
        <v>0</v>
      </c>
      <c r="AH52" s="144">
        <f t="shared" ref="AH52:AM52" si="89">IF(AB52 = 0, 0, AB52/AB$14)</f>
        <v>0</v>
      </c>
      <c r="AI52" s="144">
        <f t="shared" si="89"/>
        <v>0</v>
      </c>
      <c r="AJ52" s="144">
        <f t="shared" si="89"/>
        <v>0</v>
      </c>
      <c r="AK52" s="144">
        <f t="shared" si="89"/>
        <v>0</v>
      </c>
      <c r="AL52" s="144">
        <f t="shared" si="89"/>
        <v>0</v>
      </c>
      <c r="AM52" s="144">
        <f t="shared" si="89"/>
        <v>0</v>
      </c>
      <c r="AN52" s="145">
        <f>IF(OR(GradeSheet!$M47="W (Withdrawn)", GradeSheet!$M47="I (Incomplete)"), 0, IF(AH52&gt;=55%, 1, 0))</f>
        <v>0</v>
      </c>
      <c r="AO52" s="145">
        <f>IF(OR(GradeSheet!$M47="W (Withdrawn)", GradeSheet!$M47="I (Incomplete)"), 0, IF(AI52&gt;=55%, 1, 0))</f>
        <v>0</v>
      </c>
      <c r="AP52" s="145">
        <f>IF(OR(GradeSheet!$M47="W (Withdrawn)", GradeSheet!$M47="I (Incomplete)"), 0, IF(AJ52&gt;=55%, 1, 0))</f>
        <v>0</v>
      </c>
      <c r="AQ52" s="145">
        <f>IF(OR(GradeSheet!$M47="W (Withdrawn)", GradeSheet!$M47="I (Incomplete)"), 0, IF(AK52&gt;=55%, 1, 0))</f>
        <v>0</v>
      </c>
      <c r="AR52" s="145">
        <f>IF(OR(GradeSheet!$M47="W (Withdrawn)", GradeSheet!$M47="I (Incomplete)"), 0, IF(AL52&gt;=55%, 1, 0))</f>
        <v>0</v>
      </c>
      <c r="AS52" s="145">
        <f>IF(OR(GradeSheet!$M47="W (Withdrawn)", GradeSheet!$M47="I (Incomplete)"), 0, IF(AM52&gt;=55%, 1, 0))</f>
        <v>0</v>
      </c>
      <c r="AT52" s="122"/>
      <c r="AU52" s="146">
        <f t="shared" si="11"/>
        <v>0</v>
      </c>
      <c r="AV52" s="146">
        <f t="shared" si="12"/>
        <v>0</v>
      </c>
      <c r="AW52" s="146">
        <f t="array" ref="AW52">IF($AV$9=0,0,MMULT($AH52:$AM52, AV$3:AV$8)/$AV$9)</f>
        <v>0</v>
      </c>
      <c r="AX52" s="146">
        <f t="array" ref="AX52">IF($AW$9=0,0,MMULT($AH52:$AM52, AW$3:AW$8)/$AW$9)</f>
        <v>0</v>
      </c>
      <c r="AY52" s="146">
        <f t="shared" si="13"/>
        <v>0</v>
      </c>
      <c r="AZ52" s="146">
        <f t="array" ref="AZ52">IF($AY$9=0,0,MMULT($AH52:$AM52, AY$3:AY$8)/$AY$9)</f>
        <v>0</v>
      </c>
      <c r="BA52" s="146">
        <f t="array" ref="BA52">IF($AZ$9=0,0,MMULT($AH52:$AM52, AZ$3:AZ$8)/$AZ$9)</f>
        <v>0</v>
      </c>
      <c r="BB52" s="146">
        <f t="array" ref="BB52">IF($BA$9=0,0,MMULT($AH52:$AM52, BA$3:BA$8)/$BA$9)</f>
        <v>0</v>
      </c>
      <c r="BC52" s="146">
        <f t="array" ref="BC52">IF($BB$9=0,0,MMULT($AH52:$AM52, BB$3:BB$8)/$BB$9)</f>
        <v>0</v>
      </c>
      <c r="BD52" s="146">
        <f t="array" ref="BD52">IF($BC$9=0,0,MMULT($AH52:$AM52, BC$3:BC$8)/$BC$9)</f>
        <v>0</v>
      </c>
      <c r="BE52" s="146">
        <f t="shared" si="14"/>
        <v>0</v>
      </c>
      <c r="BF52" s="146">
        <f t="shared" si="15"/>
        <v>0</v>
      </c>
      <c r="BG52" s="145">
        <f>IF(OR(GradeSheet!$M47="W (Withdrawn)", GradeSheet!$M47="I (Incomplete)"), 0, IF(AU52&gt;=65%, 1, 0))</f>
        <v>0</v>
      </c>
      <c r="BH52" s="145">
        <f>IF(OR(GradeSheet!$M47="W (Withdrawn)", GradeSheet!$M47="I (Incomplete)"), 0, IF(AV52&gt;=65%, 1, 0))</f>
        <v>0</v>
      </c>
      <c r="BI52" s="145">
        <f>IF(OR(GradeSheet!$M47="W (Withdrawn)", GradeSheet!$M47="I (Incomplete)"), 0, IF(AW52&gt;=65%, 1, 0))</f>
        <v>0</v>
      </c>
      <c r="BJ52" s="145">
        <f>IF(OR(GradeSheet!$M47="W (Withdrawn)", GradeSheet!$M47="I (Incomplete)"), 0, IF(AX52&gt;=65%, 1, 0))</f>
        <v>0</v>
      </c>
      <c r="BK52" s="145">
        <f>IF(OR(GradeSheet!$M47="W (Withdrawn)", GradeSheet!$M47="I (Incomplete)"), 0, IF(AY52&gt;=65%, 1, 0))</f>
        <v>0</v>
      </c>
      <c r="BL52" s="145">
        <f>IF(OR(GradeSheet!$M47="W (Withdrawn)", GradeSheet!$M47="I (Incomplete)"), 0, IF(AZ52&gt;=65%, 1, 0))</f>
        <v>0</v>
      </c>
      <c r="BM52" s="145">
        <f>IF(OR(GradeSheet!$M47="W (Withdrawn)", GradeSheet!$M47="I (Incomplete)"), 0, IF(BA52&gt;=65%, 1, 0))</f>
        <v>0</v>
      </c>
      <c r="BN52" s="145">
        <f>IF(OR(GradeSheet!$M47="W (Withdrawn)", GradeSheet!$M47="I (Incomplete)"), 0, IF(BB52&gt;=65%, 1, 0))</f>
        <v>0</v>
      </c>
      <c r="BO52" s="145">
        <f>IF(OR(GradeSheet!$M47="W (Withdrawn)", GradeSheet!$M47="I (Incomplete)"), 0, IF(BC52&gt;=65%, 1, 0))</f>
        <v>0</v>
      </c>
      <c r="BP52" s="145">
        <f>IF(OR(GradeSheet!$M47="W (Withdrawn)", GradeSheet!$M47="I (Incomplete)"), 0, IF(BD52&gt;=65%, 1, 0))</f>
        <v>0</v>
      </c>
      <c r="BQ52" s="145">
        <f>IF(OR(GradeSheet!$M47="W (Withdrawn)", GradeSheet!$M47="I (Incomplete)"), 0, IF(BE52&gt;=65%, 1, 0))</f>
        <v>0</v>
      </c>
      <c r="BR52" s="145">
        <f>IF(OR(GradeSheet!$M47="W (Withdrawn)", GradeSheet!$M47="I (Incomplete)"), 0, IF(BF52&gt;=65%, 1, 0))</f>
        <v>0</v>
      </c>
    </row>
    <row r="53" spans="1:70" ht="15.75" customHeight="1">
      <c r="A53" s="136">
        <v>39</v>
      </c>
      <c r="B53" s="22"/>
      <c r="C53" s="30"/>
      <c r="D53" s="137"/>
      <c r="E53" s="137"/>
      <c r="F53" s="138"/>
      <c r="G53" s="138"/>
      <c r="H53" s="138"/>
      <c r="I53" s="138"/>
      <c r="J53" s="137"/>
      <c r="K53" s="137"/>
      <c r="L53" s="137"/>
      <c r="M53" s="138"/>
      <c r="N53" s="138"/>
      <c r="O53" s="138"/>
      <c r="P53" s="139"/>
      <c r="Q53" s="140"/>
      <c r="R53" s="140"/>
      <c r="S53" s="140"/>
      <c r="T53" s="140"/>
      <c r="U53" s="141"/>
      <c r="V53" s="139"/>
      <c r="W53" s="140"/>
      <c r="X53" s="140"/>
      <c r="Y53" s="140"/>
      <c r="Z53" s="140"/>
      <c r="AA53" s="141"/>
      <c r="AB53" s="142">
        <f t="shared" ref="AB53:AE53" si="90">SUM(V53,D53,J53)</f>
        <v>0</v>
      </c>
      <c r="AC53" s="143">
        <f t="shared" si="90"/>
        <v>0</v>
      </c>
      <c r="AD53" s="148">
        <f t="shared" si="90"/>
        <v>0</v>
      </c>
      <c r="AE53" s="148">
        <f t="shared" si="90"/>
        <v>0</v>
      </c>
      <c r="AF53" s="143">
        <f t="shared" si="8"/>
        <v>0</v>
      </c>
      <c r="AG53" s="148">
        <f t="shared" si="9"/>
        <v>0</v>
      </c>
      <c r="AH53" s="144">
        <f t="shared" ref="AH53:AM53" si="91">IF(AB53 = 0, 0, AB53/AB$14)</f>
        <v>0</v>
      </c>
      <c r="AI53" s="144">
        <f t="shared" si="91"/>
        <v>0</v>
      </c>
      <c r="AJ53" s="144">
        <f t="shared" si="91"/>
        <v>0</v>
      </c>
      <c r="AK53" s="144">
        <f t="shared" si="91"/>
        <v>0</v>
      </c>
      <c r="AL53" s="144">
        <f t="shared" si="91"/>
        <v>0</v>
      </c>
      <c r="AM53" s="144">
        <f t="shared" si="91"/>
        <v>0</v>
      </c>
      <c r="AN53" s="145">
        <f>IF(OR(GradeSheet!$M48="W (Withdrawn)", GradeSheet!$M48="I (Incomplete)"), 0, IF(AH53&gt;=55%, 1, 0))</f>
        <v>0</v>
      </c>
      <c r="AO53" s="145">
        <f>IF(OR(GradeSheet!$M48="W (Withdrawn)", GradeSheet!$M48="I (Incomplete)"), 0, IF(AI53&gt;=55%, 1, 0))</f>
        <v>0</v>
      </c>
      <c r="AP53" s="145">
        <f>IF(OR(GradeSheet!$M48="W (Withdrawn)", GradeSheet!$M48="I (Incomplete)"), 0, IF(AJ53&gt;=55%, 1, 0))</f>
        <v>0</v>
      </c>
      <c r="AQ53" s="145">
        <f>IF(OR(GradeSheet!$M48="W (Withdrawn)", GradeSheet!$M48="I (Incomplete)"), 0, IF(AK53&gt;=55%, 1, 0))</f>
        <v>0</v>
      </c>
      <c r="AR53" s="145">
        <f>IF(OR(GradeSheet!$M48="W (Withdrawn)", GradeSheet!$M48="I (Incomplete)"), 0, IF(AL53&gt;=55%, 1, 0))</f>
        <v>0</v>
      </c>
      <c r="AS53" s="145">
        <f>IF(OR(GradeSheet!$M48="W (Withdrawn)", GradeSheet!$M48="I (Incomplete)"), 0, IF(AM53&gt;=55%, 1, 0))</f>
        <v>0</v>
      </c>
      <c r="AT53" s="122"/>
      <c r="AU53" s="146">
        <f t="shared" si="11"/>
        <v>0</v>
      </c>
      <c r="AV53" s="146">
        <f t="shared" si="12"/>
        <v>0</v>
      </c>
      <c r="AW53" s="146">
        <f t="array" ref="AW53">IF($AV$9=0,0,MMULT($AH53:$AM53, AV$3:AV$8)/$AV$9)</f>
        <v>0</v>
      </c>
      <c r="AX53" s="146">
        <f t="array" ref="AX53">IF($AW$9=0,0,MMULT($AH53:$AM53, AW$3:AW$8)/$AW$9)</f>
        <v>0</v>
      </c>
      <c r="AY53" s="146">
        <f t="shared" si="13"/>
        <v>0</v>
      </c>
      <c r="AZ53" s="146">
        <f t="array" ref="AZ53">IF($AY$9=0,0,MMULT($AH53:$AM53, AY$3:AY$8)/$AY$9)</f>
        <v>0</v>
      </c>
      <c r="BA53" s="146">
        <f t="array" ref="BA53">IF($AZ$9=0,0,MMULT($AH53:$AM53, AZ$3:AZ$8)/$AZ$9)</f>
        <v>0</v>
      </c>
      <c r="BB53" s="146">
        <f t="array" ref="BB53">IF($BA$9=0,0,MMULT($AH53:$AM53, BA$3:BA$8)/$BA$9)</f>
        <v>0</v>
      </c>
      <c r="BC53" s="146">
        <f t="array" ref="BC53">IF($BB$9=0,0,MMULT($AH53:$AM53, BB$3:BB$8)/$BB$9)</f>
        <v>0</v>
      </c>
      <c r="BD53" s="146">
        <f t="array" ref="BD53">IF($BC$9=0,0,MMULT($AH53:$AM53, BC$3:BC$8)/$BC$9)</f>
        <v>0</v>
      </c>
      <c r="BE53" s="146">
        <f t="shared" si="14"/>
        <v>0</v>
      </c>
      <c r="BF53" s="146">
        <f t="shared" si="15"/>
        <v>0</v>
      </c>
      <c r="BG53" s="145">
        <f>IF(OR(GradeSheet!$M48="W (Withdrawn)", GradeSheet!$M48="I (Incomplete)"), 0, IF(AU53&gt;=65%, 1, 0))</f>
        <v>0</v>
      </c>
      <c r="BH53" s="145">
        <f>IF(OR(GradeSheet!$M48="W (Withdrawn)", GradeSheet!$M48="I (Incomplete)"), 0, IF(AV53&gt;=65%, 1, 0))</f>
        <v>0</v>
      </c>
      <c r="BI53" s="145">
        <f>IF(OR(GradeSheet!$M48="W (Withdrawn)", GradeSheet!$M48="I (Incomplete)"), 0, IF(AW53&gt;=65%, 1, 0))</f>
        <v>0</v>
      </c>
      <c r="BJ53" s="145">
        <f>IF(OR(GradeSheet!$M48="W (Withdrawn)", GradeSheet!$M48="I (Incomplete)"), 0, IF(AX53&gt;=65%, 1, 0))</f>
        <v>0</v>
      </c>
      <c r="BK53" s="145">
        <f>IF(OR(GradeSheet!$M48="W (Withdrawn)", GradeSheet!$M48="I (Incomplete)"), 0, IF(AY53&gt;=65%, 1, 0))</f>
        <v>0</v>
      </c>
      <c r="BL53" s="145">
        <f>IF(OR(GradeSheet!$M48="W (Withdrawn)", GradeSheet!$M48="I (Incomplete)"), 0, IF(AZ53&gt;=65%, 1, 0))</f>
        <v>0</v>
      </c>
      <c r="BM53" s="145">
        <f>IF(OR(GradeSheet!$M48="W (Withdrawn)", GradeSheet!$M48="I (Incomplete)"), 0, IF(BA53&gt;=65%, 1, 0))</f>
        <v>0</v>
      </c>
      <c r="BN53" s="145">
        <f>IF(OR(GradeSheet!$M48="W (Withdrawn)", GradeSheet!$M48="I (Incomplete)"), 0, IF(BB53&gt;=65%, 1, 0))</f>
        <v>0</v>
      </c>
      <c r="BO53" s="145">
        <f>IF(OR(GradeSheet!$M48="W (Withdrawn)", GradeSheet!$M48="I (Incomplete)"), 0, IF(BC53&gt;=65%, 1, 0))</f>
        <v>0</v>
      </c>
      <c r="BP53" s="145">
        <f>IF(OR(GradeSheet!$M48="W (Withdrawn)", GradeSheet!$M48="I (Incomplete)"), 0, IF(BD53&gt;=65%, 1, 0))</f>
        <v>0</v>
      </c>
      <c r="BQ53" s="145">
        <f>IF(OR(GradeSheet!$M48="W (Withdrawn)", GradeSheet!$M48="I (Incomplete)"), 0, IF(BE53&gt;=65%, 1, 0))</f>
        <v>0</v>
      </c>
      <c r="BR53" s="145">
        <f>IF(OR(GradeSheet!$M48="W (Withdrawn)", GradeSheet!$M48="I (Incomplete)"), 0, IF(BF53&gt;=65%, 1, 0))</f>
        <v>0</v>
      </c>
    </row>
    <row r="54" spans="1:70" ht="15.75" customHeight="1">
      <c r="A54" s="147">
        <v>40</v>
      </c>
      <c r="B54" s="22"/>
      <c r="C54" s="30"/>
      <c r="D54" s="137"/>
      <c r="E54" s="137"/>
      <c r="F54" s="138"/>
      <c r="G54" s="138"/>
      <c r="H54" s="138"/>
      <c r="I54" s="138"/>
      <c r="J54" s="137"/>
      <c r="K54" s="137"/>
      <c r="L54" s="137"/>
      <c r="M54" s="138"/>
      <c r="N54" s="138"/>
      <c r="O54" s="138"/>
      <c r="P54" s="139"/>
      <c r="Q54" s="140"/>
      <c r="R54" s="140"/>
      <c r="S54" s="140"/>
      <c r="T54" s="140"/>
      <c r="U54" s="141"/>
      <c r="V54" s="139"/>
      <c r="W54" s="140"/>
      <c r="X54" s="140"/>
      <c r="Y54" s="140"/>
      <c r="Z54" s="140"/>
      <c r="AA54" s="141"/>
      <c r="AB54" s="142">
        <f t="shared" ref="AB54:AE54" si="92">SUM(V54,D54,J54)</f>
        <v>0</v>
      </c>
      <c r="AC54" s="143">
        <f t="shared" si="92"/>
        <v>0</v>
      </c>
      <c r="AD54" s="148">
        <f t="shared" si="92"/>
        <v>0</v>
      </c>
      <c r="AE54" s="148">
        <f t="shared" si="92"/>
        <v>0</v>
      </c>
      <c r="AF54" s="143">
        <f t="shared" si="8"/>
        <v>0</v>
      </c>
      <c r="AG54" s="148">
        <f t="shared" si="9"/>
        <v>0</v>
      </c>
      <c r="AH54" s="144">
        <f t="shared" ref="AH54:AM54" si="93">IF(AB54 = 0, 0, AB54/AB$14)</f>
        <v>0</v>
      </c>
      <c r="AI54" s="144">
        <f t="shared" si="93"/>
        <v>0</v>
      </c>
      <c r="AJ54" s="144">
        <f t="shared" si="93"/>
        <v>0</v>
      </c>
      <c r="AK54" s="144">
        <f t="shared" si="93"/>
        <v>0</v>
      </c>
      <c r="AL54" s="144">
        <f t="shared" si="93"/>
        <v>0</v>
      </c>
      <c r="AM54" s="144">
        <f t="shared" si="93"/>
        <v>0</v>
      </c>
      <c r="AN54" s="118">
        <f>IF(OR(GradeSheet!$M49="W (Withdrawn)", GradeSheet!$M49="I (Incomplete)"), 0, IF(AH54&gt;=55%, 1, 0))</f>
        <v>0</v>
      </c>
      <c r="AO54" s="118">
        <f>IF(OR(GradeSheet!$M49="W (Withdrawn)", GradeSheet!$M49="I (Incomplete)"), 0, IF(AI54&gt;=55%, 1, 0))</f>
        <v>0</v>
      </c>
      <c r="AP54" s="118">
        <f>IF(OR(GradeSheet!$M49="W (Withdrawn)", GradeSheet!$M49="I (Incomplete)"), 0, IF(AJ54&gt;=55%, 1, 0))</f>
        <v>0</v>
      </c>
      <c r="AQ54" s="118">
        <f>IF(OR(GradeSheet!$M49="W (Withdrawn)", GradeSheet!$M49="I (Incomplete)"), 0, IF(AK54&gt;=55%, 1, 0))</f>
        <v>0</v>
      </c>
      <c r="AR54" s="118">
        <f>IF(OR(GradeSheet!$M49="W (Withdrawn)", GradeSheet!$M49="I (Incomplete)"), 0, IF(AL54&gt;=55%, 1, 0))</f>
        <v>0</v>
      </c>
      <c r="AS54" s="118">
        <f>IF(OR(GradeSheet!$M49="W (Withdrawn)", GradeSheet!$M49="I (Incomplete)"), 0, IF(AM54&gt;=55%, 1, 0))</f>
        <v>0</v>
      </c>
      <c r="AT54" s="122"/>
      <c r="AU54" s="146">
        <f t="shared" si="11"/>
        <v>0</v>
      </c>
      <c r="AV54" s="146">
        <f t="shared" si="12"/>
        <v>0</v>
      </c>
      <c r="AW54" s="146">
        <f t="array" ref="AW54">IF($AV$9=0,0,MMULT($AH54:$AM54, AV$3:AV$8)/$AV$9)</f>
        <v>0</v>
      </c>
      <c r="AX54" s="146">
        <f t="array" ref="AX54">IF($AW$9=0,0,MMULT($AH54:$AM54, AW$3:AW$8)/$AW$9)</f>
        <v>0</v>
      </c>
      <c r="AY54" s="146">
        <f t="shared" si="13"/>
        <v>0</v>
      </c>
      <c r="AZ54" s="146">
        <f t="array" ref="AZ54">IF($AY$9=0,0,MMULT($AH54:$AM54, AY$3:AY$8)/$AY$9)</f>
        <v>0</v>
      </c>
      <c r="BA54" s="146">
        <f t="array" ref="BA54">IF($AZ$9=0,0,MMULT($AH54:$AM54, AZ$3:AZ$8)/$AZ$9)</f>
        <v>0</v>
      </c>
      <c r="BB54" s="146">
        <f t="array" ref="BB54">IF($BA$9=0,0,MMULT($AH54:$AM54, BA$3:BA$8)/$BA$9)</f>
        <v>0</v>
      </c>
      <c r="BC54" s="146">
        <f t="array" ref="BC54">IF($BB$9=0,0,MMULT($AH54:$AM54, BB$3:BB$8)/$BB$9)</f>
        <v>0</v>
      </c>
      <c r="BD54" s="146">
        <f t="array" ref="BD54">IF($BC$9=0,0,MMULT($AH54:$AM54, BC$3:BC$8)/$BC$9)</f>
        <v>0</v>
      </c>
      <c r="BE54" s="146">
        <f t="shared" si="14"/>
        <v>0</v>
      </c>
      <c r="BF54" s="146">
        <f t="shared" si="15"/>
        <v>0</v>
      </c>
      <c r="BG54" s="118">
        <f>IF(OR(GradeSheet!$M49="W (Withdrawn)", GradeSheet!$M49="I (Incomplete)"), 0, IF(AU54&gt;=65%, 1, 0))</f>
        <v>0</v>
      </c>
      <c r="BH54" s="118">
        <f>IF(OR(GradeSheet!$M49="W (Withdrawn)", GradeSheet!$M49="I (Incomplete)"), 0, IF(AV54&gt;=65%, 1, 0))</f>
        <v>0</v>
      </c>
      <c r="BI54" s="118">
        <f>IF(OR(GradeSheet!$M49="W (Withdrawn)", GradeSheet!$M49="I (Incomplete)"), 0, IF(AW54&gt;=65%, 1, 0))</f>
        <v>0</v>
      </c>
      <c r="BJ54" s="118">
        <f>IF(OR(GradeSheet!$M49="W (Withdrawn)", GradeSheet!$M49="I (Incomplete)"), 0, IF(AX54&gt;=65%, 1, 0))</f>
        <v>0</v>
      </c>
      <c r="BK54" s="118">
        <f>IF(OR(GradeSheet!$M49="W (Withdrawn)", GradeSheet!$M49="I (Incomplete)"), 0, IF(AY54&gt;=65%, 1, 0))</f>
        <v>0</v>
      </c>
      <c r="BL54" s="118">
        <f>IF(OR(GradeSheet!$M49="W (Withdrawn)", GradeSheet!$M49="I (Incomplete)"), 0, IF(AZ54&gt;=65%, 1, 0))</f>
        <v>0</v>
      </c>
      <c r="BM54" s="118">
        <f>IF(OR(GradeSheet!$M49="W (Withdrawn)", GradeSheet!$M49="I (Incomplete)"), 0, IF(BA54&gt;=65%, 1, 0))</f>
        <v>0</v>
      </c>
      <c r="BN54" s="118">
        <f>IF(OR(GradeSheet!$M49="W (Withdrawn)", GradeSheet!$M49="I (Incomplete)"), 0, IF(BB54&gt;=65%, 1, 0))</f>
        <v>0</v>
      </c>
      <c r="BO54" s="118">
        <f>IF(OR(GradeSheet!$M49="W (Withdrawn)", GradeSheet!$M49="I (Incomplete)"), 0, IF(BC54&gt;=65%, 1, 0))</f>
        <v>0</v>
      </c>
      <c r="BP54" s="118">
        <f>IF(OR(GradeSheet!$M49="W (Withdrawn)", GradeSheet!$M49="I (Incomplete)"), 0, IF(BD54&gt;=65%, 1, 0))</f>
        <v>0</v>
      </c>
      <c r="BQ54" s="118">
        <f>IF(OR(GradeSheet!$M49="W (Withdrawn)", GradeSheet!$M49="I (Incomplete)"), 0, IF(BE54&gt;=65%, 1, 0))</f>
        <v>0</v>
      </c>
      <c r="BR54" s="118">
        <f>IF(OR(GradeSheet!$M49="W (Withdrawn)", GradeSheet!$M49="I (Incomplete)"), 0, IF(BF54&gt;=65%, 1, 0))</f>
        <v>0</v>
      </c>
    </row>
    <row r="55" spans="1:70" ht="15.75" customHeight="1">
      <c r="A55" s="147">
        <v>41</v>
      </c>
      <c r="B55" s="22"/>
      <c r="C55" s="30"/>
      <c r="D55" s="137"/>
      <c r="E55" s="137"/>
      <c r="F55" s="138"/>
      <c r="G55" s="138"/>
      <c r="H55" s="138"/>
      <c r="I55" s="138"/>
      <c r="J55" s="137"/>
      <c r="K55" s="137"/>
      <c r="L55" s="137"/>
      <c r="M55" s="138"/>
      <c r="N55" s="138"/>
      <c r="O55" s="138"/>
      <c r="P55" s="139"/>
      <c r="Q55" s="140"/>
      <c r="R55" s="140"/>
      <c r="S55" s="140"/>
      <c r="T55" s="140"/>
      <c r="U55" s="141"/>
      <c r="V55" s="139"/>
      <c r="W55" s="140"/>
      <c r="X55" s="140"/>
      <c r="Y55" s="140"/>
      <c r="Z55" s="140"/>
      <c r="AA55" s="141"/>
      <c r="AB55" s="142">
        <f t="shared" ref="AB55:AE55" si="94">SUM(V55,D55,J55)</f>
        <v>0</v>
      </c>
      <c r="AC55" s="143">
        <f t="shared" si="94"/>
        <v>0</v>
      </c>
      <c r="AD55" s="148">
        <f t="shared" si="94"/>
        <v>0</v>
      </c>
      <c r="AE55" s="148">
        <f t="shared" si="94"/>
        <v>0</v>
      </c>
      <c r="AF55" s="143">
        <f t="shared" si="8"/>
        <v>0</v>
      </c>
      <c r="AG55" s="148">
        <f t="shared" si="9"/>
        <v>0</v>
      </c>
      <c r="AH55" s="144">
        <f t="shared" ref="AH55:AM55" si="95">IF(AB55 = 0, 0, AB55/AB$14)</f>
        <v>0</v>
      </c>
      <c r="AI55" s="144">
        <f t="shared" si="95"/>
        <v>0</v>
      </c>
      <c r="AJ55" s="144">
        <f t="shared" si="95"/>
        <v>0</v>
      </c>
      <c r="AK55" s="144">
        <f t="shared" si="95"/>
        <v>0</v>
      </c>
      <c r="AL55" s="144">
        <f t="shared" si="95"/>
        <v>0</v>
      </c>
      <c r="AM55" s="144">
        <f t="shared" si="95"/>
        <v>0</v>
      </c>
      <c r="AN55" s="118">
        <f>IF(OR(GradeSheet!$M50="W (Withdrawn)", GradeSheet!$M50="I (Incomplete)"), 0, IF(AH55&gt;=55%, 1, 0))</f>
        <v>0</v>
      </c>
      <c r="AO55" s="118">
        <f>IF(OR(GradeSheet!$M50="W (Withdrawn)", GradeSheet!$M50="I (Incomplete)"), 0, IF(AI55&gt;=55%, 1, 0))</f>
        <v>0</v>
      </c>
      <c r="AP55" s="118">
        <f>IF(OR(GradeSheet!$M50="W (Withdrawn)", GradeSheet!$M50="I (Incomplete)"), 0, IF(AJ55&gt;=55%, 1, 0))</f>
        <v>0</v>
      </c>
      <c r="AQ55" s="118">
        <f>IF(OR(GradeSheet!$M50="W (Withdrawn)", GradeSheet!$M50="I (Incomplete)"), 0, IF(AK55&gt;=55%, 1, 0))</f>
        <v>0</v>
      </c>
      <c r="AR55" s="118">
        <f>IF(OR(GradeSheet!$M50="W (Withdrawn)", GradeSheet!$M50="I (Incomplete)"), 0, IF(AL55&gt;=55%, 1, 0))</f>
        <v>0</v>
      </c>
      <c r="AS55" s="118">
        <f>IF(OR(GradeSheet!$M50="W (Withdrawn)", GradeSheet!$M50="I (Incomplete)"), 0, IF(AM55&gt;=55%, 1, 0))</f>
        <v>0</v>
      </c>
      <c r="AT55" s="122"/>
      <c r="AU55" s="146">
        <f t="shared" si="11"/>
        <v>0</v>
      </c>
      <c r="AV55" s="146">
        <f t="shared" si="12"/>
        <v>0</v>
      </c>
      <c r="AW55" s="146">
        <f t="array" ref="AW55">IF($AV$9=0,0,MMULT($AH55:$AM55, AV$3:AV$8)/$AV$9)</f>
        <v>0</v>
      </c>
      <c r="AX55" s="146">
        <f t="array" ref="AX55">IF($AW$9=0,0,MMULT($AH55:$AM55, AW$3:AW$8)/$AW$9)</f>
        <v>0</v>
      </c>
      <c r="AY55" s="146">
        <f t="shared" si="13"/>
        <v>0</v>
      </c>
      <c r="AZ55" s="146">
        <f t="array" ref="AZ55">IF($AY$9=0,0,MMULT($AH55:$AM55, AY$3:AY$8)/$AY$9)</f>
        <v>0</v>
      </c>
      <c r="BA55" s="146">
        <f t="array" ref="BA55">IF($AZ$9=0,0,MMULT($AH55:$AM55, AZ$3:AZ$8)/$AZ$9)</f>
        <v>0</v>
      </c>
      <c r="BB55" s="146">
        <f t="array" ref="BB55">IF($BA$9=0,0,MMULT($AH55:$AM55, BA$3:BA$8)/$BA$9)</f>
        <v>0</v>
      </c>
      <c r="BC55" s="146">
        <f t="array" ref="BC55">IF($BB$9=0,0,MMULT($AH55:$AM55, BB$3:BB$8)/$BB$9)</f>
        <v>0</v>
      </c>
      <c r="BD55" s="146">
        <f t="array" ref="BD55">IF($BC$9=0,0,MMULT($AH55:$AM55, BC$3:BC$8)/$BC$9)</f>
        <v>0</v>
      </c>
      <c r="BE55" s="146">
        <f t="shared" si="14"/>
        <v>0</v>
      </c>
      <c r="BF55" s="146">
        <f t="shared" si="15"/>
        <v>0</v>
      </c>
      <c r="BG55" s="118">
        <f>IF(OR(GradeSheet!$M50="W (Withdrawn)", GradeSheet!$M50="I (Incomplete)"), 0, IF(AU55&gt;=65%, 1, 0))</f>
        <v>0</v>
      </c>
      <c r="BH55" s="118">
        <f>IF(OR(GradeSheet!$M50="W (Withdrawn)", GradeSheet!$M50="I (Incomplete)"), 0, IF(AV55&gt;=65%, 1, 0))</f>
        <v>0</v>
      </c>
      <c r="BI55" s="118">
        <f>IF(OR(GradeSheet!$M50="W (Withdrawn)", GradeSheet!$M50="I (Incomplete)"), 0, IF(AW55&gt;=65%, 1, 0))</f>
        <v>0</v>
      </c>
      <c r="BJ55" s="118">
        <f>IF(OR(GradeSheet!$M50="W (Withdrawn)", GradeSheet!$M50="I (Incomplete)"), 0, IF(AX55&gt;=65%, 1, 0))</f>
        <v>0</v>
      </c>
      <c r="BK55" s="118">
        <f>IF(OR(GradeSheet!$M50="W (Withdrawn)", GradeSheet!$M50="I (Incomplete)"), 0, IF(AY55&gt;=65%, 1, 0))</f>
        <v>0</v>
      </c>
      <c r="BL55" s="118">
        <f>IF(OR(GradeSheet!$M50="W (Withdrawn)", GradeSheet!$M50="I (Incomplete)"), 0, IF(AZ55&gt;=65%, 1, 0))</f>
        <v>0</v>
      </c>
      <c r="BM55" s="118">
        <f>IF(OR(GradeSheet!$M50="W (Withdrawn)", GradeSheet!$M50="I (Incomplete)"), 0, IF(BA55&gt;=65%, 1, 0))</f>
        <v>0</v>
      </c>
      <c r="BN55" s="118">
        <f>IF(OR(GradeSheet!$M50="W (Withdrawn)", GradeSheet!$M50="I (Incomplete)"), 0, IF(BB55&gt;=65%, 1, 0))</f>
        <v>0</v>
      </c>
      <c r="BO55" s="118">
        <f>IF(OR(GradeSheet!$M50="W (Withdrawn)", GradeSheet!$M50="I (Incomplete)"), 0, IF(BC55&gt;=65%, 1, 0))</f>
        <v>0</v>
      </c>
      <c r="BP55" s="118">
        <f>IF(OR(GradeSheet!$M50="W (Withdrawn)", GradeSheet!$M50="I (Incomplete)"), 0, IF(BD55&gt;=65%, 1, 0))</f>
        <v>0</v>
      </c>
      <c r="BQ55" s="118">
        <f>IF(OR(GradeSheet!$M50="W (Withdrawn)", GradeSheet!$M50="I (Incomplete)"), 0, IF(BE55&gt;=65%, 1, 0))</f>
        <v>0</v>
      </c>
      <c r="BR55" s="118">
        <f>IF(OR(GradeSheet!$M50="W (Withdrawn)", GradeSheet!$M50="I (Incomplete)"), 0, IF(BF55&gt;=65%, 1, 0))</f>
        <v>0</v>
      </c>
    </row>
    <row r="56" spans="1:70" ht="15.75" customHeight="1">
      <c r="A56" s="149">
        <v>42</v>
      </c>
      <c r="B56" s="22"/>
      <c r="C56" s="30"/>
      <c r="D56" s="150"/>
      <c r="E56" s="151"/>
      <c r="F56" s="152"/>
      <c r="G56" s="153"/>
      <c r="H56" s="153"/>
      <c r="I56" s="153"/>
      <c r="J56" s="137"/>
      <c r="K56" s="137"/>
      <c r="L56" s="137"/>
      <c r="M56" s="153"/>
      <c r="N56" s="153"/>
      <c r="O56" s="154"/>
      <c r="P56" s="153"/>
      <c r="Q56" s="153"/>
      <c r="R56" s="153"/>
      <c r="S56" s="153"/>
      <c r="T56" s="153"/>
      <c r="U56" s="154"/>
      <c r="V56" s="153"/>
      <c r="W56" s="153"/>
      <c r="X56" s="153"/>
      <c r="Y56" s="153"/>
      <c r="Z56" s="153"/>
      <c r="AA56" s="154"/>
      <c r="AB56" s="142">
        <f t="shared" ref="AB56:AE56" si="96">SUM(V56,D56,J56)</f>
        <v>0</v>
      </c>
      <c r="AC56" s="143">
        <f t="shared" si="96"/>
        <v>0</v>
      </c>
      <c r="AD56" s="155">
        <f t="shared" si="96"/>
        <v>0</v>
      </c>
      <c r="AE56" s="155">
        <f t="shared" si="96"/>
        <v>0</v>
      </c>
      <c r="AF56" s="155">
        <f t="shared" si="8"/>
        <v>0</v>
      </c>
      <c r="AG56" s="155">
        <f t="shared" si="9"/>
        <v>0</v>
      </c>
      <c r="AH56" s="144">
        <f t="shared" ref="AH56:AM56" si="97">IF(AB56 = 0, 0, AB56/AB$14)</f>
        <v>0</v>
      </c>
      <c r="AI56" s="156">
        <f t="shared" si="97"/>
        <v>0</v>
      </c>
      <c r="AJ56" s="156">
        <f t="shared" si="97"/>
        <v>0</v>
      </c>
      <c r="AK56" s="156">
        <f t="shared" si="97"/>
        <v>0</v>
      </c>
      <c r="AL56" s="156">
        <f t="shared" si="97"/>
        <v>0</v>
      </c>
      <c r="AM56" s="156">
        <f t="shared" si="97"/>
        <v>0</v>
      </c>
      <c r="AN56" s="157">
        <f>IF(OR(GradeSheet!$M51="W (Withdrawn)", GradeSheet!$M51="I (Incomplete)"), 0, IF(AH56&gt;=55%, 1, 0))</f>
        <v>0</v>
      </c>
      <c r="AO56" s="157">
        <f>IF(OR(GradeSheet!$M51="W (Withdrawn)", GradeSheet!$M51="I (Incomplete)"), 0, IF(AI56&gt;=55%, 1, 0))</f>
        <v>0</v>
      </c>
      <c r="AP56" s="157">
        <f>IF(OR(GradeSheet!$M51="W (Withdrawn)", GradeSheet!$M51="I (Incomplete)"), 0, IF(AJ56&gt;=55%, 1, 0))</f>
        <v>0</v>
      </c>
      <c r="AQ56" s="157">
        <f>IF(OR(GradeSheet!$M51="W (Withdrawn)", GradeSheet!$M51="I (Incomplete)"), 0, IF(AK56&gt;=55%, 1, 0))</f>
        <v>0</v>
      </c>
      <c r="AR56" s="157">
        <f>IF(OR(GradeSheet!$M51="W (Withdrawn)", GradeSheet!$M51="I (Incomplete)"), 0, IF(AL56&gt;=55%, 1, 0))</f>
        <v>0</v>
      </c>
      <c r="AS56" s="158">
        <f>IF(OR(GradeSheet!$M51="W (Withdrawn)", GradeSheet!$M51="I (Incomplete)"), 0, IF(AM56&gt;=55%, 1, 0))</f>
        <v>0</v>
      </c>
      <c r="AT56" s="159"/>
      <c r="AU56" s="160">
        <f t="array" ref="AU56">IF($AT$9=0,0,MMULT($AH56:$AM56, AT$3:AT$8)/$AT$9)</f>
        <v>0</v>
      </c>
      <c r="AV56" s="160">
        <f t="array" ref="AV56">IF($AU$9=0,0,MMULT($AH56:$AM56, AU$3:AU$8)/$AU$9)</f>
        <v>0</v>
      </c>
      <c r="AW56" s="160">
        <f t="array" ref="AW56">IF($AV$9=0,0,MMULT($AH56:$AM56, AV$3:AV$8)/$AV$9)</f>
        <v>0</v>
      </c>
      <c r="AX56" s="160">
        <f t="array" ref="AX56">IF($AW$9=0,0,MMULT($AH56:$AM56, AW$3:AW$8)/$AW$9)</f>
        <v>0</v>
      </c>
      <c r="AY56" s="160">
        <f t="array" ref="AY56">IF($AX$9=0,0,MMULT($AH56:$AM56, AX$3:AX$8)/$AX$9)</f>
        <v>0</v>
      </c>
      <c r="AZ56" s="160">
        <f t="array" ref="AZ56">IF($AY$9=0,0,MMULT($AH56:$AM56, AY$3:AY$8)/$AY$9)</f>
        <v>0</v>
      </c>
      <c r="BA56" s="160">
        <f t="array" ref="BA56">IF($AZ$9=0,0,MMULT($AH56:$AM56, AZ$3:AZ$8)/$AZ$9)</f>
        <v>0</v>
      </c>
      <c r="BB56" s="160">
        <f t="array" ref="BB56">IF($BA$9=0,0,MMULT($AH56:$AM56, BA$3:BA$8)/$BA$9)</f>
        <v>0</v>
      </c>
      <c r="BC56" s="160">
        <f t="array" ref="BC56">IF($BB$9=0,0,MMULT($AH56:$AM56, BB$3:BB$8)/$BB$9)</f>
        <v>0</v>
      </c>
      <c r="BD56" s="160">
        <f t="array" ref="BD56">IF($BC$9=0,0,MMULT($AH56:$AM56, BC$3:BC$8)/$BC$9)</f>
        <v>0</v>
      </c>
      <c r="BE56" s="160">
        <f t="array" ref="BE56">IF($BD$9=0,0,MMULT($AH56:$AM56, BD$3:BD$8)/$BD$9)</f>
        <v>0</v>
      </c>
      <c r="BF56" s="160">
        <f t="array" ref="BF56">IF($BE$9=0,0,MMULT($AH56:$AM56, BE$3:BE$8)/$BE$9)</f>
        <v>0</v>
      </c>
      <c r="BG56" s="157">
        <f>IF(OR(GradeSheet!$M51="W (Withdrawn)", GradeSheet!$M51="I (Incomplete)"), 0, IF(AU56&gt;=65%, 1, 0))</f>
        <v>0</v>
      </c>
      <c r="BH56" s="157">
        <f>IF(OR(GradeSheet!$M51="W (Withdrawn)", GradeSheet!$M51="I (Incomplete)"), 0, IF(AV56&gt;=65%, 1, 0))</f>
        <v>0</v>
      </c>
      <c r="BI56" s="157">
        <f>IF(OR(GradeSheet!$M51="W (Withdrawn)", GradeSheet!$M51="I (Incomplete)"), 0, IF(AW56&gt;=65%, 1, 0))</f>
        <v>0</v>
      </c>
      <c r="BJ56" s="157">
        <f>IF(OR(GradeSheet!$M51="W (Withdrawn)", GradeSheet!$M51="I (Incomplete)"), 0, IF(AX56&gt;=65%, 1, 0))</f>
        <v>0</v>
      </c>
      <c r="BK56" s="157">
        <f>IF(OR(GradeSheet!$M51="W (Withdrawn)", GradeSheet!$M51="I (Incomplete)"), 0, IF(AY56&gt;=65%, 1, 0))</f>
        <v>0</v>
      </c>
      <c r="BL56" s="157">
        <f>IF(OR(GradeSheet!$M51="W (Withdrawn)", GradeSheet!$M51="I (Incomplete)"), 0, IF(AZ56&gt;=65%, 1, 0))</f>
        <v>0</v>
      </c>
      <c r="BM56" s="157">
        <f>IF(OR(GradeSheet!$M51="W (Withdrawn)", GradeSheet!$M51="I (Incomplete)"), 0, IF(BA56&gt;=65%, 1, 0))</f>
        <v>0</v>
      </c>
      <c r="BN56" s="157">
        <f>IF(OR(GradeSheet!$M51="W (Withdrawn)", GradeSheet!$M51="I (Incomplete)"), 0, IF(BB56&gt;=65%, 1, 0))</f>
        <v>0</v>
      </c>
      <c r="BO56" s="157">
        <f>IF(OR(GradeSheet!$M51="W (Withdrawn)", GradeSheet!$M51="I (Incomplete)"), 0, IF(BC56&gt;=65%, 1, 0))</f>
        <v>0</v>
      </c>
      <c r="BP56" s="157">
        <f>IF(OR(GradeSheet!$M51="W (Withdrawn)", GradeSheet!$M51="I (Incomplete)"), 0, IF(BD56&gt;=65%, 1, 0))</f>
        <v>0</v>
      </c>
      <c r="BQ56" s="157">
        <f>IF(OR(GradeSheet!$M51="W (Withdrawn)", GradeSheet!$M51="I (Incomplete)"), 0, IF(BE56&gt;=65%, 1, 0))</f>
        <v>0</v>
      </c>
      <c r="BR56" s="158">
        <f>IF(OR(GradeSheet!$M51="W (Withdrawn)", GradeSheet!$M51="I (Incomplete)"), 0, IF(BF56&gt;=65%, 1, 0))</f>
        <v>0</v>
      </c>
    </row>
    <row r="57" spans="1:70" ht="15.75" customHeight="1">
      <c r="A57" s="161"/>
      <c r="B57" s="162"/>
      <c r="C57" s="163"/>
      <c r="D57" s="164"/>
      <c r="E57" s="164"/>
      <c r="F57" s="165"/>
      <c r="G57" s="165"/>
      <c r="H57" s="165"/>
      <c r="I57" s="165"/>
      <c r="J57" s="164"/>
      <c r="K57" s="164"/>
      <c r="L57" s="164"/>
      <c r="M57" s="165"/>
      <c r="N57" s="165"/>
      <c r="O57" s="166"/>
      <c r="P57" s="165"/>
      <c r="Q57" s="165"/>
      <c r="R57" s="165"/>
      <c r="S57" s="165"/>
      <c r="T57" s="165"/>
      <c r="U57" s="166"/>
      <c r="V57" s="165"/>
      <c r="W57" s="165"/>
      <c r="X57" s="165"/>
      <c r="Y57" s="165"/>
      <c r="Z57" s="165"/>
      <c r="AA57" s="166"/>
      <c r="AB57" s="167"/>
      <c r="AC57" s="167"/>
      <c r="AD57" s="167"/>
      <c r="AE57" s="167"/>
      <c r="AF57" s="167"/>
      <c r="AG57" s="167"/>
      <c r="AH57" s="168"/>
      <c r="AI57" s="168"/>
      <c r="AJ57" s="168"/>
      <c r="AK57" s="168"/>
      <c r="AL57" s="168"/>
      <c r="AM57" s="168"/>
      <c r="AN57" s="169"/>
      <c r="AO57" s="169"/>
      <c r="AP57" s="169"/>
      <c r="AQ57" s="169"/>
      <c r="AR57" s="169"/>
      <c r="AS57" s="158"/>
      <c r="AT57" s="170"/>
      <c r="AU57" s="171"/>
      <c r="AV57" s="171"/>
      <c r="AW57" s="171"/>
      <c r="AX57" s="171"/>
      <c r="AY57" s="171"/>
      <c r="AZ57" s="171"/>
      <c r="BA57" s="171"/>
      <c r="BB57" s="171"/>
      <c r="BC57" s="171"/>
      <c r="BD57" s="171"/>
      <c r="BE57" s="171"/>
      <c r="BF57" s="171"/>
      <c r="BG57" s="169"/>
      <c r="BH57" s="169"/>
      <c r="BI57" s="169"/>
      <c r="BJ57" s="169"/>
      <c r="BK57" s="169"/>
      <c r="BL57" s="169"/>
      <c r="BM57" s="169"/>
      <c r="BN57" s="169"/>
      <c r="BO57" s="169"/>
      <c r="BP57" s="169"/>
      <c r="BQ57" s="169"/>
      <c r="BR57" s="169"/>
    </row>
    <row r="58" spans="1:70" ht="15.75" customHeight="1">
      <c r="A58" s="172">
        <v>42</v>
      </c>
      <c r="B58" s="268" t="s">
        <v>146</v>
      </c>
      <c r="C58" s="262"/>
      <c r="D58" s="173" t="e">
        <f t="shared" ref="D58:W58" si="98">AVERAGE(D15:D56)</f>
        <v>#DIV/0!</v>
      </c>
      <c r="E58" s="173" t="e">
        <f t="shared" si="98"/>
        <v>#DIV/0!</v>
      </c>
      <c r="F58" s="173" t="e">
        <f t="shared" si="98"/>
        <v>#DIV/0!</v>
      </c>
      <c r="G58" s="173" t="e">
        <f t="shared" si="98"/>
        <v>#DIV/0!</v>
      </c>
      <c r="H58" s="173" t="e">
        <f t="shared" si="98"/>
        <v>#DIV/0!</v>
      </c>
      <c r="I58" s="173" t="e">
        <f t="shared" si="98"/>
        <v>#DIV/0!</v>
      </c>
      <c r="J58" s="173" t="e">
        <f t="shared" si="98"/>
        <v>#DIV/0!</v>
      </c>
      <c r="K58" s="173" t="e">
        <f t="shared" si="98"/>
        <v>#DIV/0!</v>
      </c>
      <c r="L58" s="173" t="e">
        <f t="shared" si="98"/>
        <v>#DIV/0!</v>
      </c>
      <c r="M58" s="173" t="e">
        <f t="shared" si="98"/>
        <v>#DIV/0!</v>
      </c>
      <c r="N58" s="173" t="e">
        <f t="shared" si="98"/>
        <v>#DIV/0!</v>
      </c>
      <c r="O58" s="173" t="e">
        <f t="shared" si="98"/>
        <v>#DIV/0!</v>
      </c>
      <c r="P58" s="173" t="e">
        <f t="shared" si="98"/>
        <v>#DIV/0!</v>
      </c>
      <c r="Q58" s="173" t="e">
        <f t="shared" si="98"/>
        <v>#DIV/0!</v>
      </c>
      <c r="R58" s="173" t="e">
        <f t="shared" si="98"/>
        <v>#DIV/0!</v>
      </c>
      <c r="S58" s="173" t="e">
        <f t="shared" si="98"/>
        <v>#DIV/0!</v>
      </c>
      <c r="T58" s="173" t="e">
        <f t="shared" si="98"/>
        <v>#DIV/0!</v>
      </c>
      <c r="U58" s="173" t="e">
        <f t="shared" si="98"/>
        <v>#DIV/0!</v>
      </c>
      <c r="V58" s="173" t="e">
        <f t="shared" si="98"/>
        <v>#DIV/0!</v>
      </c>
      <c r="W58" s="173" t="e">
        <f t="shared" si="98"/>
        <v>#DIV/0!</v>
      </c>
      <c r="X58" s="174" t="e">
        <f t="shared" ref="X58:AF58" si="99">AVERAGE(X15:X54)</f>
        <v>#DIV/0!</v>
      </c>
      <c r="Y58" s="174" t="e">
        <f t="shared" si="99"/>
        <v>#DIV/0!</v>
      </c>
      <c r="Z58" s="174" t="e">
        <f t="shared" si="99"/>
        <v>#DIV/0!</v>
      </c>
      <c r="AA58" s="174" t="e">
        <f t="shared" si="99"/>
        <v>#DIV/0!</v>
      </c>
      <c r="AB58" s="173">
        <f t="shared" si="99"/>
        <v>0</v>
      </c>
      <c r="AC58" s="173">
        <f t="shared" si="99"/>
        <v>0</v>
      </c>
      <c r="AD58" s="173">
        <f t="shared" si="99"/>
        <v>0</v>
      </c>
      <c r="AE58" s="173">
        <f t="shared" si="99"/>
        <v>0</v>
      </c>
      <c r="AF58" s="173">
        <f t="shared" si="99"/>
        <v>0</v>
      </c>
      <c r="AG58" s="173">
        <f>AVERAGE(AG15:AG55)</f>
        <v>0</v>
      </c>
      <c r="AH58" s="129">
        <f>(SUMIFS(AH15:AH56,GradeSheet!M10:'GradeSheet'!M51,"&lt;&gt;W (Withdrawn)",GradeSheet!M10:'GradeSheet'!M51,"&lt;&gt;I (Incomplete)"))/($A$58-GradeSheet!$H$65-GradeSheet!$H$66)</f>
        <v>0</v>
      </c>
      <c r="AI58" s="129">
        <f>(SUMIFS(AI15:AI56,GradeSheet!N10:'GradeSheet'!N51,"&lt;&gt;W (Withdrawn)",GradeSheet!N10:'GradeSheet'!N51,"&lt;&gt;I (Incomplete)"))/($A$58-GradeSheet!$H$65-GradeSheet!$H$66)</f>
        <v>0</v>
      </c>
      <c r="AJ58" s="129">
        <f>(SUMIFS(AJ15:AJ56,GradeSheet!O10:'GradeSheet'!O51,"&lt;&gt;W (Withdrawn)",GradeSheet!O10:'GradeSheet'!O51,"&lt;&gt;I (Incomplete)"))/($A$58-GradeSheet!$H$65-GradeSheet!$H$66)</f>
        <v>0</v>
      </c>
      <c r="AK58" s="129">
        <f>(SUMIFS(AK15:AK56,GradeSheet!P10:'GradeSheet'!P51,"&lt;&gt;W (Withdrawn)",GradeSheet!P10:'GradeSheet'!P51,"&lt;&gt;I (Incomplete)"))/($A$58-GradeSheet!$H$65-GradeSheet!$H$66)</f>
        <v>0</v>
      </c>
      <c r="AL58" s="129">
        <f>(SUMIFS(AL15:AL56,GradeSheet!Q10:'GradeSheet'!Q51,"&lt;&gt;W (Withdrawn)",GradeSheet!Q10:'GradeSheet'!Q51,"&lt;&gt;I (Incomplete)"))/($A$58-GradeSheet!$H$65-GradeSheet!$H$66)</f>
        <v>0</v>
      </c>
      <c r="AM58" s="129">
        <f>(SUMIFS(AM15:AM56,GradeSheet!R10:'GradeSheet'!R51,"&lt;&gt;W (Withdrawn)",GradeSheet!R10:'GradeSheet'!R51,"&lt;&gt;I (Incomplete)"))/($A$58-GradeSheet!$H$65-GradeSheet!$H$66)</f>
        <v>0</v>
      </c>
      <c r="AN58" s="126">
        <f t="shared" ref="AN58:AS58" si="100">SUM(AN15:AN54)</f>
        <v>4</v>
      </c>
      <c r="AO58" s="126">
        <f t="shared" si="100"/>
        <v>0</v>
      </c>
      <c r="AP58" s="126">
        <f t="shared" si="100"/>
        <v>0</v>
      </c>
      <c r="AQ58" s="126">
        <f t="shared" si="100"/>
        <v>0</v>
      </c>
      <c r="AR58" s="126">
        <f t="shared" si="100"/>
        <v>0</v>
      </c>
      <c r="AS58" s="126">
        <f t="shared" si="100"/>
        <v>0</v>
      </c>
      <c r="AT58" s="122"/>
      <c r="AU58" s="129" t="e">
        <f>(SUMIFS(AU15:AU54,GradeSheet!M10:GradeSheet!#REF!,"&lt;&gt;W (Withdrawn)",GradeSheet!M10:GradeSheet!#REF!,"&lt;&gt;I (Incomplete)"))/($A$56-GradeSheet!$H$63-GradeSheet!$H$64)</f>
        <v>#REF!</v>
      </c>
      <c r="AV58" s="129" t="e">
        <f>(SUMIFS(AV15:AV54,GradeSheet!N10:GradeSheet!#REF!,"&lt;&gt;W (Withdrawn)",GradeSheet!N10:GradeSheet!#REF!,"&lt;&gt;I (Incomplete)"))/($A$56-GradeSheet!$H$63-GradeSheet!$H$64)</f>
        <v>#REF!</v>
      </c>
      <c r="AW58" s="129" t="e">
        <f>(SUMIFS(AW15:AW54,GradeSheet!O10:GradeSheet!#REF!,"&lt;&gt;W (Withdrawn)",GradeSheet!O10:GradeSheet!#REF!,"&lt;&gt;I (Incomplete)"))/($A$56-GradeSheet!$H$63-GradeSheet!$H$64)</f>
        <v>#REF!</v>
      </c>
      <c r="AX58" s="129" t="e">
        <f>(SUMIFS(AX15:AX54,GradeSheet!P10:GradeSheet!#REF!,"&lt;&gt;W (Withdrawn)",GradeSheet!P10:GradeSheet!#REF!,"&lt;&gt;I (Incomplete)"))/($A$56-GradeSheet!$H$63-GradeSheet!$H$64)</f>
        <v>#REF!</v>
      </c>
      <c r="AY58" s="129" t="e">
        <f>(SUMIFS(AY15:AY54,GradeSheet!Q10:GradeSheet!#REF!,"&lt;&gt;W (Withdrawn)",GradeSheet!Q10:GradeSheet!#REF!,"&lt;&gt;I (Incomplete)"))/($A$56-GradeSheet!$H$63-GradeSheet!$H$64)</f>
        <v>#REF!</v>
      </c>
      <c r="AZ58" s="129" t="e">
        <f>(SUMIFS(AZ15:AZ54,GradeSheet!R10:GradeSheet!#REF!,"&lt;&gt;W (Withdrawn)",GradeSheet!R10:GradeSheet!#REF!,"&lt;&gt;I (Incomplete)"))/($A$56-GradeSheet!$H$63-GradeSheet!$H$64)</f>
        <v>#REF!</v>
      </c>
      <c r="BA58" s="129" t="e">
        <f>(SUMIFS(BA15:BA54,GradeSheet!T10:GradeSheet!#REF!,"&lt;&gt;W (Withdrawn)",GradeSheet!T10:GradeSheet!#REF!,"&lt;&gt;I (Incomplete)"))/($A$56-GradeSheet!$H$63-GradeSheet!$H$64)</f>
        <v>#REF!</v>
      </c>
      <c r="BB58" s="129" t="e">
        <f>(SUMIFS(BB15:BB54,GradeSheet!U10:GradeSheet!#REF!,"&lt;&gt;W (Withdrawn)",GradeSheet!U10:GradeSheet!#REF!,"&lt;&gt;I (Incomplete)"))/($A$56-GradeSheet!$H$63-GradeSheet!$H$64)</f>
        <v>#REF!</v>
      </c>
      <c r="BC58" s="129" t="e">
        <f>(SUMIFS(BC15:BC54,GradeSheet!#REF!:GradeSheet!#REF!,"&lt;&gt;W (Withdrawn)",GradeSheet!#REF!:GradeSheet!#REF!,"&lt;&gt;I (Incomplete)"))/($A$56-GradeSheet!$H$63-GradeSheet!$H$64)</f>
        <v>#REF!</v>
      </c>
      <c r="BD58" s="129" t="e">
        <f>(SUMIFS(BD15:BD54,GradeSheet!W10:GradeSheet!#REF!,"&lt;&gt;W (Withdrawn)",GradeSheet!W10:GradeSheet!#REF!,"&lt;&gt;I (Incomplete)"))/($A$56-GradeSheet!$H$63-GradeSheet!$H$64)</f>
        <v>#REF!</v>
      </c>
      <c r="BE58" s="129" t="e">
        <f>(SUMIFS(BE15:BE54,GradeSheet!X10:GradeSheet!#REF!,"&lt;&gt;W (Withdrawn)",GradeSheet!X10:GradeSheet!#REF!,"&lt;&gt;I (Incomplete)"))/($A$56-GradeSheet!$H$63-GradeSheet!$H$64)</f>
        <v>#REF!</v>
      </c>
      <c r="BF58" s="129" t="e">
        <f>(SUMIFS(BF15:BF54,GradeSheet!Y10:GradeSheet!#REF!,"&lt;&gt;W (Withdrawn)",GradeSheet!Y10:GradeSheet!#REF!,"&lt;&gt;I (Incomplete)"))/($A$56-GradeSheet!$H$63-GradeSheet!$H$64)</f>
        <v>#REF!</v>
      </c>
      <c r="BG58" s="126">
        <f t="shared" ref="BG58:BR58" si="101">SUM(BG15:BG54)</f>
        <v>0</v>
      </c>
      <c r="BH58" s="127">
        <f t="shared" si="101"/>
        <v>0</v>
      </c>
      <c r="BI58" s="127">
        <f t="shared" si="101"/>
        <v>0</v>
      </c>
      <c r="BJ58" s="127">
        <f t="shared" si="101"/>
        <v>0</v>
      </c>
      <c r="BK58" s="127">
        <f t="shared" si="101"/>
        <v>0</v>
      </c>
      <c r="BL58" s="127">
        <f t="shared" si="101"/>
        <v>0</v>
      </c>
      <c r="BM58" s="127">
        <f t="shared" si="101"/>
        <v>0</v>
      </c>
      <c r="BN58" s="127">
        <f t="shared" si="101"/>
        <v>0</v>
      </c>
      <c r="BO58" s="127">
        <f t="shared" si="101"/>
        <v>0</v>
      </c>
      <c r="BP58" s="127">
        <f t="shared" si="101"/>
        <v>0</v>
      </c>
      <c r="BQ58" s="127">
        <f t="shared" si="101"/>
        <v>0</v>
      </c>
      <c r="BR58" s="175">
        <f t="shared" si="101"/>
        <v>0</v>
      </c>
    </row>
    <row r="59" spans="1:70" ht="15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</row>
    <row r="60" spans="1:70" ht="15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176"/>
      <c r="AI60" s="176"/>
      <c r="AJ60" s="176"/>
      <c r="AK60" s="176"/>
      <c r="AL60" s="176"/>
      <c r="AM60" s="176"/>
      <c r="AN60" s="78"/>
      <c r="AO60" s="78"/>
      <c r="AP60" s="78"/>
      <c r="AQ60" s="78"/>
      <c r="AR60" s="78"/>
      <c r="AS60" s="78"/>
      <c r="AT60" s="78"/>
      <c r="AU60" s="78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</row>
    <row r="61" spans="1:70" ht="15.75" customHeight="1">
      <c r="A61" s="78"/>
      <c r="B61" s="78"/>
      <c r="C61" s="177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176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  <c r="AU61" s="78"/>
      <c r="AV61" s="78"/>
      <c r="AW61" s="78"/>
      <c r="AX61" s="78"/>
      <c r="AY61" s="78"/>
      <c r="AZ61" s="78"/>
      <c r="BA61" s="78"/>
      <c r="BB61" s="78"/>
      <c r="BC61" s="78"/>
      <c r="BD61" s="78"/>
      <c r="BE61" s="78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</row>
    <row r="62" spans="1:70" ht="15.75" customHeight="1">
      <c r="A62" s="78"/>
      <c r="B62" s="213" t="s">
        <v>10</v>
      </c>
      <c r="C62" s="214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</row>
    <row r="63" spans="1:70" ht="15.75" customHeight="1">
      <c r="A63" s="78"/>
      <c r="B63" s="213" t="s">
        <v>55</v>
      </c>
      <c r="C63" s="214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  <c r="AU63" s="78"/>
      <c r="AV63" s="78"/>
      <c r="AW63" s="78"/>
      <c r="AX63" s="78"/>
      <c r="AY63" s="78"/>
      <c r="AZ63" s="78"/>
      <c r="BA63" s="78"/>
      <c r="BB63" s="78"/>
      <c r="BC63" s="78"/>
      <c r="BD63" s="78"/>
      <c r="BE63" s="78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</row>
    <row r="64" spans="1:70" ht="15.75" customHeight="1">
      <c r="A64" s="78"/>
      <c r="B64" s="213" t="str">
        <f>GradeSheet!$B$68</f>
        <v>Department of CSE, ULAB</v>
      </c>
      <c r="C64" s="214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  <c r="AU64" s="78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</row>
    <row r="65" spans="1:70" ht="15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176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  <c r="BD65" s="78"/>
      <c r="BE65" s="78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</row>
    <row r="66" spans="1:70" ht="15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176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  <c r="AU66" s="78"/>
      <c r="AV66" s="78"/>
      <c r="AW66" s="78"/>
      <c r="AX66" s="78"/>
      <c r="AY66" s="78"/>
      <c r="AZ66" s="78"/>
      <c r="BA66" s="78"/>
      <c r="BB66" s="78"/>
      <c r="BC66" s="78"/>
      <c r="BD66" s="78"/>
      <c r="BE66" s="78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</row>
    <row r="67" spans="1:70" ht="15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  <c r="AU67" s="78"/>
      <c r="AV67" s="78"/>
      <c r="AW67" s="78"/>
      <c r="AX67" s="78"/>
      <c r="AY67" s="78"/>
      <c r="AZ67" s="78"/>
      <c r="BA67" s="78"/>
      <c r="BB67" s="78"/>
      <c r="BC67" s="78"/>
      <c r="BD67" s="78"/>
      <c r="BE67" s="78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1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</row>
    <row r="79" spans="1:70" ht="15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</row>
    <row r="80" spans="1:70" ht="15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</row>
    <row r="81" spans="1:70" ht="15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  <c r="AU81" s="78"/>
      <c r="AV81" s="78"/>
      <c r="AW81" s="78"/>
      <c r="AX81" s="78"/>
      <c r="AY81" s="78"/>
      <c r="AZ81" s="78"/>
      <c r="BA81" s="78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</row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20"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  <mergeCell ref="B64:C64"/>
    <mergeCell ref="AB12:AG12"/>
    <mergeCell ref="AH12:AM12"/>
    <mergeCell ref="AN12:AS12"/>
    <mergeCell ref="AU12:BF12"/>
    <mergeCell ref="AN14:AS14"/>
    <mergeCell ref="P12:U12"/>
    <mergeCell ref="V12:AA12"/>
    <mergeCell ref="B58:C58"/>
    <mergeCell ref="B62:C62"/>
    <mergeCell ref="B63:C63"/>
  </mergeCells>
  <pageMargins left="0.7" right="0.7" top="0.75" bottom="0.75" header="0" footer="0"/>
  <pageSetup orientation="landscape"/>
  <headerFooter>
    <oddHeader>&amp;LDepartment of CSE, ULAB&amp;CCO_POAttainmentAnalysis&amp;RCSE004(00)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workbookViewId="0">
      <selection activeCell="D7" sqref="D7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282" t="s">
        <v>147</v>
      </c>
      <c r="B1" s="261"/>
      <c r="C1" s="261"/>
      <c r="D1" s="262"/>
      <c r="E1" s="179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</row>
    <row r="2" spans="1:24" ht="16.5">
      <c r="A2" s="181" t="s">
        <v>0</v>
      </c>
      <c r="B2" s="182" t="str">
        <f>GradeSheet!$H$2</f>
        <v>CSE</v>
      </c>
      <c r="C2" s="183" t="s">
        <v>2</v>
      </c>
      <c r="D2" s="184">
        <f>GradeSheet!$L$2</f>
        <v>1</v>
      </c>
      <c r="E2" s="179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</row>
    <row r="3" spans="1:24" ht="16.5" customHeight="1">
      <c r="A3" s="181" t="s">
        <v>3</v>
      </c>
      <c r="B3" s="182" t="str">
        <f>GradeSheet!$H$3</f>
        <v>Operating Systems</v>
      </c>
      <c r="C3" s="185" t="s">
        <v>5</v>
      </c>
      <c r="D3" s="186" t="str">
        <f>GradeSheet!$L$3</f>
        <v>Spring 2025</v>
      </c>
      <c r="E3" s="179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</row>
    <row r="4" spans="1:24" ht="16.5">
      <c r="A4" s="181" t="s">
        <v>7</v>
      </c>
      <c r="B4" s="187">
        <f>GradeSheet!$H$4</f>
        <v>3</v>
      </c>
      <c r="C4" s="188" t="s">
        <v>148</v>
      </c>
      <c r="D4" s="189">
        <f>GradeSheet!$H$67</f>
        <v>42</v>
      </c>
      <c r="E4" s="179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</row>
    <row r="5" spans="1:24" ht="16.5">
      <c r="A5" s="179"/>
      <c r="B5" s="179"/>
      <c r="C5" s="179"/>
      <c r="D5" s="179"/>
      <c r="E5" s="179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</row>
    <row r="6" spans="1:24" ht="16.5">
      <c r="A6" s="283" t="s">
        <v>149</v>
      </c>
      <c r="B6" s="284"/>
      <c r="C6" s="190" t="s">
        <v>150</v>
      </c>
      <c r="D6" s="191" t="s">
        <v>140</v>
      </c>
      <c r="E6" s="179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</row>
    <row r="7" spans="1:24" ht="16.5">
      <c r="A7" s="280" t="s">
        <v>114</v>
      </c>
      <c r="B7" s="281"/>
      <c r="C7" s="285" t="s">
        <v>151</v>
      </c>
      <c r="D7" s="192">
        <f>CO_PO_AttainmentAnalysis!AN58/(GradeSheet!H67-GradeSheet!H66-GradeSheet!H65)</f>
        <v>9.5238095238095233E-2</v>
      </c>
      <c r="E7" s="179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0"/>
      <c r="R7" s="180"/>
      <c r="S7" s="180"/>
      <c r="T7" s="180"/>
      <c r="U7" s="180"/>
      <c r="V7" s="180"/>
      <c r="W7" s="180"/>
      <c r="X7" s="180"/>
    </row>
    <row r="8" spans="1:24" ht="16.5">
      <c r="A8" s="283" t="s">
        <v>115</v>
      </c>
      <c r="B8" s="261"/>
      <c r="C8" s="286"/>
      <c r="D8" s="192">
        <f>CO_PO_AttainmentAnalysis!$AO$58/(GradeSheet!H67-GradeSheet!H66-GradeSheet!H65)</f>
        <v>0</v>
      </c>
      <c r="E8" s="179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</row>
    <row r="9" spans="1:24" ht="16.5">
      <c r="A9" s="280" t="s">
        <v>116</v>
      </c>
      <c r="B9" s="281"/>
      <c r="C9" s="286"/>
      <c r="D9" s="192">
        <f>CO_PO_AttainmentAnalysis!$AP$58/(GradeSheet!H67-GradeSheet!H66-GradeSheet!H65)</f>
        <v>0</v>
      </c>
      <c r="E9" s="179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</row>
    <row r="10" spans="1:24" ht="16.5">
      <c r="A10" s="280" t="s">
        <v>117</v>
      </c>
      <c r="B10" s="281"/>
      <c r="C10" s="286"/>
      <c r="D10" s="192">
        <f>CO_PO_AttainmentAnalysis!$AQ$58/(GradeSheet!H67-GradeSheet!H66-GradeSheet!H65)</f>
        <v>0</v>
      </c>
      <c r="E10" s="179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</row>
    <row r="11" spans="1:24" ht="16.5">
      <c r="A11" s="280" t="s">
        <v>118</v>
      </c>
      <c r="B11" s="281"/>
      <c r="C11" s="286"/>
      <c r="D11" s="192">
        <f>CO_PO_AttainmentAnalysis!$AR$58/(GradeSheet!H67-GradeSheet!H66-GradeSheet!H65)</f>
        <v>0</v>
      </c>
      <c r="E11" s="179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</row>
    <row r="12" spans="1:24" ht="16.5">
      <c r="A12" s="280" t="s">
        <v>119</v>
      </c>
      <c r="B12" s="281"/>
      <c r="C12" s="287"/>
      <c r="D12" s="192">
        <f>CO_PO_AttainmentAnalysis!$AS$58/(GradeSheet!H67-GradeSheet!H66-GradeSheet!H65)</f>
        <v>0</v>
      </c>
      <c r="E12" s="179"/>
      <c r="F12" s="180"/>
      <c r="G12" s="180"/>
      <c r="H12" s="180"/>
      <c r="I12" s="180"/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</row>
    <row r="13" spans="1:24" ht="16.5">
      <c r="A13" s="179"/>
      <c r="B13" s="179"/>
      <c r="C13" s="179"/>
      <c r="D13" s="179"/>
      <c r="E13" s="179"/>
      <c r="F13" s="180"/>
      <c r="G13" s="180"/>
      <c r="H13" s="180"/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</row>
    <row r="14" spans="1:24" ht="27" customHeight="1">
      <c r="A14" s="290" t="s">
        <v>152</v>
      </c>
      <c r="B14" s="239"/>
      <c r="C14" s="239"/>
      <c r="D14" s="239"/>
      <c r="E14" s="179"/>
      <c r="F14" s="180"/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</row>
    <row r="15" spans="1:24" ht="15.75">
      <c r="A15" s="291"/>
      <c r="B15" s="218"/>
      <c r="C15" s="218"/>
      <c r="D15" s="219"/>
      <c r="E15" s="193"/>
      <c r="F15" s="194"/>
      <c r="G15" s="194"/>
      <c r="H15" s="194"/>
      <c r="I15" s="194"/>
      <c r="J15" s="180"/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</row>
    <row r="16" spans="1:24" ht="16.5" customHeight="1">
      <c r="A16" s="292" t="s">
        <v>153</v>
      </c>
      <c r="B16" s="218"/>
      <c r="C16" s="218"/>
      <c r="D16" s="219"/>
      <c r="E16" s="193"/>
      <c r="F16" s="194"/>
      <c r="G16" s="194"/>
      <c r="H16" s="194"/>
      <c r="I16" s="194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</row>
    <row r="17" spans="1:24" ht="15.75">
      <c r="A17" s="293" t="s">
        <v>154</v>
      </c>
      <c r="B17" s="218"/>
      <c r="C17" s="218"/>
      <c r="D17" s="219"/>
      <c r="E17" s="193"/>
      <c r="F17" s="194"/>
      <c r="G17" s="194"/>
      <c r="H17" s="194"/>
      <c r="I17" s="194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</row>
    <row r="18" spans="1:24" ht="15.75">
      <c r="A18" s="293" t="s">
        <v>155</v>
      </c>
      <c r="B18" s="218"/>
      <c r="C18" s="218"/>
      <c r="D18" s="219"/>
      <c r="E18" s="193"/>
      <c r="F18" s="194"/>
      <c r="G18" s="194"/>
      <c r="H18" s="194"/>
      <c r="I18" s="194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</row>
    <row r="19" spans="1:24" ht="15.75">
      <c r="A19" s="288"/>
      <c r="B19" s="218"/>
      <c r="C19" s="218"/>
      <c r="D19" s="219"/>
      <c r="E19" s="193"/>
      <c r="F19" s="194"/>
      <c r="G19" s="194"/>
      <c r="H19" s="194"/>
      <c r="I19" s="194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</row>
    <row r="20" spans="1:24" ht="15.75">
      <c r="A20" s="288"/>
      <c r="B20" s="218"/>
      <c r="C20" s="218"/>
      <c r="D20" s="219"/>
      <c r="E20" s="193"/>
      <c r="F20" s="194"/>
      <c r="G20" s="194"/>
      <c r="H20" s="194"/>
      <c r="I20" s="194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</row>
    <row r="21" spans="1:24" ht="15.75" customHeight="1">
      <c r="A21" s="195"/>
      <c r="B21" s="196"/>
      <c r="C21" s="196"/>
      <c r="D21" s="197"/>
      <c r="E21" s="193"/>
      <c r="F21" s="194"/>
      <c r="G21" s="194"/>
      <c r="H21" s="194"/>
      <c r="I21" s="194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</row>
    <row r="22" spans="1:24" ht="15.75" customHeight="1">
      <c r="A22" s="288"/>
      <c r="B22" s="218"/>
      <c r="C22" s="218"/>
      <c r="D22" s="219"/>
      <c r="E22" s="193"/>
      <c r="F22" s="194"/>
      <c r="G22" s="194"/>
      <c r="H22" s="194"/>
      <c r="I22" s="194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</row>
    <row r="23" spans="1:24" ht="15.75" customHeight="1">
      <c r="A23" s="289"/>
      <c r="B23" s="218"/>
      <c r="C23" s="218"/>
      <c r="D23" s="219"/>
      <c r="E23" s="179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</row>
    <row r="24" spans="1:24" ht="15.75" customHeight="1">
      <c r="A24" s="289"/>
      <c r="B24" s="218"/>
      <c r="C24" s="218"/>
      <c r="D24" s="219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</row>
    <row r="25" spans="1:24" ht="15.75" customHeight="1">
      <c r="A25" s="289"/>
      <c r="B25" s="218"/>
      <c r="C25" s="218"/>
      <c r="D25" s="219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</row>
    <row r="26" spans="1:24" ht="15.75" customHeight="1">
      <c r="A26" s="180"/>
      <c r="B26" s="180"/>
      <c r="C26" s="180"/>
      <c r="D26" s="198" t="s">
        <v>156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</row>
    <row r="27" spans="1:24" ht="15.75" customHeight="1">
      <c r="A27" s="180"/>
      <c r="B27" s="180"/>
      <c r="C27" s="180"/>
      <c r="D27" s="198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</row>
    <row r="28" spans="1:24" ht="15.75" customHeight="1">
      <c r="A28" s="180"/>
      <c r="B28" s="180"/>
      <c r="C28" s="180"/>
      <c r="D28" s="198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</row>
    <row r="29" spans="1:24" ht="15.75" customHeight="1">
      <c r="A29" s="180"/>
      <c r="B29" s="180"/>
      <c r="C29" s="180"/>
      <c r="D29" s="198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</row>
    <row r="30" spans="1:24" ht="15.75" customHeight="1">
      <c r="A30" s="180"/>
      <c r="B30" s="180"/>
      <c r="C30" s="180"/>
      <c r="D30" s="198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</row>
    <row r="31" spans="1:24" ht="15.75" customHeight="1">
      <c r="A31" s="180"/>
      <c r="B31" s="180"/>
      <c r="C31" s="180"/>
      <c r="D31" s="198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</row>
    <row r="32" spans="1:24" ht="15.75" customHeight="1">
      <c r="A32" s="180"/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</row>
    <row r="33" spans="1:24" ht="15.75" customHeight="1">
      <c r="A33" s="199" t="s">
        <v>157</v>
      </c>
      <c r="B33" s="200"/>
      <c r="C33" s="180"/>
      <c r="D33" s="180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</row>
    <row r="34" spans="1:24" ht="15.75" customHeight="1">
      <c r="A34" s="199" t="s">
        <v>158</v>
      </c>
      <c r="B34" s="201" t="str">
        <f>GradeSheet!$H$5</f>
        <v>Rubaiya Hafiz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</row>
    <row r="35" spans="1:24" ht="15.75" customHeight="1">
      <c r="A35" s="199" t="s">
        <v>159</v>
      </c>
      <c r="B35" s="202">
        <f ca="1">TODAY()</f>
        <v>46170</v>
      </c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</row>
    <row r="36" spans="1:24" ht="15.75" customHeight="1">
      <c r="A36" s="199"/>
      <c r="B36" s="202"/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</row>
    <row r="37" spans="1:24" ht="15.75" customHeight="1">
      <c r="A37" s="203"/>
      <c r="B37" s="57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</row>
    <row r="38" spans="1:24" ht="15.75" customHeight="1">
      <c r="A38" s="180"/>
      <c r="B38" s="180"/>
      <c r="C38" s="180"/>
      <c r="D38" s="180"/>
      <c r="E38" s="180"/>
      <c r="F38" s="180"/>
      <c r="G38" s="180"/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</row>
    <row r="39" spans="1:24" ht="15.75" customHeight="1">
      <c r="A39" s="180"/>
      <c r="B39" s="180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</row>
    <row r="40" spans="1:24" ht="15.75" customHeight="1">
      <c r="A40" s="180"/>
      <c r="B40" s="180"/>
      <c r="C40" s="180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</row>
    <row r="41" spans="1:24" ht="15.75" customHeight="1">
      <c r="A41" s="180"/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</row>
    <row r="42" spans="1:24" ht="15.75" customHeight="1">
      <c r="A42" s="180"/>
      <c r="B42" s="180"/>
      <c r="C42" s="180"/>
      <c r="D42" s="180"/>
      <c r="E42" s="180"/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</row>
    <row r="43" spans="1:24" ht="15.75" customHeight="1">
      <c r="A43" s="180"/>
      <c r="B43" s="180"/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</row>
    <row r="44" spans="1:24" ht="15.75" customHeight="1">
      <c r="A44" s="180"/>
      <c r="B44" s="180"/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</row>
    <row r="45" spans="1:24" ht="15.75" customHeight="1">
      <c r="A45" s="180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</row>
    <row r="46" spans="1:24" ht="15.75" customHeight="1">
      <c r="A46" s="18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</row>
    <row r="47" spans="1:24" ht="15.75" customHeight="1">
      <c r="A47" s="180"/>
      <c r="B47" s="180"/>
      <c r="C47" s="180"/>
      <c r="D47" s="180"/>
      <c r="E47" s="180"/>
      <c r="F47" s="180"/>
      <c r="G47" s="180"/>
      <c r="H47" s="180"/>
      <c r="I47" s="180"/>
      <c r="J47" s="180"/>
      <c r="K47" s="180"/>
      <c r="L47" s="180"/>
      <c r="M47" s="180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</row>
    <row r="48" spans="1:24" ht="15.75" customHeight="1">
      <c r="A48" s="180"/>
      <c r="B48" s="180"/>
      <c r="C48" s="180"/>
      <c r="D48" s="180"/>
      <c r="E48" s="180"/>
      <c r="F48" s="180"/>
      <c r="G48" s="180"/>
      <c r="H48" s="180"/>
      <c r="I48" s="180"/>
      <c r="J48" s="180"/>
      <c r="K48" s="180"/>
      <c r="L48" s="180"/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</row>
    <row r="49" spans="1:24" ht="15.75" customHeight="1">
      <c r="A49" s="180"/>
      <c r="B49" s="180"/>
      <c r="C49" s="180"/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</row>
    <row r="50" spans="1:24" ht="15.75" customHeight="1">
      <c r="A50" s="180"/>
      <c r="B50" s="180"/>
      <c r="C50" s="180"/>
      <c r="D50" s="180"/>
      <c r="E50" s="180"/>
      <c r="F50" s="180"/>
      <c r="G50" s="180"/>
      <c r="H50" s="180"/>
      <c r="I50" s="180"/>
      <c r="J50" s="180"/>
      <c r="K50" s="180"/>
      <c r="L50" s="180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</row>
    <row r="51" spans="1:24" ht="15.75" customHeight="1">
      <c r="A51" s="180"/>
      <c r="B51" s="180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</row>
    <row r="52" spans="1:24" ht="15.75" customHeight="1">
      <c r="A52" s="180"/>
      <c r="B52" s="180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</row>
    <row r="53" spans="1:24" ht="15.75" customHeight="1">
      <c r="A53" s="180"/>
      <c r="B53" s="180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</row>
    <row r="54" spans="1:24" ht="15.75" customHeight="1">
      <c r="A54" s="180"/>
      <c r="B54" s="180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</row>
    <row r="55" spans="1:24" ht="15.75" customHeight="1">
      <c r="A55" s="180"/>
      <c r="B55" s="180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</row>
    <row r="56" spans="1:24" ht="15.75" customHeight="1">
      <c r="A56" s="180"/>
      <c r="B56" s="180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</row>
    <row r="57" spans="1:24" ht="15.75" customHeight="1">
      <c r="A57" s="180"/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</row>
    <row r="58" spans="1:24" ht="15.75" customHeight="1">
      <c r="A58" s="180"/>
      <c r="B58" s="180"/>
      <c r="C58" s="180"/>
      <c r="D58" s="180"/>
      <c r="E58" s="180"/>
      <c r="F58" s="180"/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</row>
    <row r="59" spans="1:24" ht="15.75" customHeight="1">
      <c r="A59" s="180"/>
      <c r="B59" s="180"/>
      <c r="C59" s="180"/>
      <c r="D59" s="180"/>
      <c r="E59" s="180"/>
      <c r="F59" s="180"/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</row>
    <row r="60" spans="1:24" ht="15.75" customHeight="1">
      <c r="A60" s="180"/>
      <c r="B60" s="180"/>
      <c r="C60" s="180"/>
      <c r="D60" s="180"/>
      <c r="E60" s="180"/>
      <c r="F60" s="180"/>
      <c r="G60" s="180"/>
      <c r="H60" s="180"/>
      <c r="I60" s="180"/>
      <c r="J60" s="180"/>
      <c r="K60" s="180"/>
      <c r="L60" s="180"/>
      <c r="M60" s="180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</row>
    <row r="61" spans="1:24" ht="15.75" customHeight="1">
      <c r="A61" s="180"/>
      <c r="B61" s="180"/>
      <c r="C61" s="180"/>
      <c r="D61" s="180"/>
      <c r="E61" s="180"/>
      <c r="F61" s="180"/>
      <c r="G61" s="180"/>
      <c r="H61" s="180"/>
      <c r="I61" s="180"/>
      <c r="J61" s="180"/>
      <c r="K61" s="180"/>
      <c r="L61" s="180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</row>
    <row r="62" spans="1:24" ht="15.75" customHeight="1">
      <c r="A62" s="180"/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</row>
    <row r="63" spans="1:24" ht="15.75" customHeight="1">
      <c r="A63" s="180"/>
      <c r="B63" s="180"/>
      <c r="C63" s="180"/>
      <c r="D63" s="180"/>
      <c r="E63" s="180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</row>
    <row r="64" spans="1:24" ht="15.75" customHeight="1">
      <c r="A64" s="180"/>
      <c r="B64" s="180"/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</row>
    <row r="65" spans="1:24" ht="15.75" customHeight="1">
      <c r="A65" s="180"/>
      <c r="B65" s="180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</row>
    <row r="66" spans="1:24" ht="15.75" customHeight="1">
      <c r="A66" s="180"/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180"/>
      <c r="M66" s="180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</row>
    <row r="67" spans="1:24" ht="15.75" customHeight="1">
      <c r="A67" s="180"/>
      <c r="B67" s="180"/>
      <c r="C67" s="180"/>
      <c r="D67" s="180"/>
      <c r="E67" s="180"/>
      <c r="F67" s="180"/>
      <c r="G67" s="180"/>
      <c r="H67" s="180"/>
      <c r="I67" s="180"/>
      <c r="J67" s="180"/>
      <c r="K67" s="180"/>
      <c r="L67" s="180"/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</row>
    <row r="68" spans="1:24" ht="15.75" customHeight="1">
      <c r="A68" s="180"/>
      <c r="B68" s="180"/>
      <c r="C68" s="180"/>
      <c r="D68" s="180"/>
      <c r="E68" s="180"/>
      <c r="F68" s="180"/>
      <c r="G68" s="180"/>
      <c r="H68" s="180"/>
      <c r="I68" s="180"/>
      <c r="J68" s="180"/>
      <c r="K68" s="180"/>
      <c r="L68" s="180"/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</row>
    <row r="69" spans="1:24" ht="15.75" customHeight="1">
      <c r="A69" s="180"/>
      <c r="B69" s="180"/>
      <c r="C69" s="180"/>
      <c r="D69" s="180"/>
      <c r="E69" s="180"/>
      <c r="F69" s="180"/>
      <c r="G69" s="180"/>
      <c r="H69" s="180"/>
      <c r="I69" s="180"/>
      <c r="J69" s="180"/>
      <c r="K69" s="180"/>
      <c r="L69" s="180"/>
      <c r="M69" s="180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</row>
    <row r="70" spans="1:24" ht="15.75" customHeight="1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</row>
    <row r="71" spans="1:24" ht="15.75" customHeight="1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</row>
    <row r="72" spans="1:24" ht="15.75" customHeight="1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</row>
    <row r="73" spans="1:24" ht="15.75" customHeight="1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</row>
    <row r="74" spans="1:24" ht="15.75" customHeight="1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</row>
    <row r="75" spans="1:24" ht="15.75" customHeight="1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</row>
    <row r="76" spans="1:24" ht="15.75" customHeight="1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</row>
    <row r="77" spans="1:24" ht="15.75" customHeight="1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</row>
    <row r="78" spans="1:24" ht="15.75" customHeight="1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</row>
    <row r="79" spans="1:24" ht="15.75" customHeight="1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</row>
    <row r="80" spans="1:24" ht="15.75" customHeight="1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</row>
    <row r="81" spans="1:24" ht="15.75" customHeight="1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</row>
    <row r="82" spans="1:24" ht="15.75" customHeight="1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</row>
    <row r="83" spans="1:24" ht="15.75" customHeight="1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</row>
    <row r="84" spans="1:24" ht="15.75" customHeight="1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</row>
    <row r="85" spans="1:24" ht="15.75" customHeight="1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</row>
    <row r="86" spans="1:24" ht="15.75" customHeight="1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</row>
    <row r="87" spans="1:24" ht="15.75" customHeight="1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</row>
    <row r="88" spans="1:24" ht="15.75" customHeight="1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</row>
    <row r="89" spans="1:24" ht="15.75" customHeight="1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</row>
    <row r="90" spans="1:24" ht="15.75" customHeight="1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</row>
    <row r="91" spans="1:24" ht="15.75" customHeight="1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</row>
    <row r="92" spans="1:24" ht="15.75" customHeight="1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</row>
    <row r="93" spans="1:24" ht="15.75" customHeight="1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</row>
    <row r="94" spans="1:24" ht="15.75" customHeight="1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</row>
    <row r="95" spans="1:24" ht="15.75" customHeight="1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</row>
    <row r="96" spans="1:24" ht="15.75" customHeight="1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</row>
    <row r="97" spans="1:24" ht="15.75" customHeight="1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</row>
    <row r="98" spans="1:24" ht="15.75" customHeight="1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</row>
    <row r="99" spans="1:24" ht="15.75" customHeight="1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</row>
    <row r="100" spans="1:24" ht="15.75" customHeight="1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</row>
    <row r="101" spans="1:24" ht="15.75" customHeight="1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</row>
    <row r="102" spans="1:24" ht="15.75" customHeight="1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</row>
    <row r="103" spans="1:24" ht="15.75" customHeight="1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</row>
    <row r="104" spans="1:24" ht="15.75" customHeight="1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</row>
    <row r="105" spans="1:24" ht="15.75" customHeight="1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</row>
    <row r="106" spans="1:24" ht="15.75" customHeight="1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</row>
    <row r="107" spans="1:24" ht="15.75" customHeight="1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</row>
    <row r="108" spans="1:24" ht="15.75" customHeight="1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</row>
    <row r="109" spans="1:24" ht="15.75" customHeight="1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</row>
    <row r="110" spans="1:24" ht="15.75" customHeight="1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</row>
    <row r="111" spans="1:24" ht="15.75" customHeight="1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</row>
    <row r="112" spans="1:24" ht="15.75" customHeight="1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</row>
    <row r="113" spans="1:24" ht="15.75" customHeight="1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</row>
    <row r="114" spans="1:24" ht="15.75" customHeight="1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</row>
    <row r="115" spans="1:24" ht="15.75" customHeight="1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</row>
    <row r="116" spans="1:24" ht="15.75" customHeight="1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</row>
    <row r="117" spans="1:24" ht="15.75" customHeight="1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</row>
    <row r="118" spans="1:24" ht="15.75" customHeight="1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</row>
    <row r="119" spans="1:24" ht="15.75" customHeight="1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</row>
    <row r="120" spans="1:24" ht="15.75" customHeight="1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</row>
    <row r="121" spans="1:24" ht="15.75" customHeight="1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</row>
    <row r="122" spans="1:24" ht="15.75" customHeight="1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</row>
    <row r="123" spans="1:24" ht="15.7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</row>
    <row r="124" spans="1:24" ht="15.75" customHeight="1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</row>
    <row r="125" spans="1:24" ht="15.75" customHeight="1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</row>
    <row r="126" spans="1:24" ht="15.75" customHeight="1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</row>
    <row r="127" spans="1:24" ht="15.75" customHeight="1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</row>
    <row r="128" spans="1:24" ht="15.75" customHeight="1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</row>
    <row r="129" spans="1:24" ht="15.75" customHeight="1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</row>
    <row r="130" spans="1:24" ht="15.75" customHeight="1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</row>
    <row r="131" spans="1:24" ht="15.75" customHeight="1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</row>
    <row r="132" spans="1:24" ht="15.75" customHeight="1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</row>
    <row r="133" spans="1:24" ht="15.75" customHeight="1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</row>
    <row r="134" spans="1:24" ht="15.75" customHeight="1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</row>
    <row r="135" spans="1:24" ht="15.75" customHeight="1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</row>
    <row r="136" spans="1:24" ht="15.75" customHeight="1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</row>
    <row r="137" spans="1:24" ht="15.75" customHeight="1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</row>
    <row r="138" spans="1:24" ht="15.75" customHeight="1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</row>
    <row r="139" spans="1:24" ht="15.75" customHeight="1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</row>
    <row r="140" spans="1:24" ht="15.75" customHeight="1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</row>
    <row r="141" spans="1:24" ht="15.75" customHeight="1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</row>
    <row r="142" spans="1:24" ht="15.75" customHeight="1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</row>
    <row r="143" spans="1:24" ht="15.75" customHeight="1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</row>
    <row r="144" spans="1:24" ht="15.75" customHeight="1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</row>
    <row r="145" spans="1:24" ht="15.75" customHeight="1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</row>
    <row r="146" spans="1:24" ht="15.75" customHeight="1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</row>
    <row r="147" spans="1:24" ht="15.75" customHeight="1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</row>
    <row r="148" spans="1:24" ht="15.75" customHeight="1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</row>
    <row r="149" spans="1:24" ht="15.75" customHeight="1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</row>
    <row r="150" spans="1:24" ht="15.75" customHeight="1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</row>
    <row r="151" spans="1:24" ht="15.75" customHeight="1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</row>
    <row r="152" spans="1:24" ht="15.75" customHeight="1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</row>
    <row r="153" spans="1:24" ht="15.75" customHeight="1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</row>
    <row r="154" spans="1:24" ht="15.75" customHeight="1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</row>
    <row r="155" spans="1:24" ht="15.75" customHeight="1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</row>
    <row r="156" spans="1:24" ht="15.75" customHeight="1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</row>
    <row r="157" spans="1:24" ht="15.75" customHeight="1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</row>
    <row r="158" spans="1:24" ht="15.75" customHeight="1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</row>
    <row r="159" spans="1:24" ht="15.75" customHeight="1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</row>
    <row r="160" spans="1:24" ht="15.75" customHeight="1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</row>
    <row r="161" spans="1:24" ht="15.75" customHeight="1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</row>
    <row r="162" spans="1:24" ht="15.75" customHeight="1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</row>
    <row r="163" spans="1:24" ht="15.75" customHeight="1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</row>
    <row r="164" spans="1:24" ht="15.75" customHeight="1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</row>
    <row r="165" spans="1:24" ht="15.75" customHeight="1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</row>
    <row r="166" spans="1:24" ht="15.75" customHeight="1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</row>
    <row r="167" spans="1:24" ht="15.75" customHeight="1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</row>
    <row r="168" spans="1:24" ht="15.75" customHeight="1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</row>
    <row r="169" spans="1:24" ht="15.75" customHeight="1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</row>
    <row r="170" spans="1:24" ht="15.75" customHeight="1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</row>
    <row r="171" spans="1:24" ht="15.75" customHeight="1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</row>
    <row r="172" spans="1:24" ht="15.75" customHeight="1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</row>
    <row r="173" spans="1:24" ht="15.75" customHeight="1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</row>
    <row r="174" spans="1:24" ht="15.75" customHeight="1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</row>
    <row r="175" spans="1:24" ht="15.75" customHeight="1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</row>
    <row r="176" spans="1:24" ht="15.75" customHeight="1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</row>
    <row r="177" spans="1:24" ht="15.75" customHeight="1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</row>
    <row r="178" spans="1:24" ht="15.75" customHeight="1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</row>
    <row r="179" spans="1:24" ht="15.75" customHeight="1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</row>
    <row r="180" spans="1:24" ht="15.75" customHeight="1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</row>
    <row r="181" spans="1:24" ht="15.75" customHeight="1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</row>
    <row r="182" spans="1:24" ht="15.75" customHeight="1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</row>
    <row r="183" spans="1:24" ht="15.75" customHeight="1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</row>
    <row r="184" spans="1:24" ht="15.75" customHeight="1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</row>
    <row r="185" spans="1:24" ht="15.75" customHeight="1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</row>
    <row r="186" spans="1:24" ht="15.75" customHeight="1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</row>
    <row r="187" spans="1:24" ht="15.75" customHeight="1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</row>
    <row r="188" spans="1:24" ht="15.75" customHeight="1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</row>
    <row r="189" spans="1:24" ht="15.75" customHeight="1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</row>
    <row r="190" spans="1:24" ht="15.75" customHeight="1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</row>
    <row r="191" spans="1:24" ht="15.75" customHeight="1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</row>
    <row r="192" spans="1:24" ht="15.75" customHeight="1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</row>
    <row r="193" spans="1:24" ht="15.75" customHeight="1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</row>
    <row r="194" spans="1:24" ht="15.75" customHeight="1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</row>
    <row r="195" spans="1:24" ht="15.75" customHeight="1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</row>
    <row r="196" spans="1:24" ht="15.75" customHeight="1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</row>
    <row r="197" spans="1:24" ht="15.75" customHeight="1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</row>
    <row r="198" spans="1:24" ht="15.75" customHeight="1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</row>
    <row r="199" spans="1:24" ht="15.75" customHeight="1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</row>
    <row r="200" spans="1:24" ht="15.75" customHeight="1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</row>
    <row r="201" spans="1:24" ht="15.75" customHeight="1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</row>
    <row r="202" spans="1:24" ht="15.75" customHeight="1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</row>
    <row r="203" spans="1:24" ht="15.75" customHeight="1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</row>
    <row r="204" spans="1:24" ht="15.75" customHeight="1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</row>
    <row r="205" spans="1:24" ht="15.75" customHeight="1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</row>
    <row r="206" spans="1:24" ht="15.75" customHeight="1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</row>
    <row r="207" spans="1:24" ht="15.75" customHeight="1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</row>
    <row r="208" spans="1:24" ht="15.75" customHeight="1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</row>
    <row r="209" spans="1:24" ht="15.75" customHeight="1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</row>
    <row r="210" spans="1:24" ht="15.75" customHeight="1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</row>
    <row r="211" spans="1:24" ht="15.75" customHeight="1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</row>
    <row r="212" spans="1:24" ht="15.75" customHeight="1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</row>
    <row r="213" spans="1:24" ht="15.75" customHeight="1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</row>
    <row r="214" spans="1:24" ht="15.75" customHeight="1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</row>
    <row r="215" spans="1:24" ht="15.75" customHeight="1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</row>
    <row r="216" spans="1:24" ht="15.75" customHeight="1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</row>
    <row r="217" spans="1:24" ht="15.75" customHeight="1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</row>
    <row r="218" spans="1:24" ht="15.75" customHeight="1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</row>
    <row r="219" spans="1:24" ht="15.75" customHeight="1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</row>
    <row r="220" spans="1:24" ht="15.75" customHeight="1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</row>
    <row r="221" spans="1:24" ht="15.75" customHeight="1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</row>
    <row r="222" spans="1:24" ht="15.75" customHeight="1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</row>
    <row r="223" spans="1:24" ht="15.75" customHeight="1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</row>
    <row r="224" spans="1:24" ht="15.75" customHeight="1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</row>
    <row r="225" spans="1:24" ht="15.75" customHeight="1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</row>
    <row r="226" spans="1:24" ht="15.75" customHeight="1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</row>
    <row r="227" spans="1:24" ht="15.75" customHeight="1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</row>
    <row r="228" spans="1:24" ht="15.75" customHeight="1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</row>
    <row r="229" spans="1:24" ht="15.75" customHeight="1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</row>
    <row r="230" spans="1:24" ht="15.75" customHeight="1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</row>
    <row r="231" spans="1:24" ht="15.75" customHeight="1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</row>
    <row r="232" spans="1:24" ht="15.75" customHeight="1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</row>
    <row r="233" spans="1:24" ht="15.75" customHeight="1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</row>
    <row r="234" spans="1:24" ht="15.75" customHeight="1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</row>
    <row r="235" spans="1:24" ht="15.75" customHeight="1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  <mergeCell ref="A11:B11"/>
    <mergeCell ref="A12:B12"/>
    <mergeCell ref="A1:D1"/>
    <mergeCell ref="A6:B6"/>
    <mergeCell ref="A7:B7"/>
    <mergeCell ref="C7:C12"/>
    <mergeCell ref="A8:B8"/>
    <mergeCell ref="A9:B9"/>
    <mergeCell ref="A10:B1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dcterms:created xsi:type="dcterms:W3CDTF">2019-05-06T03:48:27Z</dcterms:created>
  <dcterms:modified xsi:type="dcterms:W3CDTF">2026-05-27T21:24:53Z</dcterms:modified>
</cp:coreProperties>
</file>