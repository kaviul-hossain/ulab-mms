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tanu\Desktop\ulab-mms\public\templates\"/>
    </mc:Choice>
  </mc:AlternateContent>
  <xr:revisionPtr revIDLastSave="0" documentId="13_ncr:1_{C88F8D80-29C2-46D2-A771-ED2A1D68EC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radeSheet" sheetId="1" r:id="rId1"/>
    <sheet name="GradingPolicy" sheetId="2" r:id="rId2"/>
    <sheet name="CourseSummary" sheetId="3" r:id="rId3"/>
    <sheet name="CO_PO_AttainmentAnalysis" sheetId="4" r:id="rId4"/>
    <sheet name="ContinuousQualityImprovement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qHNxpxat6OflgnVglgo3xM737Giy164Vrhf9brr6Go="/>
    </ext>
  </extLst>
</workbook>
</file>

<file path=xl/calcChain.xml><?xml version="1.0" encoding="utf-8"?>
<calcChain xmlns="http://schemas.openxmlformats.org/spreadsheetml/2006/main">
  <c r="I9" i="1" l="1"/>
  <c r="E9" i="1"/>
  <c r="S57" i="1"/>
  <c r="T57" i="1"/>
  <c r="U57" i="1"/>
  <c r="V57" i="1"/>
  <c r="S56" i="1"/>
  <c r="T56" i="1"/>
  <c r="U56" i="1"/>
  <c r="V56" i="1"/>
  <c r="S55" i="1"/>
  <c r="T55" i="1"/>
  <c r="U55" i="1"/>
  <c r="V55" i="1"/>
  <c r="U9" i="1"/>
  <c r="T9" i="1"/>
  <c r="S9" i="1"/>
  <c r="R9" i="1"/>
  <c r="Q9" i="1"/>
  <c r="P9" i="1"/>
  <c r="B35" i="5"/>
  <c r="B34" i="5"/>
  <c r="B4" i="5"/>
  <c r="D3" i="5"/>
  <c r="B3" i="5"/>
  <c r="D2" i="5"/>
  <c r="B2" i="5"/>
  <c r="B64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BA56" i="4" a="1"/>
  <c r="BA56" i="4" s="1"/>
  <c r="AM56" i="4"/>
  <c r="AL56" i="4"/>
  <c r="AJ56" i="4"/>
  <c r="AG56" i="4"/>
  <c r="AF56" i="4"/>
  <c r="AE56" i="4"/>
  <c r="AK56" i="4" s="1"/>
  <c r="AD56" i="4"/>
  <c r="AC56" i="4"/>
  <c r="AI56" i="4" s="1"/>
  <c r="AB56" i="4"/>
  <c r="AH56" i="4" s="1"/>
  <c r="AM55" i="4"/>
  <c r="AK55" i="4"/>
  <c r="AJ55" i="4"/>
  <c r="AG55" i="4"/>
  <c r="AF55" i="4"/>
  <c r="AL55" i="4" s="1"/>
  <c r="AE55" i="4"/>
  <c r="AD55" i="4"/>
  <c r="AC55" i="4"/>
  <c r="AI55" i="4" s="1"/>
  <c r="AB55" i="4"/>
  <c r="AH55" i="4" s="1"/>
  <c r="AL54" i="4"/>
  <c r="AK54" i="4"/>
  <c r="AI54" i="4"/>
  <c r="AG54" i="4"/>
  <c r="AM54" i="4" s="1"/>
  <c r="AF54" i="4"/>
  <c r="AE54" i="4"/>
  <c r="AD54" i="4"/>
  <c r="AJ54" i="4" s="1"/>
  <c r="AC54" i="4"/>
  <c r="AB54" i="4"/>
  <c r="AH54" i="4" s="1"/>
  <c r="AM53" i="4"/>
  <c r="AJ53" i="4"/>
  <c r="AH53" i="4"/>
  <c r="AG53" i="4"/>
  <c r="AF53" i="4"/>
  <c r="AL53" i="4" s="1"/>
  <c r="AE53" i="4"/>
  <c r="AK53" i="4" s="1"/>
  <c r="AD53" i="4"/>
  <c r="AC53" i="4"/>
  <c r="AI53" i="4" s="1"/>
  <c r="AB53" i="4"/>
  <c r="BF52" i="4"/>
  <c r="AM52" i="4"/>
  <c r="AI52" i="4"/>
  <c r="AG52" i="4"/>
  <c r="AF52" i="4"/>
  <c r="AL52" i="4" s="1"/>
  <c r="AE52" i="4"/>
  <c r="AK52" i="4" s="1"/>
  <c r="AD52" i="4"/>
  <c r="AJ52" i="4" s="1"/>
  <c r="AC52" i="4"/>
  <c r="AB52" i="4"/>
  <c r="AH52" i="4" s="1"/>
  <c r="BF51" i="4"/>
  <c r="AJ51" i="4"/>
  <c r="AG51" i="4"/>
  <c r="AM51" i="4" s="1"/>
  <c r="AF51" i="4"/>
  <c r="AL51" i="4" s="1"/>
  <c r="AE51" i="4"/>
  <c r="AK51" i="4" s="1"/>
  <c r="AD51" i="4"/>
  <c r="AC51" i="4"/>
  <c r="AI51" i="4" s="1"/>
  <c r="AB51" i="4"/>
  <c r="AH51" i="4" s="1"/>
  <c r="AM50" i="4"/>
  <c r="AK50" i="4"/>
  <c r="AH50" i="4"/>
  <c r="AG50" i="4"/>
  <c r="AF50" i="4"/>
  <c r="AL50" i="4" s="1"/>
  <c r="AE50" i="4"/>
  <c r="AD50" i="4"/>
  <c r="AJ50" i="4" s="1"/>
  <c r="AC50" i="4"/>
  <c r="AI50" i="4" s="1"/>
  <c r="AB50" i="4"/>
  <c r="AL49" i="4"/>
  <c r="AJ49" i="4"/>
  <c r="AI49" i="4"/>
  <c r="AG49" i="4"/>
  <c r="AM49" i="4" s="1"/>
  <c r="AF49" i="4"/>
  <c r="AE49" i="4"/>
  <c r="AK49" i="4" s="1"/>
  <c r="AD49" i="4"/>
  <c r="AC49" i="4"/>
  <c r="AB49" i="4"/>
  <c r="AH49" i="4" s="1"/>
  <c r="BA48" i="4" a="1"/>
  <c r="BA48" i="4"/>
  <c r="AM48" i="4"/>
  <c r="AK48" i="4"/>
  <c r="AJ48" i="4"/>
  <c r="AI48" i="4"/>
  <c r="AH48" i="4"/>
  <c r="AG48" i="4"/>
  <c r="AF48" i="4"/>
  <c r="AL48" i="4" s="1"/>
  <c r="AE48" i="4"/>
  <c r="AD48" i="4"/>
  <c r="AC48" i="4"/>
  <c r="AB48" i="4"/>
  <c r="AM47" i="4"/>
  <c r="AL47" i="4"/>
  <c r="AK47" i="4"/>
  <c r="AI47" i="4"/>
  <c r="AG47" i="4"/>
  <c r="AF47" i="4"/>
  <c r="AE47" i="4"/>
  <c r="AD47" i="4"/>
  <c r="AJ47" i="4" s="1"/>
  <c r="AC47" i="4"/>
  <c r="AB47" i="4"/>
  <c r="AH47" i="4" s="1"/>
  <c r="AL46" i="4"/>
  <c r="AJ46" i="4"/>
  <c r="AG46" i="4"/>
  <c r="AM46" i="4" s="1"/>
  <c r="AF46" i="4"/>
  <c r="AE46" i="4"/>
  <c r="AK46" i="4" s="1"/>
  <c r="AD46" i="4"/>
  <c r="AC46" i="4"/>
  <c r="AI46" i="4" s="1"/>
  <c r="AB46" i="4"/>
  <c r="AH46" i="4" s="1"/>
  <c r="BE45" i="4"/>
  <c r="BD45" i="4" a="1"/>
  <c r="BD45" i="4" s="1"/>
  <c r="AM45" i="4"/>
  <c r="AK45" i="4"/>
  <c r="AH45" i="4"/>
  <c r="AG45" i="4"/>
  <c r="AF45" i="4"/>
  <c r="AL45" i="4" s="1"/>
  <c r="AE45" i="4"/>
  <c r="AD45" i="4"/>
  <c r="AJ45" i="4" s="1"/>
  <c r="AC45" i="4"/>
  <c r="AI45" i="4" s="1"/>
  <c r="AB45" i="4"/>
  <c r="AL44" i="4"/>
  <c r="AJ44" i="4"/>
  <c r="AI44" i="4"/>
  <c r="AG44" i="4"/>
  <c r="AM44" i="4" s="1"/>
  <c r="AF44" i="4"/>
  <c r="AE44" i="4"/>
  <c r="AK44" i="4" s="1"/>
  <c r="AD44" i="4"/>
  <c r="AC44" i="4"/>
  <c r="AB44" i="4"/>
  <c r="AH44" i="4" s="1"/>
  <c r="AM43" i="4"/>
  <c r="AK43" i="4"/>
  <c r="AJ43" i="4"/>
  <c r="AH43" i="4"/>
  <c r="AG43" i="4"/>
  <c r="AF43" i="4"/>
  <c r="AL43" i="4" s="1"/>
  <c r="AE43" i="4"/>
  <c r="AD43" i="4"/>
  <c r="AC43" i="4"/>
  <c r="AI43" i="4" s="1"/>
  <c r="AB43" i="4"/>
  <c r="AL42" i="4"/>
  <c r="AK42" i="4"/>
  <c r="AG42" i="4"/>
  <c r="AM42" i="4" s="1"/>
  <c r="AF42" i="4"/>
  <c r="AE42" i="4"/>
  <c r="AD42" i="4"/>
  <c r="AJ42" i="4" s="1"/>
  <c r="AC42" i="4"/>
  <c r="AI42" i="4" s="1"/>
  <c r="AB42" i="4"/>
  <c r="AH42" i="4" s="1"/>
  <c r="AM41" i="4"/>
  <c r="AL41" i="4"/>
  <c r="AH41" i="4"/>
  <c r="AG41" i="4"/>
  <c r="AF41" i="4"/>
  <c r="AE41" i="4"/>
  <c r="AK41" i="4" s="1"/>
  <c r="AD41" i="4"/>
  <c r="AJ41" i="4" s="1"/>
  <c r="AC41" i="4"/>
  <c r="AI41" i="4" s="1"/>
  <c r="AB41" i="4"/>
  <c r="AI40" i="4"/>
  <c r="AG40" i="4"/>
  <c r="AM40" i="4" s="1"/>
  <c r="AF40" i="4"/>
  <c r="AL40" i="4" s="1"/>
  <c r="AE40" i="4"/>
  <c r="AK40" i="4" s="1"/>
  <c r="AD40" i="4"/>
  <c r="AJ40" i="4" s="1"/>
  <c r="AC40" i="4"/>
  <c r="AB40" i="4"/>
  <c r="AH40" i="4" s="1"/>
  <c r="BB39" i="4" a="1"/>
  <c r="BB39" i="4" s="1"/>
  <c r="AJ39" i="4"/>
  <c r="AH39" i="4"/>
  <c r="AG39" i="4"/>
  <c r="AM39" i="4" s="1"/>
  <c r="AF39" i="4"/>
  <c r="AL39" i="4" s="1"/>
  <c r="AE39" i="4"/>
  <c r="AK39" i="4" s="1"/>
  <c r="AD39" i="4"/>
  <c r="AC39" i="4"/>
  <c r="AI39" i="4" s="1"/>
  <c r="AB39" i="4"/>
  <c r="AL38" i="4"/>
  <c r="AK38" i="4"/>
  <c r="AJ38" i="4"/>
  <c r="AI38" i="4"/>
  <c r="AH38" i="4"/>
  <c r="AG38" i="4"/>
  <c r="AM38" i="4" s="1"/>
  <c r="AF38" i="4"/>
  <c r="AE38" i="4"/>
  <c r="AD38" i="4"/>
  <c r="AC38" i="4"/>
  <c r="AB38" i="4"/>
  <c r="AK37" i="4"/>
  <c r="AH37" i="4"/>
  <c r="AG37" i="4"/>
  <c r="AM37" i="4" s="1"/>
  <c r="AF37" i="4"/>
  <c r="AL37" i="4" s="1"/>
  <c r="AE37" i="4"/>
  <c r="AD37" i="4"/>
  <c r="AJ37" i="4" s="1"/>
  <c r="AC37" i="4"/>
  <c r="AI37" i="4" s="1"/>
  <c r="AB37" i="4"/>
  <c r="BF36" i="4"/>
  <c r="BE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M35" i="4"/>
  <c r="AI35" i="4"/>
  <c r="AH35" i="4"/>
  <c r="AG35" i="4"/>
  <c r="AF35" i="4"/>
  <c r="AL35" i="4" s="1"/>
  <c r="AE35" i="4"/>
  <c r="AK35" i="4" s="1"/>
  <c r="AD35" i="4"/>
  <c r="AJ35" i="4" s="1"/>
  <c r="AC35" i="4"/>
  <c r="AB35" i="4"/>
  <c r="AI34" i="4"/>
  <c r="AH34" i="4"/>
  <c r="AG34" i="4"/>
  <c r="AM34" i="4" s="1"/>
  <c r="AF34" i="4"/>
  <c r="AL34" i="4" s="1"/>
  <c r="AE34" i="4"/>
  <c r="AK34" i="4" s="1"/>
  <c r="AD34" i="4"/>
  <c r="AJ34" i="4" s="1"/>
  <c r="AC34" i="4"/>
  <c r="AB34" i="4"/>
  <c r="AJ33" i="4"/>
  <c r="AI33" i="4"/>
  <c r="AH33" i="4"/>
  <c r="AG33" i="4"/>
  <c r="AM33" i="4" s="1"/>
  <c r="AF33" i="4"/>
  <c r="AL33" i="4" s="1"/>
  <c r="AE33" i="4"/>
  <c r="AK33" i="4" s="1"/>
  <c r="AD33" i="4"/>
  <c r="AC33" i="4"/>
  <c r="AB33" i="4"/>
  <c r="AK32" i="4"/>
  <c r="AJ32" i="4"/>
  <c r="AI32" i="4"/>
  <c r="AH32" i="4"/>
  <c r="AG32" i="4"/>
  <c r="AM32" i="4" s="1"/>
  <c r="AF32" i="4"/>
  <c r="AL32" i="4" s="1"/>
  <c r="AE32" i="4"/>
  <c r="AD32" i="4"/>
  <c r="AC32" i="4"/>
  <c r="AB32" i="4"/>
  <c r="AV31" i="4"/>
  <c r="AU31" i="4"/>
  <c r="AK31" i="4"/>
  <c r="AJ31" i="4"/>
  <c r="AI31" i="4"/>
  <c r="AH31" i="4"/>
  <c r="AG31" i="4"/>
  <c r="AM31" i="4" s="1"/>
  <c r="AF31" i="4"/>
  <c r="AL31" i="4" s="1"/>
  <c r="AE31" i="4"/>
  <c r="AD31" i="4"/>
  <c r="AC31" i="4"/>
  <c r="AB31" i="4"/>
  <c r="AL30" i="4"/>
  <c r="AK30" i="4"/>
  <c r="AJ30" i="4"/>
  <c r="AI30" i="4"/>
  <c r="AH30" i="4"/>
  <c r="AG30" i="4"/>
  <c r="AM30" i="4" s="1"/>
  <c r="AF30" i="4"/>
  <c r="AE30" i="4"/>
  <c r="AD30" i="4"/>
  <c r="AC30" i="4"/>
  <c r="AB30" i="4"/>
  <c r="BD29" i="4" a="1"/>
  <c r="BD29" i="4" s="1"/>
  <c r="AM29" i="4"/>
  <c r="AL29" i="4"/>
  <c r="AK29" i="4"/>
  <c r="AJ29" i="4"/>
  <c r="AI29" i="4"/>
  <c r="AH29" i="4"/>
  <c r="AG29" i="4"/>
  <c r="AF29" i="4"/>
  <c r="AE29" i="4"/>
  <c r="AD29" i="4"/>
  <c r="AC29" i="4"/>
  <c r="AB29" i="4"/>
  <c r="BE28" i="4"/>
  <c r="AM28" i="4"/>
  <c r="AL28" i="4"/>
  <c r="AK28" i="4"/>
  <c r="AJ28" i="4"/>
  <c r="AI28" i="4"/>
  <c r="AG28" i="4"/>
  <c r="AF28" i="4"/>
  <c r="AE28" i="4"/>
  <c r="AD28" i="4"/>
  <c r="AC28" i="4"/>
  <c r="AB28" i="4"/>
  <c r="AH28" i="4" s="1"/>
  <c r="BF27" i="4"/>
  <c r="BE27" i="4"/>
  <c r="AM27" i="4"/>
  <c r="AL27" i="4"/>
  <c r="AK27" i="4"/>
  <c r="AJ27" i="4"/>
  <c r="AG27" i="4"/>
  <c r="AF27" i="4"/>
  <c r="AE27" i="4"/>
  <c r="AD27" i="4"/>
  <c r="AC27" i="4"/>
  <c r="AI27" i="4" s="1"/>
  <c r="AB27" i="4"/>
  <c r="AH27" i="4" s="1"/>
  <c r="AM26" i="4"/>
  <c r="AL26" i="4"/>
  <c r="AK26" i="4"/>
  <c r="AG26" i="4"/>
  <c r="AF26" i="4"/>
  <c r="AE26" i="4"/>
  <c r="AD26" i="4"/>
  <c r="AJ26" i="4" s="1"/>
  <c r="AC26" i="4"/>
  <c r="AI26" i="4" s="1"/>
  <c r="AB26" i="4"/>
  <c r="AH26" i="4" s="1"/>
  <c r="BD25" i="4" a="1"/>
  <c r="BD25" i="4"/>
  <c r="AW25" i="4" a="1"/>
  <c r="AW25" i="4" s="1"/>
  <c r="AM25" i="4"/>
  <c r="AL25" i="4"/>
  <c r="AK25" i="4"/>
  <c r="AJ25" i="4"/>
  <c r="AG25" i="4"/>
  <c r="AF25" i="4"/>
  <c r="AE25" i="4"/>
  <c r="AD25" i="4"/>
  <c r="AC25" i="4"/>
  <c r="AI25" i="4" s="1"/>
  <c r="AB25" i="4"/>
  <c r="AH25" i="4" s="1"/>
  <c r="BD24" i="4" a="1"/>
  <c r="BD24" i="4"/>
  <c r="AW24" i="4" a="1"/>
  <c r="AW24" i="4" s="1"/>
  <c r="AM24" i="4"/>
  <c r="AL24" i="4"/>
  <c r="AK24" i="4"/>
  <c r="AG24" i="4"/>
  <c r="AF24" i="4"/>
  <c r="AE24" i="4"/>
  <c r="AD24" i="4"/>
  <c r="AJ24" i="4" s="1"/>
  <c r="AC24" i="4"/>
  <c r="AI24" i="4" s="1"/>
  <c r="AB24" i="4"/>
  <c r="AH24" i="4" s="1"/>
  <c r="BE23" i="4"/>
  <c r="BD23" i="4" a="1"/>
  <c r="BD23" i="4" s="1"/>
  <c r="AX23" i="4" a="1"/>
  <c r="AX23" i="4"/>
  <c r="AM23" i="4"/>
  <c r="AL23" i="4"/>
  <c r="AG23" i="4"/>
  <c r="AF23" i="4"/>
  <c r="AE23" i="4"/>
  <c r="AK23" i="4" s="1"/>
  <c r="AD23" i="4"/>
  <c r="AJ23" i="4" s="1"/>
  <c r="AC23" i="4"/>
  <c r="AI23" i="4" s="1"/>
  <c r="AB23" i="4"/>
  <c r="AH23" i="4" s="1"/>
  <c r="BF22" i="4"/>
  <c r="BE22" i="4"/>
  <c r="AX22" i="4" a="1"/>
  <c r="AX22" i="4" s="1"/>
  <c r="AM22" i="4"/>
  <c r="AG22" i="4"/>
  <c r="AF22" i="4"/>
  <c r="AL22" i="4" s="1"/>
  <c r="AE22" i="4"/>
  <c r="AK22" i="4" s="1"/>
  <c r="AD22" i="4"/>
  <c r="AJ22" i="4" s="1"/>
  <c r="AC22" i="4"/>
  <c r="AI22" i="4" s="1"/>
  <c r="AB22" i="4"/>
  <c r="AH22" i="4" s="1"/>
  <c r="BF21" i="4"/>
  <c r="AG21" i="4"/>
  <c r="AM21" i="4" s="1"/>
  <c r="AF21" i="4"/>
  <c r="AL21" i="4" s="1"/>
  <c r="AE21" i="4"/>
  <c r="AK21" i="4" s="1"/>
  <c r="AD21" i="4"/>
  <c r="AJ21" i="4" s="1"/>
  <c r="AC21" i="4"/>
  <c r="AI21" i="4" s="1"/>
  <c r="AB21" i="4"/>
  <c r="AH21" i="4" s="1"/>
  <c r="AH20" i="4"/>
  <c r="AG20" i="4"/>
  <c r="AM20" i="4" s="1"/>
  <c r="AF20" i="4"/>
  <c r="AL20" i="4" s="1"/>
  <c r="AE20" i="4"/>
  <c r="AK20" i="4" s="1"/>
  <c r="AD20" i="4"/>
  <c r="AJ20" i="4" s="1"/>
  <c r="AC20" i="4"/>
  <c r="AI20" i="4" s="1"/>
  <c r="AB20" i="4"/>
  <c r="AZ19" i="4" a="1"/>
  <c r="AZ19" i="4" s="1"/>
  <c r="AI19" i="4"/>
  <c r="AH19" i="4"/>
  <c r="AG19" i="4"/>
  <c r="AM19" i="4" s="1"/>
  <c r="AF19" i="4"/>
  <c r="AL19" i="4" s="1"/>
  <c r="AE19" i="4"/>
  <c r="AK19" i="4" s="1"/>
  <c r="AD19" i="4"/>
  <c r="AJ19" i="4" s="1"/>
  <c r="AC19" i="4"/>
  <c r="AB19" i="4"/>
  <c r="BA18" i="4" a="1"/>
  <c r="BA18" i="4"/>
  <c r="AJ18" i="4"/>
  <c r="AI18" i="4"/>
  <c r="AH18" i="4"/>
  <c r="AG18" i="4"/>
  <c r="AM18" i="4" s="1"/>
  <c r="AF18" i="4"/>
  <c r="AL18" i="4" s="1"/>
  <c r="AE18" i="4"/>
  <c r="AK18" i="4" s="1"/>
  <c r="AD18" i="4"/>
  <c r="AC18" i="4"/>
  <c r="AB18" i="4"/>
  <c r="BA17" i="4" a="1"/>
  <c r="BA17" i="4" s="1"/>
  <c r="AV17" i="4"/>
  <c r="AK17" i="4"/>
  <c r="AJ17" i="4"/>
  <c r="AI17" i="4"/>
  <c r="AH17" i="4"/>
  <c r="AG17" i="4"/>
  <c r="AM17" i="4" s="1"/>
  <c r="AF17" i="4"/>
  <c r="AL17" i="4" s="1"/>
  <c r="AE17" i="4"/>
  <c r="AD17" i="4"/>
  <c r="AC17" i="4"/>
  <c r="AB17" i="4"/>
  <c r="BB16" i="4" a="1"/>
  <c r="BB16" i="4"/>
  <c r="AW16" i="4" a="1"/>
  <c r="AW16" i="4" s="1"/>
  <c r="AV16" i="4"/>
  <c r="AU16" i="4"/>
  <c r="AL16" i="4"/>
  <c r="AK16" i="4"/>
  <c r="AJ16" i="4"/>
  <c r="AI16" i="4"/>
  <c r="AH16" i="4"/>
  <c r="AG16" i="4"/>
  <c r="AM16" i="4" s="1"/>
  <c r="AF16" i="4"/>
  <c r="AE16" i="4"/>
  <c r="AD16" i="4"/>
  <c r="AC16" i="4"/>
  <c r="AB16" i="4"/>
  <c r="BD15" i="4" a="1"/>
  <c r="BD15" i="4" s="1"/>
  <c r="BB15" i="4" a="1"/>
  <c r="BB15" i="4" s="1"/>
  <c r="AW15" i="4" a="1"/>
  <c r="AW15" i="4" s="1"/>
  <c r="AV15" i="4"/>
  <c r="AU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4" i="4"/>
  <c r="Z14" i="4"/>
  <c r="Y14" i="4"/>
  <c r="X14" i="4"/>
  <c r="W14" i="4"/>
  <c r="V14" i="4"/>
  <c r="U14" i="4"/>
  <c r="T14" i="4"/>
  <c r="S14" i="4"/>
  <c r="R14" i="4"/>
  <c r="Q14" i="4"/>
  <c r="P14" i="4"/>
  <c r="AB14" i="4" s="1"/>
  <c r="O14" i="4"/>
  <c r="N14" i="4"/>
  <c r="M14" i="4"/>
  <c r="L14" i="4"/>
  <c r="K14" i="4"/>
  <c r="J14" i="4"/>
  <c r="I14" i="4"/>
  <c r="AG14" i="4" s="1"/>
  <c r="H14" i="4"/>
  <c r="AF14" i="4" s="1"/>
  <c r="G14" i="4"/>
  <c r="AE14" i="4" s="1"/>
  <c r="F14" i="4"/>
  <c r="AD14" i="4" s="1"/>
  <c r="E14" i="4"/>
  <c r="AC14" i="4" s="1"/>
  <c r="D14" i="4"/>
  <c r="V12" i="4"/>
  <c r="J12" i="4"/>
  <c r="D12" i="4"/>
  <c r="A11" i="4"/>
  <c r="BE9" i="4"/>
  <c r="BF15" i="4" s="1"/>
  <c r="BD9" i="4"/>
  <c r="BE15" i="4" s="1"/>
  <c r="BC9" i="4"/>
  <c r="BB9" i="4"/>
  <c r="BC16" i="4" s="1" a="1"/>
  <c r="BC16" i="4" s="1"/>
  <c r="BA9" i="4"/>
  <c r="BB17" i="4" s="1" a="1"/>
  <c r="BB17" i="4" s="1"/>
  <c r="AZ9" i="4"/>
  <c r="AY9" i="4"/>
  <c r="AX9" i="4"/>
  <c r="AW9" i="4"/>
  <c r="AX20" i="4" s="1" a="1"/>
  <c r="AX20" i="4" s="1"/>
  <c r="AV9" i="4"/>
  <c r="AW36" i="4" s="1" a="1"/>
  <c r="AW36" i="4" s="1"/>
  <c r="AU9" i="4"/>
  <c r="AV26" i="4" s="1"/>
  <c r="AT9" i="4"/>
  <c r="AU22" i="4" s="1"/>
  <c r="I7" i="4"/>
  <c r="H7" i="4"/>
  <c r="G7" i="4"/>
  <c r="F7" i="4"/>
  <c r="E7" i="4"/>
  <c r="D7" i="4"/>
  <c r="O53" i="3"/>
  <c r="E53" i="3"/>
  <c r="E52" i="3"/>
  <c r="O51" i="3"/>
  <c r="E51" i="3"/>
  <c r="AL41" i="3"/>
  <c r="AL40" i="3"/>
  <c r="AL39" i="3"/>
  <c r="AL38" i="3"/>
  <c r="Q33" i="3"/>
  <c r="AL32" i="3"/>
  <c r="Q32" i="3"/>
  <c r="AL31" i="3"/>
  <c r="Q31" i="3"/>
  <c r="Q30" i="3"/>
  <c r="AL26" i="3"/>
  <c r="AL25" i="3"/>
  <c r="AL24" i="3"/>
  <c r="AL23" i="3"/>
  <c r="O4" i="3"/>
  <c r="E4" i="3"/>
  <c r="E3" i="3"/>
  <c r="O2" i="3"/>
  <c r="E2" i="3"/>
  <c r="B66" i="1"/>
  <c r="C62" i="1"/>
  <c r="R57" i="1"/>
  <c r="Q57" i="1"/>
  <c r="P57" i="1"/>
  <c r="R56" i="1"/>
  <c r="Q56" i="1"/>
  <c r="P56" i="1"/>
  <c r="R55" i="1"/>
  <c r="Q55" i="1"/>
  <c r="P55" i="1"/>
  <c r="M51" i="1"/>
  <c r="L51" i="1"/>
  <c r="M50" i="1"/>
  <c r="L50" i="1"/>
  <c r="M49" i="1"/>
  <c r="L49" i="1"/>
  <c r="M48" i="1"/>
  <c r="L48" i="1"/>
  <c r="M47" i="1"/>
  <c r="AS52" i="4" s="1"/>
  <c r="L47" i="1"/>
  <c r="M46" i="1"/>
  <c r="L46" i="1"/>
  <c r="M45" i="1"/>
  <c r="AO50" i="4" s="1"/>
  <c r="L45" i="1"/>
  <c r="M44" i="1"/>
  <c r="AN49" i="4" s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AN40" i="4" s="1"/>
  <c r="L35" i="1"/>
  <c r="M34" i="1"/>
  <c r="L34" i="1"/>
  <c r="M33" i="1"/>
  <c r="L33" i="1"/>
  <c r="M32" i="1"/>
  <c r="AR37" i="4" s="1"/>
  <c r="L32" i="1"/>
  <c r="M31" i="1"/>
  <c r="L31" i="1"/>
  <c r="M30" i="1"/>
  <c r="L30" i="1"/>
  <c r="M29" i="1"/>
  <c r="AS34" i="4" s="1"/>
  <c r="L29" i="1"/>
  <c r="M28" i="1"/>
  <c r="AS33" i="4" s="1"/>
  <c r="L28" i="1"/>
  <c r="M27" i="1"/>
  <c r="L27" i="1"/>
  <c r="M26" i="1"/>
  <c r="L26" i="1"/>
  <c r="M25" i="1"/>
  <c r="L25" i="1"/>
  <c r="M24" i="1"/>
  <c r="L24" i="1"/>
  <c r="M23" i="1"/>
  <c r="BQ28" i="4" s="1"/>
  <c r="L23" i="1"/>
  <c r="M22" i="1"/>
  <c r="BR27" i="4" s="1"/>
  <c r="L22" i="1"/>
  <c r="M21" i="1"/>
  <c r="AR26" i="4" s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J9" i="1"/>
  <c r="H9" i="1"/>
  <c r="G9" i="1"/>
  <c r="F9" i="1"/>
  <c r="D9" i="1"/>
  <c r="A7" i="1"/>
  <c r="H57" i="1" l="1"/>
  <c r="D24" i="3" s="1"/>
  <c r="BR21" i="4"/>
  <c r="H62" i="1"/>
  <c r="I24" i="3" s="1"/>
  <c r="H63" i="1"/>
  <c r="J24" i="3" s="1"/>
  <c r="H65" i="1"/>
  <c r="L24" i="3" s="1"/>
  <c r="AN21" i="4"/>
  <c r="AO21" i="4"/>
  <c r="BP15" i="4"/>
  <c r="BN24" i="4"/>
  <c r="BJ16" i="4"/>
  <c r="BP22" i="4"/>
  <c r="AR46" i="4"/>
  <c r="AP46" i="4"/>
  <c r="AS46" i="4"/>
  <c r="BL29" i="4"/>
  <c r="AS29" i="4"/>
  <c r="AR29" i="4"/>
  <c r="AQ29" i="4"/>
  <c r="AP29" i="4"/>
  <c r="AO29" i="4"/>
  <c r="BR29" i="4"/>
  <c r="AN29" i="4"/>
  <c r="AS35" i="4"/>
  <c r="AP35" i="4"/>
  <c r="BL35" i="4"/>
  <c r="AO35" i="4"/>
  <c r="AN35" i="4"/>
  <c r="BI35" i="4"/>
  <c r="AN41" i="4"/>
  <c r="BG41" i="4"/>
  <c r="AS41" i="4"/>
  <c r="AR41" i="4"/>
  <c r="AQ41" i="4"/>
  <c r="AP41" i="4"/>
  <c r="AQ47" i="4"/>
  <c r="AO47" i="4"/>
  <c r="BK47" i="4"/>
  <c r="AS47" i="4"/>
  <c r="AR47" i="4"/>
  <c r="AP47" i="4"/>
  <c r="AN47" i="4"/>
  <c r="AS53" i="4"/>
  <c r="BR53" i="4"/>
  <c r="AN53" i="4"/>
  <c r="AR53" i="4"/>
  <c r="AQ53" i="4"/>
  <c r="AP53" i="4"/>
  <c r="AO53" i="4"/>
  <c r="BL53" i="4"/>
  <c r="AY53" i="4"/>
  <c r="BK53" i="4" s="1"/>
  <c r="AY41" i="4"/>
  <c r="AY50" i="4"/>
  <c r="AY38" i="4"/>
  <c r="AY37" i="4"/>
  <c r="AY48" i="4"/>
  <c r="AY55" i="4"/>
  <c r="AY42" i="4"/>
  <c r="AY49" i="4"/>
  <c r="AY46" i="4"/>
  <c r="BK46" i="4" s="1"/>
  <c r="AY40" i="4"/>
  <c r="BK40" i="4" s="1"/>
  <c r="AY34" i="4"/>
  <c r="BK34" i="4" s="1"/>
  <c r="AY35" i="4"/>
  <c r="BK35" i="4" s="1"/>
  <c r="AY33" i="4"/>
  <c r="AY39" i="4"/>
  <c r="AY32" i="4"/>
  <c r="AY51" i="4"/>
  <c r="AY45" i="4"/>
  <c r="AY31" i="4"/>
  <c r="AY30" i="4"/>
  <c r="AY29" i="4"/>
  <c r="BK29" i="4" s="1"/>
  <c r="AY52" i="4"/>
  <c r="AY28" i="4"/>
  <c r="AY44" i="4"/>
  <c r="BK44" i="4" s="1"/>
  <c r="AY36" i="4"/>
  <c r="BK36" i="4" s="1"/>
  <c r="AS16" i="4"/>
  <c r="AR17" i="4"/>
  <c r="AQ18" i="4"/>
  <c r="AP19" i="4"/>
  <c r="AO20" i="4"/>
  <c r="AY21" i="4"/>
  <c r="BK21" i="4" s="1"/>
  <c r="BQ22" i="4"/>
  <c r="BP23" i="4"/>
  <c r="AY26" i="4"/>
  <c r="BK26" i="4"/>
  <c r="AQ35" i="4"/>
  <c r="AP37" i="4"/>
  <c r="AO46" i="4"/>
  <c r="BG40" i="4"/>
  <c r="AO40" i="4"/>
  <c r="AS40" i="4"/>
  <c r="AR40" i="4"/>
  <c r="BK30" i="4"/>
  <c r="AS30" i="4"/>
  <c r="AR30" i="4"/>
  <c r="AQ30" i="4"/>
  <c r="AP30" i="4"/>
  <c r="AO30" i="4"/>
  <c r="AN30" i="4"/>
  <c r="BP30" i="4"/>
  <c r="AR36" i="4"/>
  <c r="AO36" i="4"/>
  <c r="BR36" i="4"/>
  <c r="BQ36" i="4"/>
  <c r="AS36" i="4"/>
  <c r="AQ36" i="4"/>
  <c r="AP36" i="4"/>
  <c r="AN36" i="4"/>
  <c r="BI36" i="4"/>
  <c r="BK48" i="4"/>
  <c r="AS48" i="4"/>
  <c r="AP48" i="4"/>
  <c r="BR48" i="4"/>
  <c r="AN48" i="4"/>
  <c r="AR48" i="4"/>
  <c r="AQ48" i="4"/>
  <c r="AO48" i="4"/>
  <c r="H66" i="1"/>
  <c r="AJ58" i="4" s="1"/>
  <c r="J60" i="3" s="1"/>
  <c r="AZ51" i="4" a="1"/>
  <c r="AZ51" i="4" s="1"/>
  <c r="BL51" i="4" s="1"/>
  <c r="AZ39" i="4" a="1"/>
  <c r="AZ39" i="4" s="1"/>
  <c r="BL39" i="4" s="1"/>
  <c r="AZ48" i="4" a="1"/>
  <c r="AZ48" i="4" s="1"/>
  <c r="BL48" i="4" s="1"/>
  <c r="AZ35" i="4" a="1"/>
  <c r="AZ35" i="4" s="1"/>
  <c r="AZ46" i="4" a="1"/>
  <c r="AZ46" i="4" s="1"/>
  <c r="BL46" i="4" s="1"/>
  <c r="AZ49" i="4" a="1"/>
  <c r="AZ49" i="4" s="1"/>
  <c r="AZ37" i="4" a="1"/>
  <c r="AZ37" i="4" s="1"/>
  <c r="AZ34" i="4" a="1"/>
  <c r="AZ34" i="4" s="1"/>
  <c r="AZ50" i="4" a="1"/>
  <c r="AZ50" i="4" s="1"/>
  <c r="AZ40" i="4" a="1"/>
  <c r="AZ40" i="4" s="1"/>
  <c r="BL40" i="4" s="1"/>
  <c r="AZ33" i="4" a="1"/>
  <c r="AZ33" i="4" s="1"/>
  <c r="AZ32" i="4" a="1"/>
  <c r="AZ32" i="4" s="1"/>
  <c r="BL32" i="4" s="1"/>
  <c r="AZ45" i="4" a="1"/>
  <c r="AZ45" i="4" s="1"/>
  <c r="BL45" i="4" s="1"/>
  <c r="AZ31" i="4" a="1"/>
  <c r="AZ31" i="4" s="1"/>
  <c r="BL31" i="4" s="1"/>
  <c r="AZ30" i="4" a="1"/>
  <c r="AZ30" i="4" s="1"/>
  <c r="AZ29" i="4" a="1"/>
  <c r="AZ29" i="4" s="1"/>
  <c r="AZ28" i="4" a="1"/>
  <c r="AZ28" i="4" s="1"/>
  <c r="AZ52" i="4" a="1"/>
  <c r="AZ52" i="4" s="1"/>
  <c r="AZ44" i="4" a="1"/>
  <c r="AZ44" i="4" s="1"/>
  <c r="AZ27" i="4" a="1"/>
  <c r="AZ27" i="4" s="1"/>
  <c r="AZ53" i="4" a="1"/>
  <c r="AZ53" i="4" s="1"/>
  <c r="AZ38" i="4" a="1"/>
  <c r="AZ38" i="4" s="1"/>
  <c r="AZ36" i="4" a="1"/>
  <c r="AZ36" i="4" s="1"/>
  <c r="BL36" i="4" s="1"/>
  <c r="AZ43" i="4" a="1"/>
  <c r="AZ43" i="4" s="1"/>
  <c r="BL43" i="4" s="1"/>
  <c r="BK17" i="4"/>
  <c r="BJ18" i="4"/>
  <c r="AQ19" i="4"/>
  <c r="AP20" i="4"/>
  <c r="AY22" i="4"/>
  <c r="BR22" i="4"/>
  <c r="BQ23" i="4"/>
  <c r="BP24" i="4"/>
  <c r="BP25" i="4"/>
  <c r="BN28" i="4"/>
  <c r="BM29" i="4"/>
  <c r="BN30" i="4"/>
  <c r="BK32" i="4"/>
  <c r="AR33" i="4"/>
  <c r="AR35" i="4"/>
  <c r="AP40" i="4"/>
  <c r="AQ46" i="4"/>
  <c r="BM56" i="4"/>
  <c r="BN42" i="4"/>
  <c r="BI42" i="4"/>
  <c r="BH42" i="4"/>
  <c r="AS42" i="4"/>
  <c r="AR42" i="4"/>
  <c r="AQ42" i="4"/>
  <c r="AP42" i="4"/>
  <c r="AO42" i="4"/>
  <c r="AR54" i="4"/>
  <c r="BQ54" i="4"/>
  <c r="AS54" i="4"/>
  <c r="AQ54" i="4"/>
  <c r="AP54" i="4"/>
  <c r="AO54" i="4"/>
  <c r="AN54" i="4"/>
  <c r="BP54" i="4"/>
  <c r="H56" i="1"/>
  <c r="C24" i="3" s="1"/>
  <c r="AS17" i="4"/>
  <c r="AR18" i="4"/>
  <c r="AZ20" i="4" a="1"/>
  <c r="AZ20" i="4" s="1"/>
  <c r="AN22" i="4"/>
  <c r="BA54" i="4" a="1"/>
  <c r="BA54" i="4" s="1"/>
  <c r="BA49" i="4" a="1"/>
  <c r="BA49" i="4" s="1"/>
  <c r="BM49" i="4" s="1"/>
  <c r="BA36" i="4" a="1"/>
  <c r="BA36" i="4" s="1"/>
  <c r="BM36" i="4" s="1"/>
  <c r="BA46" i="4" a="1"/>
  <c r="BA46" i="4" s="1"/>
  <c r="BM46" i="4" s="1"/>
  <c r="BA44" i="4" a="1"/>
  <c r="BA44" i="4" s="1"/>
  <c r="BA50" i="4" a="1"/>
  <c r="BA50" i="4" s="1"/>
  <c r="BA35" i="4" a="1"/>
  <c r="BA35" i="4" s="1"/>
  <c r="BM35" i="4" s="1"/>
  <c r="BA32" i="4" a="1"/>
  <c r="BA32" i="4" s="1"/>
  <c r="BM32" i="4" s="1"/>
  <c r="BA39" i="4" a="1"/>
  <c r="BA39" i="4" s="1"/>
  <c r="BA31" i="4" a="1"/>
  <c r="BA31" i="4" s="1"/>
  <c r="BA30" i="4" a="1"/>
  <c r="BA30" i="4" s="1"/>
  <c r="BM30" i="4" s="1"/>
  <c r="BA51" i="4" a="1"/>
  <c r="BA51" i="4" s="1"/>
  <c r="BA45" i="4" a="1"/>
  <c r="BA45" i="4" s="1"/>
  <c r="BA29" i="4" a="1"/>
  <c r="BA29" i="4" s="1"/>
  <c r="BA28" i="4" a="1"/>
  <c r="BA28" i="4" s="1"/>
  <c r="BM28" i="4" s="1"/>
  <c r="BA52" i="4" a="1"/>
  <c r="BA52" i="4" s="1"/>
  <c r="BM52" i="4" s="1"/>
  <c r="BA27" i="4" a="1"/>
  <c r="BA27" i="4" s="1"/>
  <c r="BA53" i="4" a="1"/>
  <c r="BA53" i="4" s="1"/>
  <c r="BM53" i="4" s="1"/>
  <c r="BA43" i="4" a="1"/>
  <c r="BA43" i="4" s="1"/>
  <c r="BA38" i="4" a="1"/>
  <c r="BA38" i="4" s="1"/>
  <c r="BA42" i="4" a="1"/>
  <c r="BA42" i="4" s="1"/>
  <c r="BC15" i="4" a="1"/>
  <c r="BC15" i="4" s="1"/>
  <c r="BN15" i="4"/>
  <c r="AU17" i="4"/>
  <c r="AS18" i="4"/>
  <c r="BK18" i="4"/>
  <c r="AR19" i="4"/>
  <c r="BA19" i="4" a="1"/>
  <c r="BA19" i="4" s="1"/>
  <c r="AQ20" i="4"/>
  <c r="AP21" i="4"/>
  <c r="AZ21" i="4" a="1"/>
  <c r="AZ21" i="4" s="1"/>
  <c r="AO22" i="4"/>
  <c r="BG22" i="4"/>
  <c r="AN23" i="4"/>
  <c r="AY23" i="4"/>
  <c r="BK23" i="4" s="1"/>
  <c r="BF23" i="4"/>
  <c r="BR23" i="4" s="1"/>
  <c r="AX24" i="4" a="1"/>
  <c r="AX24" i="4" s="1"/>
  <c r="BE24" i="4"/>
  <c r="BQ24" i="4"/>
  <c r="AX25" i="4" a="1"/>
  <c r="AX25" i="4" s="1"/>
  <c r="BE25" i="4"/>
  <c r="BQ25" i="4"/>
  <c r="AZ26" i="4" a="1"/>
  <c r="AZ26" i="4" s="1"/>
  <c r="BO27" i="4"/>
  <c r="BO28" i="4"/>
  <c r="BN29" i="4"/>
  <c r="AU35" i="4"/>
  <c r="BG35" i="4" s="1"/>
  <c r="BA37" i="4" a="1"/>
  <c r="BA37" i="4" s="1"/>
  <c r="BC39" i="4" a="1"/>
  <c r="BC39" i="4" s="1"/>
  <c r="AQ40" i="4"/>
  <c r="BK42" i="4"/>
  <c r="AX43" i="4" a="1"/>
  <c r="AX43" i="4" s="1"/>
  <c r="BJ43" i="4" s="1"/>
  <c r="BM48" i="4"/>
  <c r="BI52" i="4"/>
  <c r="AX53" i="4" a="1"/>
  <c r="AX53" i="4" s="1"/>
  <c r="BJ53" i="4" s="1"/>
  <c r="AQ37" i="4"/>
  <c r="AN37" i="4"/>
  <c r="BK37" i="4"/>
  <c r="BQ37" i="4"/>
  <c r="BP37" i="4"/>
  <c r="BO37" i="4"/>
  <c r="AS37" i="4"/>
  <c r="AR49" i="4"/>
  <c r="AO49" i="4"/>
  <c r="BL49" i="4"/>
  <c r="BK49" i="4"/>
  <c r="BI49" i="4"/>
  <c r="AS49" i="4"/>
  <c r="AQ49" i="4"/>
  <c r="AP49" i="4"/>
  <c r="AQ55" i="4"/>
  <c r="BK55" i="4"/>
  <c r="AS55" i="4"/>
  <c r="BL55" i="4"/>
  <c r="BJ55" i="4"/>
  <c r="AR55" i="4"/>
  <c r="AP55" i="4"/>
  <c r="AO55" i="4"/>
  <c r="AN55" i="4"/>
  <c r="H58" i="1"/>
  <c r="E24" i="3" s="1"/>
  <c r="BB52" i="4" a="1"/>
  <c r="BB52" i="4" s="1"/>
  <c r="BB56" i="4" a="1"/>
  <c r="BB56" i="4" s="1"/>
  <c r="BN56" i="4" s="1"/>
  <c r="BB47" i="4" a="1"/>
  <c r="BB47" i="4" s="1"/>
  <c r="BN47" i="4" s="1"/>
  <c r="BB44" i="4" a="1"/>
  <c r="BB44" i="4" s="1"/>
  <c r="BN44" i="4" s="1"/>
  <c r="BB54" i="4" a="1"/>
  <c r="BB54" i="4" s="1"/>
  <c r="BN54" i="4" s="1"/>
  <c r="BB42" i="4" a="1"/>
  <c r="BB42" i="4" s="1"/>
  <c r="BB51" i="4" a="1"/>
  <c r="BB51" i="4" s="1"/>
  <c r="BB29" i="4" a="1"/>
  <c r="BB29" i="4" s="1"/>
  <c r="BB45" i="4" a="1"/>
  <c r="BB45" i="4" s="1"/>
  <c r="BB28" i="4" a="1"/>
  <c r="BB28" i="4" s="1"/>
  <c r="BB27" i="4" a="1"/>
  <c r="BB27" i="4" s="1"/>
  <c r="BB26" i="4" a="1"/>
  <c r="BB26" i="4" s="1"/>
  <c r="BB53" i="4" a="1"/>
  <c r="BB53" i="4" s="1"/>
  <c r="BN53" i="4" s="1"/>
  <c r="BB38" i="4" a="1"/>
  <c r="BB38" i="4" s="1"/>
  <c r="BB36" i="4" a="1"/>
  <c r="BB36" i="4" s="1"/>
  <c r="BN36" i="4" s="1"/>
  <c r="BB43" i="4" a="1"/>
  <c r="BB43" i="4" s="1"/>
  <c r="BN43" i="4" s="1"/>
  <c r="BB41" i="4" a="1"/>
  <c r="BB41" i="4" s="1"/>
  <c r="BN41" i="4" s="1"/>
  <c r="BB55" i="4" a="1"/>
  <c r="BB55" i="4" s="1"/>
  <c r="BB48" i="4" a="1"/>
  <c r="BB48" i="4" s="1"/>
  <c r="BB34" i="4" a="1"/>
  <c r="BB34" i="4" s="1"/>
  <c r="BO15" i="4"/>
  <c r="BN16" i="4"/>
  <c r="BM17" i="4"/>
  <c r="AU18" i="4"/>
  <c r="BB18" i="4" a="1"/>
  <c r="BB18" i="4" s="1"/>
  <c r="AS19" i="4"/>
  <c r="BK19" i="4"/>
  <c r="AR20" i="4"/>
  <c r="BA20" i="4" a="1"/>
  <c r="BA20" i="4" s="1"/>
  <c r="BJ20" i="4"/>
  <c r="AQ21" i="4"/>
  <c r="AP22" i="4"/>
  <c r="AZ22" i="4" a="1"/>
  <c r="AZ22" i="4" s="1"/>
  <c r="AO23" i="4"/>
  <c r="AN24" i="4"/>
  <c r="AY24" i="4"/>
  <c r="BK24" i="4" s="1"/>
  <c r="BF24" i="4"/>
  <c r="BR24" i="4" s="1"/>
  <c r="AY25" i="4"/>
  <c r="BF25" i="4"/>
  <c r="BR25" i="4"/>
  <c r="AO26" i="4"/>
  <c r="BA26" i="4" a="1"/>
  <c r="BA26" i="4" s="1"/>
  <c r="AN27" i="4"/>
  <c r="BP28" i="4"/>
  <c r="BO29" i="4"/>
  <c r="BB31" i="4" a="1"/>
  <c r="BB31" i="4" s="1"/>
  <c r="AU33" i="4"/>
  <c r="BB35" i="4" a="1"/>
  <c r="BB35" i="4" s="1"/>
  <c r="BA40" i="4" a="1"/>
  <c r="BA40" i="4" s="1"/>
  <c r="BM42" i="4"/>
  <c r="AY43" i="4"/>
  <c r="BK43" i="4" s="1"/>
  <c r="BB46" i="4" a="1"/>
  <c r="BB46" i="4" s="1"/>
  <c r="BN46" i="4" s="1"/>
  <c r="BN48" i="4"/>
  <c r="AY54" i="4"/>
  <c r="BK54" i="4" s="1"/>
  <c r="BK31" i="4"/>
  <c r="AS31" i="4"/>
  <c r="AR31" i="4"/>
  <c r="AQ31" i="4"/>
  <c r="BH31" i="4"/>
  <c r="AP31" i="4"/>
  <c r="BG31" i="4"/>
  <c r="AO31" i="4"/>
  <c r="BR31" i="4"/>
  <c r="BQ31" i="4"/>
  <c r="BP31" i="4"/>
  <c r="BM43" i="4"/>
  <c r="AS43" i="4"/>
  <c r="AR43" i="4"/>
  <c r="BR43" i="4"/>
  <c r="AQ43" i="4"/>
  <c r="AP43" i="4"/>
  <c r="BO43" i="4"/>
  <c r="AO43" i="4"/>
  <c r="AN43" i="4"/>
  <c r="H59" i="1"/>
  <c r="F24" i="3" s="1"/>
  <c r="BC50" i="4" a="1"/>
  <c r="BC50" i="4" s="1"/>
  <c r="BC56" i="4" a="1"/>
  <c r="BC56" i="4" s="1"/>
  <c r="BO56" i="4" s="1"/>
  <c r="BC45" i="4" a="1"/>
  <c r="BC45" i="4" s="1"/>
  <c r="BC54" i="4" a="1"/>
  <c r="BC54" i="4" s="1"/>
  <c r="BC42" i="4" a="1"/>
  <c r="BC42" i="4" s="1"/>
  <c r="BO42" i="4" s="1"/>
  <c r="BC52" i="4" a="1"/>
  <c r="BC52" i="4" s="1"/>
  <c r="BO52" i="4" s="1"/>
  <c r="BC40" i="4" a="1"/>
  <c r="BC40" i="4" s="1"/>
  <c r="BC27" i="4" a="1"/>
  <c r="BC27" i="4" s="1"/>
  <c r="BC26" i="4" a="1"/>
  <c r="BC26" i="4" s="1"/>
  <c r="BO26" i="4" s="1"/>
  <c r="BC44" i="4" a="1"/>
  <c r="BC44" i="4" s="1"/>
  <c r="BC38" i="4" a="1"/>
  <c r="BC38" i="4" s="1"/>
  <c r="BC36" i="4" a="1"/>
  <c r="BC36" i="4" s="1"/>
  <c r="BO36" i="4" s="1"/>
  <c r="BC53" i="4" a="1"/>
  <c r="BC53" i="4" s="1"/>
  <c r="BO53" i="4" s="1"/>
  <c r="BC43" i="4" a="1"/>
  <c r="BC43" i="4" s="1"/>
  <c r="BC48" i="4" a="1"/>
  <c r="BC48" i="4" s="1"/>
  <c r="BC47" i="4" a="1"/>
  <c r="BC47" i="4" s="1"/>
  <c r="BC41" i="4" a="1"/>
  <c r="BC41" i="4" s="1"/>
  <c r="BO41" i="4" s="1"/>
  <c r="BC34" i="4" a="1"/>
  <c r="BC34" i="4" s="1"/>
  <c r="BO34" i="4" s="1"/>
  <c r="BC55" i="4" a="1"/>
  <c r="BC55" i="4" s="1"/>
  <c r="BC49" i="4" a="1"/>
  <c r="BC49" i="4" s="1"/>
  <c r="BO49" i="4" s="1"/>
  <c r="BC37" i="4" a="1"/>
  <c r="BC37" i="4" s="1"/>
  <c r="BC33" i="4" a="1"/>
  <c r="BC33" i="4" s="1"/>
  <c r="BC32" i="4" a="1"/>
  <c r="BC32" i="4" s="1"/>
  <c r="BO16" i="4"/>
  <c r="BC17" i="4" a="1"/>
  <c r="BC17" i="4" s="1"/>
  <c r="BN17" i="4"/>
  <c r="AV18" i="4"/>
  <c r="BH18" i="4" s="1"/>
  <c r="BM18" i="4"/>
  <c r="AU19" i="4"/>
  <c r="BG19" i="4" s="1"/>
  <c r="BB19" i="4" a="1"/>
  <c r="BB19" i="4" s="1"/>
  <c r="BN19" i="4" s="1"/>
  <c r="BL19" i="4"/>
  <c r="AS20" i="4"/>
  <c r="AR21" i="4"/>
  <c r="BA21" i="4" a="1"/>
  <c r="BA21" i="4" s="1"/>
  <c r="AQ22" i="4"/>
  <c r="AP23" i="4"/>
  <c r="AZ23" i="4" a="1"/>
  <c r="AZ23" i="4" s="1"/>
  <c r="AO24" i="4"/>
  <c r="BG24" i="4"/>
  <c r="AO25" i="4"/>
  <c r="AP26" i="4"/>
  <c r="AR27" i="4"/>
  <c r="BQ27" i="4"/>
  <c r="BP29" i="4"/>
  <c r="AU30" i="4"/>
  <c r="BG30" i="4" s="1"/>
  <c r="BA33" i="4" a="1"/>
  <c r="BA33" i="4" s="1"/>
  <c r="BB37" i="4" a="1"/>
  <c r="BB37" i="4" s="1"/>
  <c r="BC46" i="4" a="1"/>
  <c r="BC46" i="4" s="1"/>
  <c r="BO46" i="4" s="1"/>
  <c r="BO48" i="4"/>
  <c r="AP56" i="4"/>
  <c r="AR56" i="4"/>
  <c r="BH56" i="4"/>
  <c r="AS56" i="4"/>
  <c r="AQ56" i="4"/>
  <c r="AO56" i="4"/>
  <c r="H60" i="1"/>
  <c r="G24" i="3" s="1"/>
  <c r="BD48" i="4" a="1"/>
  <c r="BD48" i="4" s="1"/>
  <c r="BP48" i="4" s="1"/>
  <c r="BD55" i="4" a="1"/>
  <c r="BD55" i="4" s="1"/>
  <c r="BP55" i="4" s="1"/>
  <c r="BD43" i="4" a="1"/>
  <c r="BD43" i="4" s="1"/>
  <c r="BP43" i="4" s="1"/>
  <c r="BD52" i="4" a="1"/>
  <c r="BD52" i="4" s="1"/>
  <c r="BD40" i="4" a="1"/>
  <c r="BD40" i="4" s="1"/>
  <c r="BP40" i="4" s="1"/>
  <c r="BD50" i="4" a="1"/>
  <c r="BD50" i="4" s="1"/>
  <c r="BD38" i="4" a="1"/>
  <c r="BD38" i="4" s="1"/>
  <c r="BP38" i="4" s="1"/>
  <c r="BD36" i="4" a="1"/>
  <c r="BD36" i="4" s="1"/>
  <c r="BP36" i="4" s="1"/>
  <c r="BD44" i="4" a="1"/>
  <c r="BD44" i="4" s="1"/>
  <c r="BP44" i="4" s="1"/>
  <c r="BD53" i="4" a="1"/>
  <c r="BD53" i="4" s="1"/>
  <c r="BP53" i="4" s="1"/>
  <c r="BD54" i="4" a="1"/>
  <c r="BD54" i="4" s="1"/>
  <c r="BD47" i="4" a="1"/>
  <c r="BD47" i="4" s="1"/>
  <c r="BP47" i="4" s="1"/>
  <c r="BD42" i="4" a="1"/>
  <c r="BD42" i="4" s="1"/>
  <c r="BP42" i="4" s="1"/>
  <c r="BD34" i="4" a="1"/>
  <c r="BD34" i="4" s="1"/>
  <c r="BD56" i="4" a="1"/>
  <c r="BD56" i="4" s="1"/>
  <c r="BP56" i="4" s="1"/>
  <c r="BD41" i="4" a="1"/>
  <c r="BD41" i="4" s="1"/>
  <c r="BP41" i="4" s="1"/>
  <c r="BD37" i="4" a="1"/>
  <c r="BD37" i="4" s="1"/>
  <c r="BD33" i="4" a="1"/>
  <c r="BD33" i="4" s="1"/>
  <c r="BD49" i="4" a="1"/>
  <c r="BD49" i="4" s="1"/>
  <c r="BP49" i="4" s="1"/>
  <c r="BD32" i="4" a="1"/>
  <c r="BD32" i="4" s="1"/>
  <c r="BP32" i="4" s="1"/>
  <c r="BD46" i="4" a="1"/>
  <c r="BD46" i="4" s="1"/>
  <c r="BP46" i="4" s="1"/>
  <c r="BD35" i="4" a="1"/>
  <c r="BD35" i="4" s="1"/>
  <c r="BD31" i="4" a="1"/>
  <c r="BD31" i="4" s="1"/>
  <c r="BD30" i="4" a="1"/>
  <c r="BD30" i="4" s="1"/>
  <c r="BD39" i="4" a="1"/>
  <c r="BD39" i="4" s="1"/>
  <c r="BP39" i="4" s="1"/>
  <c r="AX15" i="4" a="1"/>
  <c r="AX15" i="4" s="1"/>
  <c r="BQ15" i="4"/>
  <c r="BD16" i="4" a="1"/>
  <c r="BD16" i="4" s="1"/>
  <c r="BP16" i="4" s="1"/>
  <c r="AW17" i="4" a="1"/>
  <c r="AW17" i="4" s="1"/>
  <c r="BI17" i="4" s="1"/>
  <c r="BO17" i="4"/>
  <c r="BC18" i="4" a="1"/>
  <c r="BC18" i="4" s="1"/>
  <c r="BN18" i="4"/>
  <c r="AV19" i="4"/>
  <c r="BH19" i="4" s="1"/>
  <c r="BM19" i="4"/>
  <c r="AU20" i="4"/>
  <c r="BG20" i="4" s="1"/>
  <c r="BB20" i="4" a="1"/>
  <c r="BB20" i="4" s="1"/>
  <c r="BL20" i="4"/>
  <c r="AS21" i="4"/>
  <c r="AR22" i="4"/>
  <c r="BA22" i="4" a="1"/>
  <c r="BA22" i="4" s="1"/>
  <c r="BJ22" i="4"/>
  <c r="AQ23" i="4"/>
  <c r="AP24" i="4"/>
  <c r="AZ24" i="4" a="1"/>
  <c r="AZ24" i="4" s="1"/>
  <c r="AP25" i="4"/>
  <c r="AZ25" i="4" a="1"/>
  <c r="AZ25" i="4" s="1"/>
  <c r="AQ26" i="4"/>
  <c r="AV29" i="4"/>
  <c r="BH29" i="4" s="1"/>
  <c r="AV30" i="4"/>
  <c r="BH30" i="4" s="1"/>
  <c r="BC31" i="4" a="1"/>
  <c r="BC31" i="4" s="1"/>
  <c r="BO31" i="4" s="1"/>
  <c r="BC35" i="4" a="1"/>
  <c r="BC35" i="4" s="1"/>
  <c r="BO35" i="4" s="1"/>
  <c r="BL37" i="4"/>
  <c r="BB40" i="4" a="1"/>
  <c r="BB40" i="4" s="1"/>
  <c r="BN40" i="4" s="1"/>
  <c r="BB49" i="4" a="1"/>
  <c r="BB49" i="4" s="1"/>
  <c r="BN49" i="4" s="1"/>
  <c r="AZ54" i="4" a="1"/>
  <c r="AZ54" i="4" s="1"/>
  <c r="BL54" i="4" s="1"/>
  <c r="BO44" i="4"/>
  <c r="BL44" i="4"/>
  <c r="BJ44" i="4"/>
  <c r="AR44" i="4"/>
  <c r="AS44" i="4"/>
  <c r="AQ44" i="4"/>
  <c r="AP44" i="4"/>
  <c r="AO44" i="4"/>
  <c r="AN44" i="4"/>
  <c r="BM44" i="4"/>
  <c r="H61" i="1"/>
  <c r="H24" i="3" s="1"/>
  <c r="BE47" i="4"/>
  <c r="BQ47" i="4" s="1"/>
  <c r="BE54" i="4"/>
  <c r="BE42" i="4"/>
  <c r="BQ42" i="4" s="1"/>
  <c r="BE51" i="4"/>
  <c r="BE39" i="4"/>
  <c r="BQ39" i="4" s="1"/>
  <c r="BE49" i="4"/>
  <c r="BQ49" i="4" s="1"/>
  <c r="BE52" i="4"/>
  <c r="BE44" i="4"/>
  <c r="BQ44" i="4" s="1"/>
  <c r="BE53" i="4"/>
  <c r="BQ53" i="4" s="1"/>
  <c r="BE43" i="4"/>
  <c r="BQ43" i="4" s="1"/>
  <c r="BE34" i="4"/>
  <c r="BQ34" i="4" s="1"/>
  <c r="BE56" i="4" a="1"/>
  <c r="BE56" i="4" s="1"/>
  <c r="BQ56" i="4" s="1"/>
  <c r="BE48" i="4"/>
  <c r="BQ48" i="4" s="1"/>
  <c r="BE41" i="4"/>
  <c r="BQ41" i="4" s="1"/>
  <c r="BE37" i="4"/>
  <c r="BE33" i="4"/>
  <c r="BE55" i="4"/>
  <c r="BE32" i="4"/>
  <c r="BE46" i="4"/>
  <c r="BE40" i="4"/>
  <c r="BE35" i="4"/>
  <c r="BQ35" i="4" s="1"/>
  <c r="BE31" i="4"/>
  <c r="BE30" i="4"/>
  <c r="BQ30" i="4" s="1"/>
  <c r="BE50" i="4"/>
  <c r="BQ50" i="4" s="1"/>
  <c r="BE29" i="4"/>
  <c r="BQ29" i="4" s="1"/>
  <c r="AB58" i="4"/>
  <c r="AN15" i="4"/>
  <c r="AY15" i="4"/>
  <c r="BK15" i="4" s="1"/>
  <c r="BR15" i="4"/>
  <c r="AX16" i="4" a="1"/>
  <c r="AX16" i="4" s="1"/>
  <c r="BE16" i="4"/>
  <c r="BQ16" i="4"/>
  <c r="BD17" i="4" a="1"/>
  <c r="BD17" i="4" s="1"/>
  <c r="BP17" i="4"/>
  <c r="AW18" i="4" a="1"/>
  <c r="AW18" i="4" s="1"/>
  <c r="BI18" i="4" s="1"/>
  <c r="BO18" i="4"/>
  <c r="BC19" i="4" a="1"/>
  <c r="BC19" i="4" s="1"/>
  <c r="AV20" i="4"/>
  <c r="BH20" i="4" s="1"/>
  <c r="BM20" i="4"/>
  <c r="AU21" i="4"/>
  <c r="BG21" i="4" s="1"/>
  <c r="BB21" i="4" a="1"/>
  <c r="BB21" i="4" s="1"/>
  <c r="BL21" i="4"/>
  <c r="AS22" i="4"/>
  <c r="BK22" i="4"/>
  <c r="AR23" i="4"/>
  <c r="BA23" i="4" a="1"/>
  <c r="BA23" i="4" s="1"/>
  <c r="BM23" i="4" s="1"/>
  <c r="BJ23" i="4"/>
  <c r="AQ24" i="4"/>
  <c r="BI24" i="4"/>
  <c r="AQ25" i="4"/>
  <c r="BI25" i="4"/>
  <c r="BD26" i="4" a="1"/>
  <c r="BD26" i="4" s="1"/>
  <c r="BP26" i="4" s="1"/>
  <c r="AW27" i="4" a="1"/>
  <c r="AW27" i="4" s="1"/>
  <c r="AW28" i="4" a="1"/>
  <c r="AW28" i="4" s="1"/>
  <c r="BI28" i="4" s="1"/>
  <c r="BB33" i="4" a="1"/>
  <c r="BB33" i="4" s="1"/>
  <c r="AQ34" i="4"/>
  <c r="BN35" i="4"/>
  <c r="BM37" i="4"/>
  <c r="BM40" i="4"/>
  <c r="AO41" i="4"/>
  <c r="AY47" i="4"/>
  <c r="BL28" i="4"/>
  <c r="BK28" i="4"/>
  <c r="AS28" i="4"/>
  <c r="BJ28" i="4"/>
  <c r="AR28" i="4"/>
  <c r="AQ28" i="4"/>
  <c r="AP28" i="4"/>
  <c r="AO28" i="4"/>
  <c r="BR28" i="4"/>
  <c r="AN28" i="4"/>
  <c r="BN26" i="4"/>
  <c r="BM26" i="4"/>
  <c r="BL26" i="4"/>
  <c r="AR32" i="4"/>
  <c r="AQ32" i="4"/>
  <c r="AP32" i="4"/>
  <c r="AO32" i="4"/>
  <c r="AN32" i="4"/>
  <c r="BQ32" i="4"/>
  <c r="BO32" i="4"/>
  <c r="AQ38" i="4"/>
  <c r="BO38" i="4"/>
  <c r="AS38" i="4"/>
  <c r="BN38" i="4"/>
  <c r="AR38" i="4"/>
  <c r="BM38" i="4"/>
  <c r="AP38" i="4"/>
  <c r="BL38" i="4"/>
  <c r="AO38" i="4"/>
  <c r="BK38" i="4"/>
  <c r="AQ50" i="4"/>
  <c r="AN50" i="4"/>
  <c r="BP50" i="4"/>
  <c r="BO50" i="4"/>
  <c r="BM50" i="4"/>
  <c r="BL50" i="4"/>
  <c r="BK50" i="4"/>
  <c r="AS50" i="4"/>
  <c r="AR50" i="4"/>
  <c r="H55" i="1"/>
  <c r="BN27" i="4"/>
  <c r="BM27" i="4"/>
  <c r="BL27" i="4"/>
  <c r="AS27" i="4"/>
  <c r="BI27" i="4"/>
  <c r="AQ27" i="4"/>
  <c r="AP27" i="4"/>
  <c r="AO27" i="4"/>
  <c r="BI33" i="4"/>
  <c r="AQ33" i="4"/>
  <c r="BH33" i="4"/>
  <c r="AP33" i="4"/>
  <c r="BG33" i="4"/>
  <c r="AO33" i="4"/>
  <c r="AN33" i="4"/>
  <c r="BQ33" i="4"/>
  <c r="BP33" i="4"/>
  <c r="BO33" i="4"/>
  <c r="BN33" i="4"/>
  <c r="BM33" i="4"/>
  <c r="BH39" i="4"/>
  <c r="AP39" i="4"/>
  <c r="BO39" i="4"/>
  <c r="BN39" i="4"/>
  <c r="AO39" i="4"/>
  <c r="BM39" i="4"/>
  <c r="AN39" i="4"/>
  <c r="BK39" i="4"/>
  <c r="BI39" i="4"/>
  <c r="BG39" i="4"/>
  <c r="BN45" i="4"/>
  <c r="BK45" i="4"/>
  <c r="AS45" i="4"/>
  <c r="AQ45" i="4"/>
  <c r="BQ45" i="4"/>
  <c r="AP45" i="4"/>
  <c r="BP45" i="4"/>
  <c r="AO45" i="4"/>
  <c r="BO45" i="4"/>
  <c r="AN45" i="4"/>
  <c r="BM45" i="4"/>
  <c r="BM51" i="4"/>
  <c r="AP51" i="4"/>
  <c r="BQ51" i="4"/>
  <c r="AO51" i="4"/>
  <c r="BR51" i="4"/>
  <c r="AN51" i="4"/>
  <c r="BN51" i="4"/>
  <c r="BK51" i="4"/>
  <c r="BF53" i="4"/>
  <c r="BF41" i="4"/>
  <c r="BR41" i="4" s="1"/>
  <c r="BF50" i="4"/>
  <c r="BR50" i="4" s="1"/>
  <c r="BF38" i="4"/>
  <c r="BR38" i="4" s="1"/>
  <c r="BF37" i="4"/>
  <c r="BR37" i="4" s="1"/>
  <c r="BF48" i="4"/>
  <c r="BF43" i="4"/>
  <c r="BF34" i="4"/>
  <c r="BF56" i="4" a="1"/>
  <c r="BF56" i="4" s="1"/>
  <c r="BR56" i="4" s="1"/>
  <c r="BF54" i="4"/>
  <c r="BR54" i="4" s="1"/>
  <c r="BF47" i="4"/>
  <c r="BR47" i="4" s="1"/>
  <c r="BF42" i="4"/>
  <c r="BR42" i="4" s="1"/>
  <c r="BF33" i="4"/>
  <c r="BR33" i="4" s="1"/>
  <c r="BF55" i="4"/>
  <c r="BR55" i="4" s="1"/>
  <c r="BF32" i="4"/>
  <c r="BR32" i="4" s="1"/>
  <c r="BF49" i="4"/>
  <c r="BR49" i="4" s="1"/>
  <c r="BF46" i="4"/>
  <c r="BR46" i="4" s="1"/>
  <c r="BF40" i="4"/>
  <c r="BR40" i="4" s="1"/>
  <c r="BF35" i="4"/>
  <c r="BR35" i="4" s="1"/>
  <c r="BF31" i="4"/>
  <c r="BF30" i="4"/>
  <c r="BR30" i="4" s="1"/>
  <c r="BF29" i="4"/>
  <c r="BF39" i="4"/>
  <c r="BR39" i="4" s="1"/>
  <c r="BF28" i="4"/>
  <c r="BF45" i="4"/>
  <c r="BR45" i="4" s="1"/>
  <c r="AC58" i="4"/>
  <c r="AO15" i="4"/>
  <c r="BG15" i="4"/>
  <c r="AN16" i="4"/>
  <c r="AY16" i="4"/>
  <c r="BK16" i="4" s="1"/>
  <c r="BF16" i="4"/>
  <c r="BR16" i="4"/>
  <c r="AX17" i="4" a="1"/>
  <c r="AX17" i="4" s="1"/>
  <c r="BJ17" i="4" s="1"/>
  <c r="BE17" i="4"/>
  <c r="BQ17" i="4" s="1"/>
  <c r="BD18" i="4" a="1"/>
  <c r="BD18" i="4" s="1"/>
  <c r="BP18" i="4"/>
  <c r="AW19" i="4" a="1"/>
  <c r="AW19" i="4" s="1"/>
  <c r="BI19" i="4" s="1"/>
  <c r="BO19" i="4"/>
  <c r="BC20" i="4" a="1"/>
  <c r="BC20" i="4" s="1"/>
  <c r="BO20" i="4" s="1"/>
  <c r="BN20" i="4"/>
  <c r="AV21" i="4"/>
  <c r="BH21" i="4" s="1"/>
  <c r="BM21" i="4"/>
  <c r="BB22" i="4" a="1"/>
  <c r="BB22" i="4" s="1"/>
  <c r="BL22" i="4"/>
  <c r="AS23" i="4"/>
  <c r="AR24" i="4"/>
  <c r="BA24" i="4" a="1"/>
  <c r="BA24" i="4" s="1"/>
  <c r="BJ24" i="4"/>
  <c r="AR25" i="4"/>
  <c r="BA25" i="4" a="1"/>
  <c r="BA25" i="4" s="1"/>
  <c r="BJ25" i="4"/>
  <c r="AS26" i="4"/>
  <c r="BE26" i="4"/>
  <c r="BQ26" i="4" s="1"/>
  <c r="AW29" i="4" a="1"/>
  <c r="AW29" i="4" s="1"/>
  <c r="BI29" i="4" s="1"/>
  <c r="AW30" i="4" a="1"/>
  <c r="AW30" i="4" s="1"/>
  <c r="BI30" i="4" s="1"/>
  <c r="BM31" i="4"/>
  <c r="AS32" i="4"/>
  <c r="AR34" i="4"/>
  <c r="BN37" i="4"/>
  <c r="AW38" i="4" a="1"/>
  <c r="AW38" i="4" s="1"/>
  <c r="BI38" i="4" s="1"/>
  <c r="BO40" i="4"/>
  <c r="AZ41" i="4" a="1"/>
  <c r="AZ41" i="4" s="1"/>
  <c r="AX44" i="4" a="1"/>
  <c r="AX44" i="4" s="1"/>
  <c r="BQ46" i="4"/>
  <c r="AZ47" i="4" a="1"/>
  <c r="AZ47" i="4" s="1"/>
  <c r="BL47" i="4" s="1"/>
  <c r="AP50" i="4"/>
  <c r="AQ51" i="4"/>
  <c r="BM54" i="4"/>
  <c r="AZ55" i="4" a="1"/>
  <c r="AZ55" i="4" s="1"/>
  <c r="AU52" i="4"/>
  <c r="BG52" i="4" s="1"/>
  <c r="AU47" i="4"/>
  <c r="BG47" i="4" s="1"/>
  <c r="AU44" i="4"/>
  <c r="AU54" i="4"/>
  <c r="BG54" i="4" s="1"/>
  <c r="AU42" i="4"/>
  <c r="BG42" i="4" s="1"/>
  <c r="AU53" i="4"/>
  <c r="BG53" i="4" s="1"/>
  <c r="AU29" i="4"/>
  <c r="BG29" i="4" s="1"/>
  <c r="AU28" i="4"/>
  <c r="BG28" i="4" s="1"/>
  <c r="AU43" i="4"/>
  <c r="BG43" i="4" s="1"/>
  <c r="AU38" i="4"/>
  <c r="AU36" i="4"/>
  <c r="BG36" i="4" s="1"/>
  <c r="AU27" i="4"/>
  <c r="BG27" i="4" s="1"/>
  <c r="AU26" i="4"/>
  <c r="BG26" i="4" s="1"/>
  <c r="AU55" i="4"/>
  <c r="BG55" i="4" s="1"/>
  <c r="AU48" i="4"/>
  <c r="BG48" i="4" s="1"/>
  <c r="AU41" i="4"/>
  <c r="AU56" i="4" a="1"/>
  <c r="AU56" i="4" s="1"/>
  <c r="BG56" i="4" s="1"/>
  <c r="AU49" i="4"/>
  <c r="BG49" i="4" s="1"/>
  <c r="AU50" i="4"/>
  <c r="BG50" i="4" s="1"/>
  <c r="AU40" i="4"/>
  <c r="AU46" i="4"/>
  <c r="BG46" i="4" s="1"/>
  <c r="AU37" i="4"/>
  <c r="BG37" i="4" s="1"/>
  <c r="AU51" i="4"/>
  <c r="BG51" i="4" s="1"/>
  <c r="AU39" i="4"/>
  <c r="AU34" i="4"/>
  <c r="BG34" i="4" s="1"/>
  <c r="AD58" i="4"/>
  <c r="AP15" i="4"/>
  <c r="AZ15" i="4" a="1"/>
  <c r="AZ15" i="4" s="1"/>
  <c r="BL15" i="4" s="1"/>
  <c r="BH15" i="4"/>
  <c r="AO16" i="4"/>
  <c r="BG16" i="4"/>
  <c r="AN17" i="4"/>
  <c r="AY17" i="4"/>
  <c r="BF17" i="4"/>
  <c r="BR17" i="4" s="1"/>
  <c r="AX18" i="4" a="1"/>
  <c r="AX18" i="4" s="1"/>
  <c r="BE18" i="4"/>
  <c r="BQ18" i="4"/>
  <c r="BD19" i="4" a="1"/>
  <c r="BD19" i="4" s="1"/>
  <c r="BP19" i="4" s="1"/>
  <c r="AW20" i="4" a="1"/>
  <c r="AW20" i="4" s="1"/>
  <c r="BI20" i="4" s="1"/>
  <c r="BC21" i="4" a="1"/>
  <c r="BC21" i="4" s="1"/>
  <c r="BO21" i="4" s="1"/>
  <c r="BN21" i="4"/>
  <c r="AV22" i="4"/>
  <c r="BH22" i="4" s="1"/>
  <c r="BM22" i="4"/>
  <c r="AU23" i="4"/>
  <c r="BG23" i="4" s="1"/>
  <c r="BB23" i="4" a="1"/>
  <c r="BB23" i="4" s="1"/>
  <c r="BN23" i="4" s="1"/>
  <c r="BL23" i="4"/>
  <c r="AS24" i="4"/>
  <c r="AS25" i="4"/>
  <c r="BK25" i="4"/>
  <c r="BF26" i="4"/>
  <c r="BR26" i="4" s="1"/>
  <c r="AX27" i="4" a="1"/>
  <c r="AX27" i="4" s="1"/>
  <c r="BJ27" i="4" s="1"/>
  <c r="AX28" i="4" a="1"/>
  <c r="AX28" i="4" s="1"/>
  <c r="BB30" i="4" a="1"/>
  <c r="BB30" i="4" s="1"/>
  <c r="BN31" i="4"/>
  <c r="AU32" i="4"/>
  <c r="BG32" i="4" s="1"/>
  <c r="BK33" i="4"/>
  <c r="BP35" i="4"/>
  <c r="BQ40" i="4"/>
  <c r="BF44" i="4"/>
  <c r="BR44" i="4" s="1"/>
  <c r="AR45" i="4"/>
  <c r="BA47" i="4" a="1"/>
  <c r="BA47" i="4" s="1"/>
  <c r="AR51" i="4"/>
  <c r="BO54" i="4"/>
  <c r="BA55" i="4" a="1"/>
  <c r="BA55" i="4" s="1"/>
  <c r="BM55" i="4" s="1"/>
  <c r="AV51" i="4"/>
  <c r="BH51" i="4" s="1"/>
  <c r="AV56" i="4" a="1"/>
  <c r="AV56" i="4" s="1"/>
  <c r="AV46" i="4"/>
  <c r="BH46" i="4" s="1"/>
  <c r="AV55" i="4"/>
  <c r="BH55" i="4" s="1"/>
  <c r="AV43" i="4"/>
  <c r="BH43" i="4" s="1"/>
  <c r="AV53" i="4"/>
  <c r="BH53" i="4" s="1"/>
  <c r="AV41" i="4"/>
  <c r="BH41" i="4" s="1"/>
  <c r="AV44" i="4"/>
  <c r="AV28" i="4"/>
  <c r="BH28" i="4" s="1"/>
  <c r="AV38" i="4"/>
  <c r="BH38" i="4" s="1"/>
  <c r="AV36" i="4"/>
  <c r="BH36" i="4" s="1"/>
  <c r="AV27" i="4"/>
  <c r="BH27" i="4" s="1"/>
  <c r="AV54" i="4"/>
  <c r="BH54" i="4" s="1"/>
  <c r="AV48" i="4"/>
  <c r="BH48" i="4" s="1"/>
  <c r="AV42" i="4"/>
  <c r="AV49" i="4"/>
  <c r="BH49" i="4" s="1"/>
  <c r="AV47" i="4"/>
  <c r="BH47" i="4" s="1"/>
  <c r="AV50" i="4"/>
  <c r="BH50" i="4" s="1"/>
  <c r="AV40" i="4"/>
  <c r="BH40" i="4" s="1"/>
  <c r="AV37" i="4"/>
  <c r="BH37" i="4" s="1"/>
  <c r="AV39" i="4"/>
  <c r="AV34" i="4"/>
  <c r="BH34" i="4" s="1"/>
  <c r="AV35" i="4"/>
  <c r="BH35" i="4" s="1"/>
  <c r="AV33" i="4"/>
  <c r="AE58" i="4"/>
  <c r="AQ15" i="4"/>
  <c r="BI15" i="4"/>
  <c r="AP16" i="4"/>
  <c r="AZ16" i="4" a="1"/>
  <c r="AZ16" i="4" s="1"/>
  <c r="BL16" i="4" s="1"/>
  <c r="BH16" i="4"/>
  <c r="AO17" i="4"/>
  <c r="BG17" i="4"/>
  <c r="AN18" i="4"/>
  <c r="AY18" i="4"/>
  <c r="BF18" i="4"/>
  <c r="BR18" i="4"/>
  <c r="AX19" i="4" a="1"/>
  <c r="AX19" i="4" s="1"/>
  <c r="BJ19" i="4" s="1"/>
  <c r="BE19" i="4"/>
  <c r="BQ19" i="4"/>
  <c r="BD20" i="4" a="1"/>
  <c r="BD20" i="4" s="1"/>
  <c r="BP20" i="4"/>
  <c r="AW21" i="4" a="1"/>
  <c r="AW21" i="4" s="1"/>
  <c r="BI21" i="4" s="1"/>
  <c r="BC22" i="4" a="1"/>
  <c r="BC22" i="4" s="1"/>
  <c r="BN22" i="4"/>
  <c r="AV23" i="4"/>
  <c r="BH23" i="4" s="1"/>
  <c r="AU24" i="4"/>
  <c r="BB24" i="4" a="1"/>
  <c r="BB24" i="4" s="1"/>
  <c r="BL24" i="4"/>
  <c r="AU25" i="4"/>
  <c r="BG25" i="4" s="1"/>
  <c r="BB25" i="4" a="1"/>
  <c r="BB25" i="4" s="1"/>
  <c r="BN25" i="4" s="1"/>
  <c r="BL25" i="4"/>
  <c r="AW26" i="4" a="1"/>
  <c r="AW26" i="4" s="1"/>
  <c r="BI26" i="4" s="1"/>
  <c r="AY27" i="4"/>
  <c r="BK27" i="4" s="1"/>
  <c r="BC28" i="4" a="1"/>
  <c r="BC28" i="4" s="1"/>
  <c r="AV32" i="4"/>
  <c r="BH32" i="4" s="1"/>
  <c r="BL33" i="4"/>
  <c r="AX38" i="4" a="1"/>
  <c r="AX38" i="4" s="1"/>
  <c r="BJ38" i="4" s="1"/>
  <c r="AQ39" i="4"/>
  <c r="BA41" i="4" a="1"/>
  <c r="BA41" i="4" s="1"/>
  <c r="BM41" i="4" s="1"/>
  <c r="AN42" i="4"/>
  <c r="BG44" i="4"/>
  <c r="AU45" i="4"/>
  <c r="BG45" i="4" s="1"/>
  <c r="BM47" i="4"/>
  <c r="BB50" i="4" a="1"/>
  <c r="BB50" i="4" s="1"/>
  <c r="BN50" i="4" s="1"/>
  <c r="AS51" i="4"/>
  <c r="BN55" i="4"/>
  <c r="AN56" i="4"/>
  <c r="BL34" i="4"/>
  <c r="AP34" i="4"/>
  <c r="AO34" i="4"/>
  <c r="AN34" i="4"/>
  <c r="BR34" i="4"/>
  <c r="BP34" i="4"/>
  <c r="BN34" i="4"/>
  <c r="BM34" i="4"/>
  <c r="BL52" i="4"/>
  <c r="AO52" i="4"/>
  <c r="BP52" i="4"/>
  <c r="BN52" i="4"/>
  <c r="AR52" i="4"/>
  <c r="AQ52" i="4"/>
  <c r="AP52" i="4"/>
  <c r="BR52" i="4"/>
  <c r="AN52" i="4"/>
  <c r="BQ52" i="4"/>
  <c r="BK52" i="4"/>
  <c r="H64" i="1"/>
  <c r="K24" i="3" s="1"/>
  <c r="AW49" i="4" a="1"/>
  <c r="AW49" i="4" s="1"/>
  <c r="AW44" i="4" a="1"/>
  <c r="AW44" i="4" s="1"/>
  <c r="BI44" i="4" s="1"/>
  <c r="AW53" i="4" a="1"/>
  <c r="AW53" i="4" s="1"/>
  <c r="BI53" i="4" s="1"/>
  <c r="AW41" i="4" a="1"/>
  <c r="AW41" i="4" s="1"/>
  <c r="BI41" i="4" s="1"/>
  <c r="AW51" i="4" a="1"/>
  <c r="AW51" i="4" s="1"/>
  <c r="BI51" i="4" s="1"/>
  <c r="AW39" i="4" a="1"/>
  <c r="AW39" i="4" s="1"/>
  <c r="AW43" i="4" a="1"/>
  <c r="AW43" i="4" s="1"/>
  <c r="BI43" i="4" s="1"/>
  <c r="AW54" i="4" a="1"/>
  <c r="AW54" i="4" s="1"/>
  <c r="BI54" i="4" s="1"/>
  <c r="AW48" i="4" a="1"/>
  <c r="AW48" i="4" s="1"/>
  <c r="BI48" i="4" s="1"/>
  <c r="AW56" i="4" a="1"/>
  <c r="AW56" i="4" s="1"/>
  <c r="BI56" i="4" s="1"/>
  <c r="AW55" i="4" a="1"/>
  <c r="AW55" i="4" s="1"/>
  <c r="BI55" i="4" s="1"/>
  <c r="AW47" i="4" a="1"/>
  <c r="AW47" i="4" s="1"/>
  <c r="BI47" i="4" s="1"/>
  <c r="AW42" i="4" a="1"/>
  <c r="AW42" i="4" s="1"/>
  <c r="AW50" i="4" a="1"/>
  <c r="AW50" i="4" s="1"/>
  <c r="BI50" i="4" s="1"/>
  <c r="AW40" i="4" a="1"/>
  <c r="AW40" i="4" s="1"/>
  <c r="BI40" i="4" s="1"/>
  <c r="AW37" i="4" a="1"/>
  <c r="AW37" i="4" s="1"/>
  <c r="BI37" i="4" s="1"/>
  <c r="AW46" i="4" a="1"/>
  <c r="AW46" i="4" s="1"/>
  <c r="BI46" i="4" s="1"/>
  <c r="AW34" i="4" a="1"/>
  <c r="AW34" i="4" s="1"/>
  <c r="BI34" i="4" s="1"/>
  <c r="AW35" i="4" a="1"/>
  <c r="AW35" i="4" s="1"/>
  <c r="AW33" i="4" a="1"/>
  <c r="AW33" i="4" s="1"/>
  <c r="AW32" i="4" a="1"/>
  <c r="AW32" i="4" s="1"/>
  <c r="BI32" i="4" s="1"/>
  <c r="AW45" i="4" a="1"/>
  <c r="AW45" i="4" s="1"/>
  <c r="BI45" i="4" s="1"/>
  <c r="AW31" i="4" a="1"/>
  <c r="AW31" i="4" s="1"/>
  <c r="BI31" i="4" s="1"/>
  <c r="AF58" i="4"/>
  <c r="AR15" i="4"/>
  <c r="BA15" i="4" a="1"/>
  <c r="BA15" i="4" s="1"/>
  <c r="BM15" i="4" s="1"/>
  <c r="BJ15" i="4"/>
  <c r="AQ16" i="4"/>
  <c r="BI16" i="4"/>
  <c r="AP17" i="4"/>
  <c r="AZ17" i="4" a="1"/>
  <c r="AZ17" i="4" s="1"/>
  <c r="BL17" i="4" s="1"/>
  <c r="BH17" i="4"/>
  <c r="AO18" i="4"/>
  <c r="BG18" i="4"/>
  <c r="AN19" i="4"/>
  <c r="AY19" i="4"/>
  <c r="BF19" i="4"/>
  <c r="BR19" i="4"/>
  <c r="BE20" i="4"/>
  <c r="BQ20" i="4" s="1"/>
  <c r="BD21" i="4" a="1"/>
  <c r="BD21" i="4" s="1"/>
  <c r="BP21" i="4"/>
  <c r="AW22" i="4" a="1"/>
  <c r="AW22" i="4" s="1"/>
  <c r="BI22" i="4" s="1"/>
  <c r="BO22" i="4"/>
  <c r="BC23" i="4" a="1"/>
  <c r="BC23" i="4" s="1"/>
  <c r="BO23" i="4" s="1"/>
  <c r="AV24" i="4"/>
  <c r="BH24" i="4" s="1"/>
  <c r="BM24" i="4"/>
  <c r="AV25" i="4"/>
  <c r="BH25" i="4" s="1"/>
  <c r="BM25" i="4"/>
  <c r="BH26" i="4"/>
  <c r="BC29" i="4" a="1"/>
  <c r="BC29" i="4" s="1"/>
  <c r="BC30" i="4" a="1"/>
  <c r="BC30" i="4" s="1"/>
  <c r="BO30" i="4" s="1"/>
  <c r="BA34" i="4" a="1"/>
  <c r="BA34" i="4" s="1"/>
  <c r="BE38" i="4"/>
  <c r="BQ38" i="4" s="1"/>
  <c r="AR39" i="4"/>
  <c r="BK41" i="4"/>
  <c r="BH44" i="4"/>
  <c r="AV45" i="4"/>
  <c r="BH45" i="4" s="1"/>
  <c r="BC51" i="4" a="1"/>
  <c r="BC51" i="4" s="1"/>
  <c r="BO51" i="4" s="1"/>
  <c r="AV52" i="4"/>
  <c r="BH52" i="4" s="1"/>
  <c r="BO55" i="4"/>
  <c r="AY56" i="4" a="1"/>
  <c r="AY56" i="4" s="1"/>
  <c r="BK56" i="4" s="1"/>
  <c r="AX54" i="4" a="1"/>
  <c r="AX54" i="4" s="1"/>
  <c r="BJ54" i="4" s="1"/>
  <c r="AX42" i="4" a="1"/>
  <c r="AX42" i="4" s="1"/>
  <c r="BJ42" i="4" s="1"/>
  <c r="AX51" i="4" a="1"/>
  <c r="AX51" i="4" s="1"/>
  <c r="BJ51" i="4" s="1"/>
  <c r="AX39" i="4" a="1"/>
  <c r="AX39" i="4" s="1"/>
  <c r="BJ39" i="4" s="1"/>
  <c r="AX49" i="4" a="1"/>
  <c r="AX49" i="4" s="1"/>
  <c r="BJ49" i="4" s="1"/>
  <c r="AX56" i="4" a="1"/>
  <c r="AX56" i="4" s="1"/>
  <c r="BJ56" i="4" s="1"/>
  <c r="AX48" i="4" a="1"/>
  <c r="AX48" i="4" s="1"/>
  <c r="BJ48" i="4" s="1"/>
  <c r="AX47" i="4" a="1"/>
  <c r="AX47" i="4" s="1"/>
  <c r="BJ47" i="4" s="1"/>
  <c r="AX55" i="4" a="1"/>
  <c r="AX55" i="4" s="1"/>
  <c r="AX41" i="4" a="1"/>
  <c r="AX41" i="4" s="1"/>
  <c r="BJ41" i="4" s="1"/>
  <c r="AX37" i="4" a="1"/>
  <c r="AX37" i="4" s="1"/>
  <c r="BJ37" i="4" s="1"/>
  <c r="AX50" i="4" a="1"/>
  <c r="AX50" i="4" s="1"/>
  <c r="BJ50" i="4" s="1"/>
  <c r="AX46" i="4" a="1"/>
  <c r="AX46" i="4" s="1"/>
  <c r="BJ46" i="4" s="1"/>
  <c r="AX40" i="4" a="1"/>
  <c r="AX40" i="4" s="1"/>
  <c r="BJ40" i="4" s="1"/>
  <c r="AX34" i="4" a="1"/>
  <c r="AX34" i="4" s="1"/>
  <c r="BJ34" i="4" s="1"/>
  <c r="AX35" i="4" a="1"/>
  <c r="AX35" i="4" s="1"/>
  <c r="BJ35" i="4" s="1"/>
  <c r="AX33" i="4" a="1"/>
  <c r="AX33" i="4" s="1"/>
  <c r="BJ33" i="4" s="1"/>
  <c r="AX32" i="4" a="1"/>
  <c r="AX32" i="4" s="1"/>
  <c r="BJ32" i="4" s="1"/>
  <c r="AX45" i="4" a="1"/>
  <c r="AX45" i="4" s="1"/>
  <c r="BJ45" i="4" s="1"/>
  <c r="AX31" i="4" a="1"/>
  <c r="AX31" i="4" s="1"/>
  <c r="BJ31" i="4" s="1"/>
  <c r="AX30" i="4" a="1"/>
  <c r="AX30" i="4" s="1"/>
  <c r="BJ30" i="4" s="1"/>
  <c r="AX29" i="4" a="1"/>
  <c r="AX29" i="4" s="1"/>
  <c r="BJ29" i="4" s="1"/>
  <c r="AX52" i="4" a="1"/>
  <c r="AX52" i="4" s="1"/>
  <c r="BJ52" i="4" s="1"/>
  <c r="AG58" i="4"/>
  <c r="AS15" i="4"/>
  <c r="AR16" i="4"/>
  <c r="BA16" i="4" a="1"/>
  <c r="BA16" i="4" s="1"/>
  <c r="BM16" i="4" s="1"/>
  <c r="AQ17" i="4"/>
  <c r="AP18" i="4"/>
  <c r="AZ18" i="4" a="1"/>
  <c r="AZ18" i="4" s="1"/>
  <c r="BL18" i="4" s="1"/>
  <c r="AO19" i="4"/>
  <c r="AN20" i="4"/>
  <c r="AY20" i="4"/>
  <c r="BK20" i="4" s="1"/>
  <c r="BF20" i="4"/>
  <c r="BR20" i="4" s="1"/>
  <c r="AX21" i="4" a="1"/>
  <c r="AX21" i="4" s="1"/>
  <c r="BJ21" i="4" s="1"/>
  <c r="BE21" i="4"/>
  <c r="BQ21" i="4" s="1"/>
  <c r="BD22" i="4" a="1"/>
  <c r="BD22" i="4" s="1"/>
  <c r="AW23" i="4" a="1"/>
  <c r="AW23" i="4" s="1"/>
  <c r="BI23" i="4" s="1"/>
  <c r="BC24" i="4" a="1"/>
  <c r="BC24" i="4" s="1"/>
  <c r="BO24" i="4" s="1"/>
  <c r="BC25" i="4" a="1"/>
  <c r="BC25" i="4" s="1"/>
  <c r="BO25" i="4" s="1"/>
  <c r="AX26" i="4" a="1"/>
  <c r="AX26" i="4" s="1"/>
  <c r="BJ26" i="4" s="1"/>
  <c r="BD27" i="4" a="1"/>
  <c r="BD27" i="4" s="1"/>
  <c r="BP27" i="4" s="1"/>
  <c r="BD28" i="4" a="1"/>
  <c r="BD28" i="4" s="1"/>
  <c r="BL30" i="4"/>
  <c r="BB32" i="4" a="1"/>
  <c r="BB32" i="4" s="1"/>
  <c r="BN32" i="4" s="1"/>
  <c r="AX36" i="4" a="1"/>
  <c r="AX36" i="4" s="1"/>
  <c r="BJ36" i="4" s="1"/>
  <c r="AO37" i="4"/>
  <c r="BG38" i="4"/>
  <c r="AS39" i="4"/>
  <c r="BL41" i="4"/>
  <c r="AZ42" i="4" a="1"/>
  <c r="AZ42" i="4" s="1"/>
  <c r="BL42" i="4" s="1"/>
  <c r="AN46" i="4"/>
  <c r="BO47" i="4"/>
  <c r="BD51" i="4" a="1"/>
  <c r="BD51" i="4" s="1"/>
  <c r="BP51" i="4" s="1"/>
  <c r="AW52" i="4" a="1"/>
  <c r="AW52" i="4" s="1"/>
  <c r="BQ55" i="4"/>
  <c r="AZ56" i="4" a="1"/>
  <c r="AZ56" i="4" s="1"/>
  <c r="BL56" i="4" s="1"/>
  <c r="BE58" i="4" l="1"/>
  <c r="AU58" i="4"/>
  <c r="AK58" i="4"/>
  <c r="K60" i="3" s="1"/>
  <c r="AI58" i="4"/>
  <c r="I60" i="3" s="1"/>
  <c r="BF58" i="4"/>
  <c r="AL58" i="4"/>
  <c r="L60" i="3" s="1"/>
  <c r="AM58" i="4"/>
  <c r="M60" i="3" s="1"/>
  <c r="AH58" i="4"/>
  <c r="H60" i="3" s="1"/>
  <c r="BK58" i="4"/>
  <c r="BP58" i="4"/>
  <c r="BG58" i="4"/>
  <c r="BD58" i="4"/>
  <c r="AP58" i="4"/>
  <c r="AO58" i="4"/>
  <c r="B24" i="3"/>
  <c r="H67" i="1"/>
  <c r="H25" i="3" s="1"/>
  <c r="M24" i="3"/>
  <c r="G31" i="3"/>
  <c r="BI58" i="4"/>
  <c r="AQ58" i="4"/>
  <c r="AV58" i="4"/>
  <c r="AS58" i="4"/>
  <c r="AW58" i="4"/>
  <c r="BM58" i="4"/>
  <c r="AX58" i="4"/>
  <c r="BQ58" i="4"/>
  <c r="BN58" i="4"/>
  <c r="AY58" i="4"/>
  <c r="AZ58" i="4"/>
  <c r="BR58" i="4"/>
  <c r="BO58" i="4"/>
  <c r="AR58" i="4"/>
  <c r="BA58" i="4"/>
  <c r="BJ58" i="4"/>
  <c r="BB58" i="4"/>
  <c r="BH58" i="4"/>
  <c r="AN58" i="4"/>
  <c r="BC58" i="4"/>
  <c r="BL58" i="4"/>
  <c r="M25" i="3" l="1"/>
  <c r="D7" i="5"/>
  <c r="H59" i="3"/>
  <c r="D8" i="5"/>
  <c r="I59" i="3"/>
  <c r="E25" i="3"/>
  <c r="N24" i="3"/>
  <c r="B25" i="3"/>
  <c r="D4" i="5"/>
  <c r="O52" i="3"/>
  <c r="O3" i="3"/>
  <c r="G30" i="3"/>
  <c r="G33" i="3"/>
  <c r="L25" i="3"/>
  <c r="D25" i="3"/>
  <c r="I25" i="3"/>
  <c r="J25" i="3"/>
  <c r="G25" i="3"/>
  <c r="D9" i="5"/>
  <c r="J59" i="3"/>
  <c r="D12" i="5"/>
  <c r="M59" i="3"/>
  <c r="C25" i="3"/>
  <c r="D11" i="5"/>
  <c r="L59" i="3"/>
  <c r="F25" i="3"/>
  <c r="D10" i="5"/>
  <c r="K59" i="3"/>
  <c r="K25" i="3"/>
  <c r="N25" i="3" l="1"/>
  <c r="H32" i="3"/>
  <c r="H30" i="3"/>
  <c r="H31" i="3"/>
  <c r="H33" i="3"/>
</calcChain>
</file>

<file path=xl/sharedStrings.xml><?xml version="1.0" encoding="utf-8"?>
<sst xmlns="http://schemas.openxmlformats.org/spreadsheetml/2006/main" count="314" uniqueCount="165">
  <si>
    <t>Course Code</t>
  </si>
  <si>
    <t>CSE</t>
  </si>
  <si>
    <t>Section</t>
  </si>
  <si>
    <t>Course Title</t>
  </si>
  <si>
    <t>Operating Systems</t>
  </si>
  <si>
    <t>Semester</t>
  </si>
  <si>
    <t>Spring 2025</t>
  </si>
  <si>
    <t>Credit</t>
  </si>
  <si>
    <t>W (Withdrawn)</t>
  </si>
  <si>
    <t>Instructor</t>
  </si>
  <si>
    <t>Rubaiya Hafiz</t>
  </si>
  <si>
    <t>Performance</t>
  </si>
  <si>
    <t xml:space="preserve">Assignment </t>
  </si>
  <si>
    <t xml:space="preserve">Final </t>
  </si>
  <si>
    <t>No.</t>
  </si>
  <si>
    <t>Student ID</t>
  </si>
  <si>
    <t>Name</t>
  </si>
  <si>
    <t>Exam Total (100)</t>
  </si>
  <si>
    <t>Percent Total (100%)</t>
  </si>
  <si>
    <t>Grade</t>
  </si>
  <si>
    <t>Assessment</t>
  </si>
  <si>
    <t>Marks Distribution</t>
  </si>
  <si>
    <t>Numerical Grade</t>
  </si>
  <si>
    <t>Letter Grade</t>
  </si>
  <si>
    <t>Freq</t>
  </si>
  <si>
    <t>Attendance</t>
  </si>
  <si>
    <t>95% and above</t>
  </si>
  <si>
    <t>A+</t>
  </si>
  <si>
    <t>MAX</t>
  </si>
  <si>
    <t>85% to 94%</t>
  </si>
  <si>
    <t>A</t>
  </si>
  <si>
    <t>AVG</t>
  </si>
  <si>
    <t>Quiz</t>
  </si>
  <si>
    <t>80% to 84%</t>
  </si>
  <si>
    <t>A-</t>
  </si>
  <si>
    <t>MIN</t>
  </si>
  <si>
    <t>75% to 79%</t>
  </si>
  <si>
    <t>B+</t>
  </si>
  <si>
    <t>Midterm Exam</t>
  </si>
  <si>
    <t>70% to 74%</t>
  </si>
  <si>
    <t>B</t>
  </si>
  <si>
    <t>Project</t>
  </si>
  <si>
    <t>65% to 69%</t>
  </si>
  <si>
    <t>B-</t>
  </si>
  <si>
    <t>Final Exam</t>
  </si>
  <si>
    <t>60% to 64%</t>
  </si>
  <si>
    <t>C+</t>
  </si>
  <si>
    <t>Total</t>
  </si>
  <si>
    <t>55% to 59%</t>
  </si>
  <si>
    <t>C</t>
  </si>
  <si>
    <t>50% to 54%</t>
  </si>
  <si>
    <t>D</t>
  </si>
  <si>
    <t>Below 50%</t>
  </si>
  <si>
    <t>F</t>
  </si>
  <si>
    <t>No exam</t>
  </si>
  <si>
    <t>I</t>
  </si>
  <si>
    <t>Withdrawn</t>
  </si>
  <si>
    <t>W</t>
  </si>
  <si>
    <t>Senior Lecturer</t>
  </si>
  <si>
    <t>No of students</t>
  </si>
  <si>
    <t>Department of CSE, ULAB</t>
  </si>
  <si>
    <t>Minimum Number</t>
  </si>
  <si>
    <t>F (Fail)</t>
  </si>
  <si>
    <t>D (Plain)</t>
  </si>
  <si>
    <t>C (Plain)</t>
  </si>
  <si>
    <t>C+ (Plus)</t>
  </si>
  <si>
    <t>B- (Minus)</t>
  </si>
  <si>
    <t>B (Plain)</t>
  </si>
  <si>
    <t>B+ (Plus)</t>
  </si>
  <si>
    <t>A- (Minus)</t>
  </si>
  <si>
    <t>A (Plain)</t>
  </si>
  <si>
    <t>A+ (Plus)</t>
  </si>
  <si>
    <t>Course Topic/Content Covered</t>
  </si>
  <si>
    <t>Topics Taught (based on course outline)</t>
  </si>
  <si>
    <t>Number of Sessions</t>
  </si>
  <si>
    <t>What percentage of topics/content planned were actually taught?</t>
  </si>
  <si>
    <t>a.</t>
  </si>
  <si>
    <t>&gt;90%</t>
  </si>
  <si>
    <t>√</t>
  </si>
  <si>
    <t>b.</t>
  </si>
  <si>
    <t>70%-90%</t>
  </si>
  <si>
    <t>c.</t>
  </si>
  <si>
    <t>&lt;70%</t>
  </si>
  <si>
    <t>If &lt;70%, please write the reason for not teaching all topics/content planned</t>
  </si>
  <si>
    <t>Teaching and Learning Methods</t>
  </si>
  <si>
    <t>Grade Distribution</t>
  </si>
  <si>
    <t>Teaching Methods</t>
  </si>
  <si>
    <t xml:space="preserve">Percentage </t>
  </si>
  <si>
    <t>Lectures</t>
  </si>
  <si>
    <t>Group Discussion</t>
  </si>
  <si>
    <t>Presentation</t>
  </si>
  <si>
    <t>Classwork</t>
  </si>
  <si>
    <t>Statistical Information</t>
  </si>
  <si>
    <t>%</t>
  </si>
  <si>
    <t>No</t>
  </si>
  <si>
    <t>Students enrolled</t>
  </si>
  <si>
    <t>Session Planned</t>
  </si>
  <si>
    <t>Active Learning</t>
  </si>
  <si>
    <t>Students who withdrew</t>
  </si>
  <si>
    <t>Sessions Missed</t>
  </si>
  <si>
    <t>Students who took final exam</t>
  </si>
  <si>
    <t>Sessions Made Up</t>
  </si>
  <si>
    <t>Students passed</t>
  </si>
  <si>
    <t>Total Sessions Conducted (excluding midterm and final exams)</t>
  </si>
  <si>
    <t>Average Number Per Session</t>
  </si>
  <si>
    <t>Teaching Aids</t>
  </si>
  <si>
    <t>Tardy Students</t>
  </si>
  <si>
    <t>Guest Lectures Invited</t>
  </si>
  <si>
    <t>N/A</t>
  </si>
  <si>
    <t>Whiteboard</t>
  </si>
  <si>
    <t>Absent Students</t>
  </si>
  <si>
    <t>Field Trips Taken</t>
  </si>
  <si>
    <t>Computer</t>
  </si>
  <si>
    <t>Handout</t>
  </si>
  <si>
    <t>Video and Audio</t>
  </si>
  <si>
    <t xml:space="preserve">Signature of the Course Instructor    </t>
  </si>
  <si>
    <t>Summary of Cos</t>
  </si>
  <si>
    <t>CO1</t>
  </si>
  <si>
    <t>CO2</t>
  </si>
  <si>
    <t>CO3</t>
  </si>
  <si>
    <t>CO4</t>
  </si>
  <si>
    <t>CO5</t>
  </si>
  <si>
    <t>CO6</t>
  </si>
  <si>
    <t>Number of Studens</t>
  </si>
  <si>
    <t>Average Score</t>
  </si>
  <si>
    <t>Mapping of COs to POs</t>
  </si>
  <si>
    <t>Assessment Items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</si>
  <si>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</si>
  <si>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</si>
  <si>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</si>
  <si>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</si>
  <si>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</si>
  <si>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</si>
  <si>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</si>
  <si>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</si>
  <si>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</si>
  <si>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</si>
  <si>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</si>
  <si>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</si>
  <si>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CO Attainment Analysis</t>
  </si>
  <si>
    <t>PO Attainment Analysis</t>
  </si>
  <si>
    <t>Total Marks</t>
  </si>
  <si>
    <t>Percentage</t>
  </si>
  <si>
    <t>CO Attainment</t>
  </si>
  <si>
    <t>PO Attainment</t>
  </si>
  <si>
    <t>S/N</t>
  </si>
  <si>
    <t>If CO achieved (≥55%) then 1, else 0</t>
  </si>
  <si>
    <t>If PO achieved (≥55%) then 1, else 0</t>
  </si>
  <si>
    <t xml:space="preserve"> </t>
  </si>
  <si>
    <t>Class Average</t>
  </si>
  <si>
    <t>Continuous Quality Improvement (CQI) Form</t>
  </si>
  <si>
    <t>Number of Students</t>
  </si>
  <si>
    <t>Course Outcomes (CO)</t>
  </si>
  <si>
    <t>Criteria for Achievement</t>
  </si>
  <si>
    <t>60% of the students to achieve 55% of the allocated mark</t>
  </si>
  <si>
    <t>Plan for Course Improvement: (Based on inputs from Course Outcome Analysis above, results and other sources)*</t>
  </si>
  <si>
    <t xml:space="preserve">Students should have better understanding of Digital Electronics as pre-requisite </t>
  </si>
  <si>
    <t>Students should be aware of theoretical understanding</t>
  </si>
  <si>
    <t>Need more endeavor to solve real life physical problems. More assignment can be thrown</t>
  </si>
  <si>
    <t>* attach additional sheet, if required</t>
  </si>
  <si>
    <t>Signature of the Instructor:</t>
  </si>
  <si>
    <t>Name of the Instructor:</t>
  </si>
  <si>
    <t>Date:</t>
  </si>
  <si>
    <t>Mid</t>
  </si>
  <si>
    <t>Assignment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</si>
</sst>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mmm\ d\,\ yyyy"/>
  </numFmts>
  <fonts count="26">
    <font>
      <sz val="9"/>
      <color rgb="FF000000"/>
      <name val="Arimo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sz val="9"/>
      <name val="Arimo"/>
    </font>
    <font>
      <sz val="9"/>
      <color rgb="FF000000"/>
      <name val="Arimo"/>
    </font>
    <font>
      <sz val="9"/>
      <color theme="1"/>
      <name val="Arimo"/>
    </font>
    <font>
      <b/>
      <sz val="12"/>
      <color rgb="FF000000"/>
      <name val="Times New Roman"/>
    </font>
    <font>
      <sz val="11"/>
      <color theme="1"/>
      <name val="Times New Roman"/>
    </font>
    <font>
      <sz val="12"/>
      <color rgb="FF000000"/>
      <name val="Times New Roman"/>
    </font>
    <font>
      <b/>
      <sz val="10"/>
      <color rgb="FF000000"/>
      <name val="Arial Narrow"/>
    </font>
    <font>
      <b/>
      <sz val="11"/>
      <color rgb="FF000000"/>
      <name val="Arial Narrow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rgb="FF000000"/>
      <name val="Arial Narrow"/>
    </font>
    <font>
      <sz val="11"/>
      <color rgb="FF000000"/>
      <name val="Calibri"/>
    </font>
    <font>
      <b/>
      <sz val="12"/>
      <color rgb="FF000000"/>
      <name val="Arial Narrow"/>
    </font>
    <font>
      <b/>
      <sz val="11"/>
      <color theme="1"/>
      <name val="Times New Roman"/>
    </font>
    <font>
      <b/>
      <sz val="10"/>
      <color theme="1"/>
      <name val="Times New Roman"/>
    </font>
    <font>
      <b/>
      <sz val="14"/>
      <color rgb="FF000000"/>
      <name val="Arial Narrow"/>
    </font>
    <font>
      <b/>
      <u/>
      <sz val="10"/>
      <color rgb="FF000000"/>
      <name val="Arial Narrow"/>
    </font>
    <font>
      <b/>
      <sz val="11"/>
      <color rgb="FFFF0000"/>
      <name val="Times New Roman"/>
    </font>
    <font>
      <b/>
      <vertAlign val="superscript"/>
      <sz val="10"/>
      <color rgb="FF000000"/>
      <name val="Arial Narrow"/>
    </font>
    <font>
      <b/>
      <vertAlign val="superscript"/>
      <sz val="10"/>
      <color rgb="FF000000"/>
      <name val="Arial"/>
    </font>
    <font>
      <i/>
      <sz val="11"/>
      <color rgb="FF000000"/>
      <name val="Arial Narrow"/>
    </font>
    <font>
      <b/>
      <vertAlign val="superscript"/>
      <sz val="10"/>
      <color rgb="FF000000"/>
      <name val="Arial Narrow"/>
    </font>
    <font>
      <b/>
      <u/>
      <sz val="10"/>
      <color rgb="FF000000"/>
      <name val="Arial Narrow"/>
    </font>
  </fonts>
  <fills count="14">
    <fill>
      <patternFill patternType="none"/>
    </fill>
    <fill>
      <patternFill patternType="gray125"/>
    </fill>
    <fill>
      <patternFill patternType="solid">
        <fgColor rgb="FFC2D69B"/>
        <bgColor rgb="FFC2D69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CDDC"/>
        <bgColor rgb="FF92CDDC"/>
      </patternFill>
    </fill>
    <fill>
      <patternFill patternType="solid">
        <fgColor rgb="FFD8D8D8"/>
        <bgColor rgb="FFD8D8D8"/>
      </patternFill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4BACC6"/>
        <bgColor rgb="FF4BACC6"/>
      </patternFill>
    </fill>
    <fill>
      <patternFill patternType="solid">
        <fgColor rgb="FFCCC0D9"/>
        <bgColor rgb="FFCCC0D9"/>
      </patternFill>
    </fill>
    <fill>
      <patternFill patternType="solid">
        <fgColor rgb="FFC5E0B3"/>
        <bgColor rgb="FFC5E0B3"/>
      </patternFill>
    </fill>
    <fill>
      <patternFill patternType="solid">
        <fgColor rgb="FFE5DFEC"/>
        <bgColor rgb="FFE5DFEC"/>
      </patternFill>
    </fill>
    <fill>
      <patternFill patternType="solid">
        <fgColor rgb="FFD6E3BC"/>
        <bgColor rgb="FFD6E3BC"/>
      </patternFill>
    </fill>
  </fills>
  <borders count="9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1" fontId="0" fillId="0" borderId="0"/>
  </cellStyleXfs>
  <cellXfs count="294">
    <xf numFmtId="1" fontId="0" fillId="0" borderId="0" xfId="0"/>
    <xf numFmtId="1" fontId="1" fillId="0" borderId="0" xfId="0" applyFont="1"/>
    <xf numFmtId="1" fontId="1" fillId="0" borderId="0" xfId="0" applyFont="1" applyAlignment="1">
      <alignment horizontal="center"/>
    </xf>
    <xf numFmtId="1" fontId="1" fillId="0" borderId="0" xfId="0" applyFont="1" applyAlignment="1">
      <alignment horizontal="left"/>
    </xf>
    <xf numFmtId="1" fontId="2" fillId="0" borderId="1" xfId="0" applyFont="1" applyBorder="1"/>
    <xf numFmtId="1" fontId="1" fillId="2" borderId="1" xfId="0" applyFont="1" applyFill="1" applyBorder="1" applyAlignment="1">
      <alignment horizontal="center" vertical="center"/>
    </xf>
    <xf numFmtId="1" fontId="1" fillId="0" borderId="1" xfId="0" applyFont="1" applyBorder="1"/>
    <xf numFmtId="1" fontId="1" fillId="2" borderId="1" xfId="0" applyFont="1" applyFill="1" applyBorder="1"/>
    <xf numFmtId="1" fontId="1" fillId="3" borderId="1" xfId="0" applyFont="1" applyFill="1" applyBorder="1" applyAlignment="1">
      <alignment horizontal="center" vertical="center"/>
    </xf>
    <xf numFmtId="1" fontId="4" fillId="0" borderId="0" xfId="0" applyFont="1" applyAlignment="1">
      <alignment horizontal="center"/>
    </xf>
    <xf numFmtId="0" fontId="5" fillId="0" borderId="0" xfId="0" applyNumberFormat="1" applyFont="1" applyAlignment="1">
      <alignment horizontal="left"/>
    </xf>
    <xf numFmtId="1" fontId="2" fillId="0" borderId="1" xfId="0" applyFont="1" applyBorder="1" applyAlignment="1">
      <alignment horizontal="center" vertical="center"/>
    </xf>
    <xf numFmtId="1" fontId="6" fillId="0" borderId="1" xfId="0" applyFont="1" applyBorder="1" applyAlignment="1">
      <alignment horizontal="center" vertical="center" wrapText="1"/>
    </xf>
    <xf numFmtId="1" fontId="2" fillId="3" borderId="1" xfId="0" applyFont="1" applyFill="1" applyBorder="1" applyAlignment="1">
      <alignment horizontal="center" vertical="center" wrapText="1"/>
    </xf>
    <xf numFmtId="1" fontId="2" fillId="0" borderId="1" xfId="0" applyFont="1" applyBorder="1" applyAlignment="1">
      <alignment horizontal="center" vertical="center" wrapText="1"/>
    </xf>
    <xf numFmtId="1" fontId="2" fillId="0" borderId="1" xfId="0" applyFont="1" applyBorder="1" applyAlignment="1">
      <alignment vertical="center" wrapText="1"/>
    </xf>
    <xf numFmtId="1" fontId="6" fillId="0" borderId="1" xfId="0" applyFont="1" applyBorder="1" applyAlignment="1">
      <alignment horizontal="center" vertical="center"/>
    </xf>
    <xf numFmtId="1" fontId="6" fillId="3" borderId="1" xfId="0" applyFont="1" applyFill="1" applyBorder="1" applyAlignment="1">
      <alignment horizontal="center" vertical="center"/>
    </xf>
    <xf numFmtId="1" fontId="2" fillId="0" borderId="0" xfId="0" applyFont="1" applyAlignment="1">
      <alignment vertical="center" wrapText="1"/>
    </xf>
    <xf numFmtId="1" fontId="2" fillId="2" borderId="1" xfId="0" applyFont="1" applyFill="1" applyBorder="1" applyAlignment="1">
      <alignment horizontal="center" vertical="center" wrapText="1"/>
    </xf>
    <xf numFmtId="1" fontId="6" fillId="0" borderId="6" xfId="0" applyFont="1" applyBorder="1" applyAlignment="1">
      <alignment horizontal="center" vertical="center"/>
    </xf>
    <xf numFmtId="1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0" fontId="7" fillId="0" borderId="1" xfId="0" applyNumberFormat="1" applyFont="1" applyBorder="1" applyAlignment="1">
      <alignment horizontal="left" vertical="top"/>
    </xf>
    <xf numFmtId="2" fontId="1" fillId="3" borderId="7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top"/>
    </xf>
    <xf numFmtId="1" fontId="1" fillId="0" borderId="1" xfId="0" applyFont="1" applyBorder="1" applyAlignment="1">
      <alignment horizontal="center" vertical="center" wrapText="1"/>
    </xf>
    <xf numFmtId="0" fontId="8" fillId="0" borderId="1" xfId="0" applyNumberFormat="1" applyFont="1" applyBorder="1" applyAlignment="1">
      <alignment horizontal="center" vertical="top"/>
    </xf>
    <xf numFmtId="1" fontId="2" fillId="0" borderId="1" xfId="0" applyFont="1" applyBorder="1" applyAlignment="1">
      <alignment horizontal="left" vertical="center"/>
    </xf>
    <xf numFmtId="1" fontId="2" fillId="0" borderId="0" xfId="0" applyFont="1" applyAlignment="1">
      <alignment horizontal="center"/>
    </xf>
    <xf numFmtId="1" fontId="2" fillId="0" borderId="1" xfId="0" applyFont="1" applyBorder="1" applyAlignment="1">
      <alignment horizontal="center" wrapText="1"/>
    </xf>
    <xf numFmtId="1" fontId="1" fillId="0" borderId="5" xfId="0" applyFont="1" applyBorder="1" applyAlignment="1">
      <alignment horizontal="center" wrapText="1"/>
    </xf>
    <xf numFmtId="1" fontId="1" fillId="2" borderId="5" xfId="0" applyFont="1" applyFill="1" applyBorder="1" applyAlignment="1">
      <alignment horizontal="center"/>
    </xf>
    <xf numFmtId="1" fontId="1" fillId="0" borderId="1" xfId="0" applyFont="1" applyBorder="1" applyAlignment="1">
      <alignment horizontal="center" vertical="top" wrapText="1"/>
    </xf>
    <xf numFmtId="9" fontId="1" fillId="0" borderId="1" xfId="0" applyNumberFormat="1" applyFont="1" applyBorder="1" applyAlignment="1">
      <alignment horizontal="center" vertical="center"/>
    </xf>
    <xf numFmtId="1" fontId="1" fillId="0" borderId="1" xfId="0" applyFont="1" applyBorder="1" applyAlignment="1">
      <alignment horizontal="center" vertical="center"/>
    </xf>
    <xf numFmtId="1" fontId="1" fillId="4" borderId="1" xfId="0" applyFont="1" applyFill="1" applyBorder="1"/>
    <xf numFmtId="164" fontId="1" fillId="0" borderId="1" xfId="0" applyNumberFormat="1" applyFont="1" applyBorder="1" applyAlignment="1">
      <alignment horizontal="center"/>
    </xf>
    <xf numFmtId="1" fontId="1" fillId="2" borderId="1" xfId="0" applyFont="1" applyFill="1" applyBorder="1" applyAlignment="1">
      <alignment horizontal="center"/>
    </xf>
    <xf numFmtId="164" fontId="1" fillId="0" borderId="0" xfId="0" applyNumberFormat="1" applyFont="1"/>
    <xf numFmtId="1" fontId="1" fillId="0" borderId="0" xfId="0" applyFont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" fontId="1" fillId="0" borderId="11" xfId="0" applyFont="1" applyBorder="1" applyAlignment="1">
      <alignment horizontal="center" vertical="center" wrapText="1"/>
    </xf>
    <xf numFmtId="1" fontId="1" fillId="0" borderId="11" xfId="0" applyFont="1" applyBorder="1"/>
    <xf numFmtId="1" fontId="1" fillId="0" borderId="12" xfId="0" applyFont="1" applyBorder="1" applyAlignment="1">
      <alignment horizontal="center" vertical="top" wrapText="1"/>
    </xf>
    <xf numFmtId="1" fontId="1" fillId="0" borderId="12" xfId="0" applyFont="1" applyBorder="1" applyAlignment="1">
      <alignment horizontal="center" vertical="center"/>
    </xf>
    <xf numFmtId="1" fontId="1" fillId="0" borderId="13" xfId="0" applyFont="1" applyBorder="1" applyAlignment="1">
      <alignment horizontal="center" vertical="top" wrapText="1"/>
    </xf>
    <xf numFmtId="1" fontId="1" fillId="0" borderId="13" xfId="0" applyFont="1" applyBorder="1" applyAlignment="1">
      <alignment horizontal="center" vertical="center"/>
    </xf>
    <xf numFmtId="9" fontId="1" fillId="0" borderId="13" xfId="0" applyNumberFormat="1" applyFont="1" applyBorder="1" applyAlignment="1">
      <alignment horizontal="center" vertical="center"/>
    </xf>
    <xf numFmtId="1" fontId="1" fillId="0" borderId="14" xfId="0" applyFont="1" applyBorder="1" applyAlignment="1">
      <alignment horizontal="center" vertical="center" wrapText="1"/>
    </xf>
    <xf numFmtId="1" fontId="1" fillId="0" borderId="14" xfId="0" applyFont="1" applyBorder="1" applyAlignment="1">
      <alignment horizontal="center" vertical="center"/>
    </xf>
    <xf numFmtId="9" fontId="1" fillId="0" borderId="14" xfId="0" applyNumberFormat="1" applyFont="1" applyBorder="1" applyAlignment="1">
      <alignment horizontal="center" vertical="center"/>
    </xf>
    <xf numFmtId="0" fontId="9" fillId="0" borderId="0" xfId="0" applyNumberFormat="1" applyFont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  <xf numFmtId="0" fontId="9" fillId="0" borderId="0" xfId="0" applyNumberFormat="1" applyFont="1" applyAlignment="1">
      <alignment vertical="center"/>
    </xf>
    <xf numFmtId="0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3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vertical="center"/>
    </xf>
    <xf numFmtId="0" fontId="11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6" fillId="5" borderId="1" xfId="0" applyNumberFormat="1" applyFont="1" applyFill="1" applyBorder="1" applyAlignment="1">
      <alignment horizontal="center" vertical="center"/>
    </xf>
    <xf numFmtId="1" fontId="8" fillId="8" borderId="1" xfId="0" applyFont="1" applyFill="1" applyBorder="1" applyAlignment="1">
      <alignment horizontal="center" vertical="center"/>
    </xf>
    <xf numFmtId="9" fontId="8" fillId="8" borderId="1" xfId="0" applyNumberFormat="1" applyFont="1" applyFill="1" applyBorder="1" applyAlignment="1">
      <alignment horizontal="center" vertical="center"/>
    </xf>
    <xf numFmtId="0" fontId="15" fillId="0" borderId="0" xfId="0" applyNumberFormat="1" applyFont="1" applyAlignment="1">
      <alignment vertical="center"/>
    </xf>
    <xf numFmtId="0" fontId="12" fillId="0" borderId="1" xfId="0" applyNumberFormat="1" applyFont="1" applyBorder="1" applyAlignment="1">
      <alignment horizontal="center" vertical="center"/>
    </xf>
    <xf numFmtId="1" fontId="11" fillId="0" borderId="1" xfId="0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0" fontId="11" fillId="2" borderId="1" xfId="0" applyNumberFormat="1" applyFont="1" applyFill="1" applyBorder="1" applyAlignment="1">
      <alignment horizontal="center" vertical="center"/>
    </xf>
    <xf numFmtId="0" fontId="13" fillId="0" borderId="18" xfId="0" applyNumberFormat="1" applyFont="1" applyBorder="1" applyAlignment="1">
      <alignment horizontal="center" vertical="center"/>
    </xf>
    <xf numFmtId="0" fontId="13" fillId="0" borderId="23" xfId="0" applyNumberFormat="1" applyFont="1" applyBorder="1" applyAlignment="1">
      <alignment horizontal="center" vertical="center"/>
    </xf>
    <xf numFmtId="0" fontId="10" fillId="0" borderId="0" xfId="0" applyNumberFormat="1" applyFont="1" applyAlignment="1">
      <alignment horizontal="left" vertical="center"/>
    </xf>
    <xf numFmtId="0" fontId="6" fillId="0" borderId="0" xfId="0" applyNumberFormat="1" applyFont="1" applyAlignment="1">
      <alignment vertical="center"/>
    </xf>
    <xf numFmtId="1" fontId="7" fillId="0" borderId="0" xfId="0" applyFont="1"/>
    <xf numFmtId="1" fontId="16" fillId="0" borderId="30" xfId="0" applyFont="1" applyBorder="1" applyAlignment="1">
      <alignment horizontal="center"/>
    </xf>
    <xf numFmtId="1" fontId="7" fillId="0" borderId="30" xfId="0" applyFont="1" applyBorder="1" applyAlignment="1">
      <alignment horizontal="center" vertical="center"/>
    </xf>
    <xf numFmtId="1" fontId="7" fillId="0" borderId="31" xfId="0" applyFont="1" applyBorder="1" applyAlignment="1">
      <alignment horizontal="center" vertical="center"/>
    </xf>
    <xf numFmtId="1" fontId="7" fillId="0" borderId="32" xfId="0" applyFont="1" applyBorder="1" applyAlignment="1">
      <alignment horizontal="center" vertical="center"/>
    </xf>
    <xf numFmtId="1" fontId="7" fillId="0" borderId="11" xfId="0" applyFont="1" applyBorder="1" applyAlignment="1">
      <alignment horizontal="center" vertical="center"/>
    </xf>
    <xf numFmtId="1" fontId="4" fillId="0" borderId="0" xfId="0" applyFont="1"/>
    <xf numFmtId="1" fontId="7" fillId="0" borderId="33" xfId="0" applyFont="1" applyBorder="1" applyAlignment="1">
      <alignment horizontal="center"/>
    </xf>
    <xf numFmtId="1" fontId="7" fillId="2" borderId="34" xfId="0" applyFont="1" applyFill="1" applyBorder="1" applyAlignment="1">
      <alignment horizontal="center" vertical="center"/>
    </xf>
    <xf numFmtId="1" fontId="7" fillId="2" borderId="35" xfId="0" applyFont="1" applyFill="1" applyBorder="1" applyAlignment="1">
      <alignment horizontal="center" vertical="center"/>
    </xf>
    <xf numFmtId="1" fontId="7" fillId="2" borderId="36" xfId="0" applyFont="1" applyFill="1" applyBorder="1" applyAlignment="1">
      <alignment horizontal="center" vertical="center"/>
    </xf>
    <xf numFmtId="1" fontId="7" fillId="0" borderId="37" xfId="0" applyFont="1" applyBorder="1" applyAlignment="1">
      <alignment horizontal="center" vertical="center"/>
    </xf>
    <xf numFmtId="1" fontId="7" fillId="2" borderId="38" xfId="0" applyFont="1" applyFill="1" applyBorder="1" applyAlignment="1">
      <alignment horizontal="center" vertical="center"/>
    </xf>
    <xf numFmtId="1" fontId="7" fillId="0" borderId="39" xfId="0" applyFont="1" applyBorder="1" applyAlignment="1">
      <alignment horizontal="center"/>
    </xf>
    <xf numFmtId="1" fontId="7" fillId="2" borderId="39" xfId="0" applyFont="1" applyFill="1" applyBorder="1" applyAlignment="1">
      <alignment horizontal="center" vertical="center"/>
    </xf>
    <xf numFmtId="1" fontId="7" fillId="2" borderId="1" xfId="0" applyFont="1" applyFill="1" applyBorder="1" applyAlignment="1">
      <alignment horizontal="center" vertical="center"/>
    </xf>
    <xf numFmtId="1" fontId="7" fillId="2" borderId="40" xfId="0" applyFont="1" applyFill="1" applyBorder="1" applyAlignment="1">
      <alignment horizontal="center" vertical="center"/>
    </xf>
    <xf numFmtId="1" fontId="7" fillId="0" borderId="13" xfId="0" applyFont="1" applyBorder="1" applyAlignment="1">
      <alignment horizontal="center" vertical="center"/>
    </xf>
    <xf numFmtId="1" fontId="7" fillId="0" borderId="41" xfId="0" applyFont="1" applyBorder="1" applyAlignment="1">
      <alignment horizontal="center"/>
    </xf>
    <xf numFmtId="1" fontId="7" fillId="2" borderId="42" xfId="0" applyFont="1" applyFill="1" applyBorder="1" applyAlignment="1">
      <alignment horizontal="center" vertical="center"/>
    </xf>
    <xf numFmtId="1" fontId="7" fillId="2" borderId="43" xfId="0" applyFont="1" applyFill="1" applyBorder="1" applyAlignment="1">
      <alignment horizontal="center" vertical="center"/>
    </xf>
    <xf numFmtId="1" fontId="7" fillId="2" borderId="44" xfId="0" applyFont="1" applyFill="1" applyBorder="1" applyAlignment="1">
      <alignment horizontal="center" vertical="center"/>
    </xf>
    <xf numFmtId="1" fontId="7" fillId="0" borderId="45" xfId="0" applyFont="1" applyBorder="1" applyAlignment="1">
      <alignment horizontal="center" vertical="center"/>
    </xf>
    <xf numFmtId="1" fontId="7" fillId="0" borderId="46" xfId="0" applyFont="1" applyBorder="1" applyAlignment="1">
      <alignment horizontal="center" vertical="center"/>
    </xf>
    <xf numFmtId="1" fontId="7" fillId="0" borderId="47" xfId="0" applyFont="1" applyBorder="1" applyAlignment="1">
      <alignment horizontal="center" vertical="center"/>
    </xf>
    <xf numFmtId="1" fontId="7" fillId="0" borderId="14" xfId="0" applyFont="1" applyBorder="1" applyAlignment="1">
      <alignment horizontal="center" vertical="center"/>
    </xf>
    <xf numFmtId="1" fontId="16" fillId="0" borderId="0" xfId="0" applyFont="1" applyAlignment="1">
      <alignment horizontal="center"/>
    </xf>
    <xf numFmtId="1" fontId="16" fillId="0" borderId="48" xfId="0" applyFont="1" applyBorder="1"/>
    <xf numFmtId="1" fontId="16" fillId="0" borderId="46" xfId="0" applyFont="1" applyBorder="1"/>
    <xf numFmtId="1" fontId="7" fillId="0" borderId="6" xfId="0" applyFont="1" applyBorder="1" applyAlignment="1">
      <alignment horizontal="center" vertical="center"/>
    </xf>
    <xf numFmtId="1" fontId="7" fillId="0" borderId="5" xfId="0" applyFont="1" applyBorder="1" applyAlignment="1">
      <alignment horizontal="center" vertical="center"/>
    </xf>
    <xf numFmtId="1" fontId="7" fillId="0" borderId="15" xfId="0" applyFont="1" applyBorder="1" applyAlignment="1">
      <alignment horizontal="center" vertical="center"/>
    </xf>
    <xf numFmtId="1" fontId="7" fillId="0" borderId="54" xfId="0" applyFont="1" applyBorder="1" applyAlignment="1">
      <alignment horizontal="center" vertical="center"/>
    </xf>
    <xf numFmtId="1" fontId="7" fillId="0" borderId="55" xfId="0" applyFont="1" applyBorder="1" applyAlignment="1">
      <alignment horizontal="center" vertical="center"/>
    </xf>
    <xf numFmtId="1" fontId="7" fillId="0" borderId="22" xfId="0" applyFont="1" applyBorder="1" applyAlignment="1">
      <alignment horizontal="center" vertical="center"/>
    </xf>
    <xf numFmtId="1" fontId="7" fillId="0" borderId="17" xfId="0" applyFont="1" applyBorder="1" applyAlignment="1">
      <alignment horizontal="center" vertical="center"/>
    </xf>
    <xf numFmtId="1" fontId="7" fillId="0" borderId="56" xfId="0" applyFont="1" applyBorder="1" applyAlignment="1">
      <alignment horizontal="center" vertical="center"/>
    </xf>
    <xf numFmtId="1" fontId="7" fillId="0" borderId="57" xfId="0" applyFont="1" applyBorder="1" applyAlignment="1">
      <alignment horizontal="center"/>
    </xf>
    <xf numFmtId="1" fontId="7" fillId="0" borderId="58" xfId="0" applyFont="1" applyBorder="1" applyAlignment="1">
      <alignment horizontal="center"/>
    </xf>
    <xf numFmtId="1" fontId="7" fillId="0" borderId="52" xfId="0" applyFont="1" applyBorder="1" applyAlignment="1">
      <alignment horizontal="center"/>
    </xf>
    <xf numFmtId="1" fontId="7" fillId="0" borderId="59" xfId="0" applyFont="1" applyBorder="1" applyAlignment="1">
      <alignment horizontal="center" vertical="center"/>
    </xf>
    <xf numFmtId="1" fontId="7" fillId="0" borderId="60" xfId="0" applyFont="1" applyBorder="1" applyAlignment="1">
      <alignment horizontal="center" vertical="center"/>
    </xf>
    <xf numFmtId="1" fontId="7" fillId="0" borderId="61" xfId="0" applyFont="1" applyBorder="1" applyAlignment="1">
      <alignment horizontal="center" vertical="center"/>
    </xf>
    <xf numFmtId="1" fontId="7" fillId="0" borderId="62" xfId="0" applyFont="1" applyBorder="1" applyAlignment="1">
      <alignment horizontal="center" vertical="center"/>
    </xf>
    <xf numFmtId="1" fontId="7" fillId="0" borderId="0" xfId="0" applyFont="1" applyAlignment="1">
      <alignment horizontal="center" vertical="center"/>
    </xf>
    <xf numFmtId="1" fontId="16" fillId="0" borderId="30" xfId="0" applyFont="1" applyBorder="1" applyAlignment="1">
      <alignment horizontal="center" vertical="center" wrapText="1"/>
    </xf>
    <xf numFmtId="1" fontId="12" fillId="0" borderId="31" xfId="0" applyFont="1" applyBorder="1" applyAlignment="1">
      <alignment horizontal="center" vertical="center"/>
    </xf>
    <xf numFmtId="1" fontId="12" fillId="0" borderId="32" xfId="0" applyFont="1" applyBorder="1" applyAlignment="1">
      <alignment horizontal="left" vertical="center"/>
    </xf>
    <xf numFmtId="1" fontId="7" fillId="6" borderId="30" xfId="0" applyFont="1" applyFill="1" applyBorder="1" applyAlignment="1">
      <alignment horizontal="center" vertical="center"/>
    </xf>
    <xf numFmtId="1" fontId="7" fillId="6" borderId="31" xfId="0" applyFont="1" applyFill="1" applyBorder="1" applyAlignment="1">
      <alignment horizontal="center" vertical="center"/>
    </xf>
    <xf numFmtId="1" fontId="5" fillId="6" borderId="63" xfId="0" applyFont="1" applyFill="1" applyBorder="1"/>
    <xf numFmtId="9" fontId="7" fillId="6" borderId="30" xfId="0" applyNumberFormat="1" applyFont="1" applyFill="1" applyBorder="1" applyAlignment="1">
      <alignment horizontal="center" vertical="center"/>
    </xf>
    <xf numFmtId="9" fontId="7" fillId="6" borderId="31" xfId="0" applyNumberFormat="1" applyFont="1" applyFill="1" applyBorder="1" applyAlignment="1">
      <alignment horizontal="center" vertical="center"/>
    </xf>
    <xf numFmtId="9" fontId="7" fillId="6" borderId="32" xfId="0" applyNumberFormat="1" applyFont="1" applyFill="1" applyBorder="1" applyAlignment="1">
      <alignment horizontal="center" vertical="center"/>
    </xf>
    <xf numFmtId="9" fontId="7" fillId="6" borderId="64" xfId="0" applyNumberFormat="1" applyFont="1" applyFill="1" applyBorder="1" applyAlignment="1">
      <alignment horizontal="center" vertical="center"/>
    </xf>
    <xf numFmtId="9" fontId="7" fillId="6" borderId="66" xfId="0" applyNumberFormat="1" applyFont="1" applyFill="1" applyBorder="1" applyAlignment="1">
      <alignment horizontal="center" vertical="center"/>
    </xf>
    <xf numFmtId="9" fontId="7" fillId="6" borderId="67" xfId="0" applyNumberFormat="1" applyFont="1" applyFill="1" applyBorder="1" applyAlignment="1">
      <alignment horizontal="center" vertical="center"/>
    </xf>
    <xf numFmtId="9" fontId="7" fillId="6" borderId="68" xfId="0" applyNumberFormat="1" applyFont="1" applyFill="1" applyBorder="1" applyAlignment="1">
      <alignment horizontal="center" vertical="center"/>
    </xf>
    <xf numFmtId="1" fontId="7" fillId="0" borderId="34" xfId="0" applyFont="1" applyBorder="1" applyAlignment="1">
      <alignment horizontal="center"/>
    </xf>
    <xf numFmtId="2" fontId="7" fillId="11" borderId="73" xfId="0" applyNumberFormat="1" applyFont="1" applyFill="1" applyBorder="1" applyAlignment="1">
      <alignment horizontal="center" vertical="center"/>
    </xf>
    <xf numFmtId="2" fontId="7" fillId="2" borderId="73" xfId="0" applyNumberFormat="1" applyFont="1" applyFill="1" applyBorder="1" applyAlignment="1">
      <alignment horizontal="center" vertical="center"/>
    </xf>
    <xf numFmtId="2" fontId="5" fillId="2" borderId="74" xfId="0" applyNumberFormat="1" applyFont="1" applyFill="1" applyBorder="1"/>
    <xf numFmtId="2" fontId="5" fillId="2" borderId="75" xfId="0" applyNumberFormat="1" applyFont="1" applyFill="1" applyBorder="1"/>
    <xf numFmtId="2" fontId="5" fillId="2" borderId="76" xfId="0" applyNumberFormat="1" applyFont="1" applyFill="1" applyBorder="1"/>
    <xf numFmtId="2" fontId="7" fillId="0" borderId="21" xfId="0" applyNumberFormat="1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9" fontId="7" fillId="0" borderId="36" xfId="0" applyNumberFormat="1" applyFont="1" applyBorder="1" applyAlignment="1">
      <alignment horizontal="center" vertical="center"/>
    </xf>
    <xf numFmtId="1" fontId="7" fillId="0" borderId="34" xfId="0" applyFont="1" applyBorder="1" applyAlignment="1">
      <alignment horizontal="center" vertical="center"/>
    </xf>
    <xf numFmtId="9" fontId="7" fillId="0" borderId="39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wrapText="1"/>
    </xf>
    <xf numFmtId="2" fontId="1" fillId="11" borderId="7" xfId="0" applyNumberFormat="1" applyFont="1" applyFill="1" applyBorder="1" applyAlignment="1">
      <alignment horizontal="center"/>
    </xf>
    <xf numFmtId="2" fontId="5" fillId="11" borderId="7" xfId="0" applyNumberFormat="1" applyFont="1" applyFill="1" applyBorder="1"/>
    <xf numFmtId="2" fontId="1" fillId="2" borderId="7" xfId="0" applyNumberFormat="1" applyFont="1" applyFill="1" applyBorder="1" applyAlignment="1">
      <alignment horizontal="center"/>
    </xf>
    <xf numFmtId="2" fontId="5" fillId="2" borderId="7" xfId="0" applyNumberFormat="1" applyFont="1" applyFill="1" applyBorder="1"/>
    <xf numFmtId="2" fontId="5" fillId="2" borderId="77" xfId="0" applyNumberFormat="1" applyFont="1" applyFill="1" applyBorder="1"/>
    <xf numFmtId="2" fontId="7" fillId="0" borderId="4" xfId="0" applyNumberFormat="1" applyFont="1" applyBorder="1" applyAlignment="1">
      <alignment horizontal="center"/>
    </xf>
    <xf numFmtId="9" fontId="7" fillId="0" borderId="78" xfId="0" applyNumberFormat="1" applyFont="1" applyBorder="1" applyAlignment="1">
      <alignment horizontal="center"/>
    </xf>
    <xf numFmtId="1" fontId="7" fillId="0" borderId="46" xfId="0" applyFont="1" applyBorder="1" applyAlignment="1">
      <alignment horizontal="center"/>
    </xf>
    <xf numFmtId="1" fontId="7" fillId="0" borderId="45" xfId="0" applyFont="1" applyBorder="1" applyAlignment="1">
      <alignment horizontal="center"/>
    </xf>
    <xf numFmtId="1" fontId="5" fillId="0" borderId="51" xfId="0" applyFont="1" applyBorder="1"/>
    <xf numFmtId="9" fontId="7" fillId="0" borderId="79" xfId="0" applyNumberFormat="1" applyFont="1" applyBorder="1" applyAlignment="1">
      <alignment horizontal="center"/>
    </xf>
    <xf numFmtId="1" fontId="7" fillId="0" borderId="50" xfId="0" applyFont="1" applyBorder="1" applyAlignment="1">
      <alignment horizontal="center" wrapText="1"/>
    </xf>
    <xf numFmtId="49" fontId="5" fillId="0" borderId="0" xfId="0" applyNumberFormat="1" applyFont="1" applyAlignment="1">
      <alignment vertical="top"/>
    </xf>
    <xf numFmtId="1" fontId="5" fillId="0" borderId="0" xfId="0" applyFont="1" applyAlignment="1">
      <alignment vertical="top"/>
    </xf>
    <xf numFmtId="2" fontId="5" fillId="11" borderId="80" xfId="0" applyNumberFormat="1" applyFont="1" applyFill="1" applyBorder="1"/>
    <xf numFmtId="2" fontId="5" fillId="2" borderId="80" xfId="0" applyNumberFormat="1" applyFont="1" applyFill="1" applyBorder="1"/>
    <xf numFmtId="2" fontId="5" fillId="2" borderId="72" xfId="0" applyNumberFormat="1" applyFont="1" applyFill="1" applyBorder="1"/>
    <xf numFmtId="2" fontId="7" fillId="0" borderId="18" xfId="0" applyNumberFormat="1" applyFont="1" applyBorder="1" applyAlignment="1">
      <alignment horizontal="center"/>
    </xf>
    <xf numFmtId="9" fontId="7" fillId="0" borderId="28" xfId="0" applyNumberFormat="1" applyFont="1" applyBorder="1" applyAlignment="1">
      <alignment horizontal="center"/>
    </xf>
    <xf numFmtId="1" fontId="7" fillId="0" borderId="48" xfId="0" applyFont="1" applyBorder="1" applyAlignment="1">
      <alignment horizontal="center"/>
    </xf>
    <xf numFmtId="1" fontId="5" fillId="0" borderId="0" xfId="0" applyFont="1"/>
    <xf numFmtId="9" fontId="7" fillId="0" borderId="0" xfId="0" applyNumberFormat="1" applyFont="1" applyAlignment="1">
      <alignment horizontal="center"/>
    </xf>
    <xf numFmtId="1" fontId="16" fillId="6" borderId="81" xfId="0" applyFont="1" applyFill="1" applyBorder="1" applyAlignment="1">
      <alignment horizontal="center" vertical="center"/>
    </xf>
    <xf numFmtId="2" fontId="7" fillId="6" borderId="30" xfId="0" applyNumberFormat="1" applyFont="1" applyFill="1" applyBorder="1" applyAlignment="1">
      <alignment horizontal="center" vertical="center"/>
    </xf>
    <xf numFmtId="2" fontId="7" fillId="6" borderId="31" xfId="0" applyNumberFormat="1" applyFont="1" applyFill="1" applyBorder="1" applyAlignment="1">
      <alignment horizontal="center" vertical="center"/>
    </xf>
    <xf numFmtId="1" fontId="7" fillId="6" borderId="32" xfId="0" applyFont="1" applyFill="1" applyBorder="1" applyAlignment="1">
      <alignment horizontal="center" vertical="center"/>
    </xf>
    <xf numFmtId="9" fontId="7" fillId="0" borderId="0" xfId="0" applyNumberFormat="1" applyFont="1"/>
    <xf numFmtId="0" fontId="7" fillId="0" borderId="0" xfId="0" applyNumberFormat="1" applyFont="1" applyAlignment="1">
      <alignment vertical="top"/>
    </xf>
    <xf numFmtId="1" fontId="16" fillId="0" borderId="0" xfId="0" applyFont="1"/>
    <xf numFmtId="0" fontId="13" fillId="0" borderId="0" xfId="0" applyNumberFormat="1" applyFont="1"/>
    <xf numFmtId="0" fontId="14" fillId="0" borderId="0" xfId="0" applyNumberFormat="1" applyFont="1"/>
    <xf numFmtId="0" fontId="9" fillId="12" borderId="34" xfId="0" applyNumberFormat="1" applyFont="1" applyFill="1" applyBorder="1" applyAlignment="1">
      <alignment horizontal="center" vertical="center"/>
    </xf>
    <xf numFmtId="1" fontId="9" fillId="12" borderId="35" xfId="0" applyFont="1" applyFill="1" applyBorder="1" applyAlignment="1">
      <alignment horizontal="center" vertical="center"/>
    </xf>
    <xf numFmtId="0" fontId="9" fillId="12" borderId="35" xfId="0" applyNumberFormat="1" applyFont="1" applyFill="1" applyBorder="1" applyAlignment="1">
      <alignment horizontal="center" vertical="center"/>
    </xf>
    <xf numFmtId="1" fontId="9" fillId="12" borderId="36" xfId="0" applyFont="1" applyFill="1" applyBorder="1" applyAlignment="1">
      <alignment horizontal="center" vertical="center"/>
    </xf>
    <xf numFmtId="0" fontId="9" fillId="12" borderId="1" xfId="0" applyNumberFormat="1" applyFont="1" applyFill="1" applyBorder="1" applyAlignment="1">
      <alignment horizontal="center" vertical="center" wrapText="1"/>
    </xf>
    <xf numFmtId="1" fontId="9" fillId="12" borderId="77" xfId="0" applyFont="1" applyFill="1" applyBorder="1" applyAlignment="1">
      <alignment horizontal="center" vertical="center" wrapText="1"/>
    </xf>
    <xf numFmtId="164" fontId="9" fillId="12" borderId="82" xfId="0" applyNumberFormat="1" applyFont="1" applyFill="1" applyBorder="1" applyAlignment="1">
      <alignment horizontal="center" vertical="center"/>
    </xf>
    <xf numFmtId="0" fontId="9" fillId="12" borderId="82" xfId="0" applyNumberFormat="1" applyFont="1" applyFill="1" applyBorder="1" applyAlignment="1">
      <alignment horizontal="center" vertical="center"/>
    </xf>
    <xf numFmtId="1" fontId="9" fillId="12" borderId="83" xfId="0" applyFont="1" applyFill="1" applyBorder="1" applyAlignment="1">
      <alignment horizontal="center" vertical="center"/>
    </xf>
    <xf numFmtId="0" fontId="9" fillId="0" borderId="60" xfId="0" applyNumberFormat="1" applyFont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9" fontId="9" fillId="0" borderId="87" xfId="0" applyNumberFormat="1" applyFont="1" applyBorder="1" applyAlignment="1">
      <alignment horizontal="center" vertical="center"/>
    </xf>
    <xf numFmtId="0" fontId="21" fillId="0" borderId="0" xfId="0" applyNumberFormat="1" applyFont="1"/>
    <xf numFmtId="0" fontId="22" fillId="0" borderId="0" xfId="0" applyNumberFormat="1" applyFont="1"/>
    <xf numFmtId="0" fontId="11" fillId="13" borderId="90" xfId="0" applyNumberFormat="1" applyFont="1" applyFill="1" applyBorder="1" applyAlignment="1">
      <alignment horizontal="center"/>
    </xf>
    <xf numFmtId="0" fontId="11" fillId="13" borderId="91" xfId="0" applyNumberFormat="1" applyFont="1" applyFill="1" applyBorder="1" applyAlignment="1">
      <alignment horizontal="center"/>
    </xf>
    <xf numFmtId="0" fontId="11" fillId="13" borderId="7" xfId="0" applyNumberFormat="1" applyFont="1" applyFill="1" applyBorder="1" applyAlignment="1">
      <alignment horizontal="center"/>
    </xf>
    <xf numFmtId="0" fontId="23" fillId="0" borderId="0" xfId="0" applyNumberFormat="1" applyFont="1" applyAlignment="1">
      <alignment horizontal="right"/>
    </xf>
    <xf numFmtId="0" fontId="9" fillId="0" borderId="0" xfId="0" applyNumberFormat="1" applyFont="1" applyAlignment="1">
      <alignment horizontal="right"/>
    </xf>
    <xf numFmtId="0" fontId="24" fillId="0" borderId="20" xfId="0" applyNumberFormat="1" applyFont="1" applyBorder="1"/>
    <xf numFmtId="1" fontId="9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25" fillId="0" borderId="0" xfId="0" applyNumberFormat="1" applyFont="1"/>
    <xf numFmtId="1" fontId="6" fillId="0" borderId="5" xfId="0" applyFont="1" applyBorder="1" applyAlignment="1">
      <alignment horizontal="center" vertical="center"/>
    </xf>
    <xf numFmtId="0" fontId="7" fillId="0" borderId="90" xfId="0" applyNumberFormat="1" applyFont="1" applyBorder="1" applyAlignment="1">
      <alignment horizontal="center" vertical="top"/>
    </xf>
    <xf numFmtId="2" fontId="7" fillId="11" borderId="75" xfId="0" applyNumberFormat="1" applyFont="1" applyFill="1" applyBorder="1" applyAlignment="1">
      <alignment horizontal="center" vertical="center"/>
    </xf>
    <xf numFmtId="1" fontId="7" fillId="6" borderId="66" xfId="0" applyFont="1" applyFill="1" applyBorder="1" applyAlignment="1">
      <alignment horizontal="center" vertical="center"/>
    </xf>
    <xf numFmtId="1" fontId="7" fillId="6" borderId="67" xfId="0" applyFont="1" applyFill="1" applyBorder="1" applyAlignment="1">
      <alignment horizontal="center" vertical="center"/>
    </xf>
    <xf numFmtId="0" fontId="1" fillId="11" borderId="92" xfId="0" applyNumberFormat="1" applyFont="1" applyFill="1" applyBorder="1" applyAlignment="1">
      <alignment horizontal="center"/>
    </xf>
    <xf numFmtId="2" fontId="7" fillId="11" borderId="92" xfId="0" applyNumberFormat="1" applyFont="1" applyFill="1" applyBorder="1" applyAlignment="1">
      <alignment horizontal="center" vertical="center"/>
    </xf>
    <xf numFmtId="0" fontId="8" fillId="11" borderId="92" xfId="0" applyNumberFormat="1" applyFont="1" applyFill="1" applyBorder="1" applyAlignment="1">
      <alignment horizontal="center"/>
    </xf>
    <xf numFmtId="2" fontId="7" fillId="2" borderId="92" xfId="0" applyNumberFormat="1" applyFont="1" applyFill="1" applyBorder="1" applyAlignment="1">
      <alignment horizontal="center" vertical="center"/>
    </xf>
    <xf numFmtId="1" fontId="7" fillId="6" borderId="69" xfId="0" applyFont="1" applyFill="1" applyBorder="1" applyAlignment="1">
      <alignment horizontal="center" vertical="center"/>
    </xf>
    <xf numFmtId="0" fontId="3" fillId="0" borderId="70" xfId="0" applyNumberFormat="1" applyFont="1" applyBorder="1"/>
    <xf numFmtId="0" fontId="3" fillId="0" borderId="71" xfId="0" applyNumberFormat="1" applyFont="1" applyBorder="1"/>
    <xf numFmtId="1" fontId="7" fillId="0" borderId="0" xfId="0" applyFont="1" applyAlignment="1">
      <alignment horizontal="center"/>
    </xf>
    <xf numFmtId="1" fontId="0" fillId="0" borderId="0" xfId="0"/>
    <xf numFmtId="1" fontId="16" fillId="0" borderId="27" xfId="0" applyFont="1" applyBorder="1" applyAlignment="1">
      <alignment horizontal="center"/>
    </xf>
    <xf numFmtId="0" fontId="3" fillId="0" borderId="28" xfId="0" applyNumberFormat="1" applyFont="1" applyBorder="1"/>
    <xf numFmtId="0" fontId="3" fillId="0" borderId="29" xfId="0" applyNumberFormat="1" applyFont="1" applyBorder="1"/>
    <xf numFmtId="1" fontId="16" fillId="0" borderId="27" xfId="0" applyFont="1" applyBorder="1" applyAlignment="1">
      <alignment horizontal="center" vertical="center" wrapText="1"/>
    </xf>
    <xf numFmtId="0" fontId="3" fillId="0" borderId="50" xfId="0" applyNumberFormat="1" applyFont="1" applyBorder="1"/>
    <xf numFmtId="0" fontId="3" fillId="0" borderId="51" xfId="0" applyNumberFormat="1" applyFont="1" applyBorder="1"/>
    <xf numFmtId="0" fontId="3" fillId="0" borderId="53" xfId="0" applyNumberFormat="1" applyFont="1" applyBorder="1"/>
    <xf numFmtId="0" fontId="3" fillId="0" borderId="23" xfId="0" applyNumberFormat="1" applyFont="1" applyBorder="1"/>
    <xf numFmtId="0" fontId="3" fillId="0" borderId="52" xfId="0" applyNumberFormat="1" applyFont="1" applyBorder="1"/>
    <xf numFmtId="1" fontId="16" fillId="10" borderId="49" xfId="0" applyFont="1" applyFill="1" applyBorder="1" applyAlignment="1">
      <alignment horizontal="center"/>
    </xf>
    <xf numFmtId="0" fontId="3" fillId="0" borderId="48" xfId="0" applyNumberFormat="1" applyFont="1" applyBorder="1"/>
    <xf numFmtId="0" fontId="3" fillId="0" borderId="46" xfId="0" applyNumberFormat="1" applyFont="1" applyBorder="1"/>
    <xf numFmtId="1" fontId="16" fillId="7" borderId="49" xfId="0" applyFont="1" applyFill="1" applyBorder="1" applyAlignment="1">
      <alignment horizontal="center"/>
    </xf>
    <xf numFmtId="1" fontId="16" fillId="0" borderId="23" xfId="0" applyFont="1" applyBorder="1" applyAlignment="1">
      <alignment horizontal="center"/>
    </xf>
    <xf numFmtId="1" fontId="16" fillId="0" borderId="53" xfId="0" applyFont="1" applyBorder="1" applyAlignment="1">
      <alignment horizontal="center"/>
    </xf>
    <xf numFmtId="1" fontId="1" fillId="0" borderId="0" xfId="0" applyFont="1" applyAlignment="1">
      <alignment horizontal="left"/>
    </xf>
    <xf numFmtId="1" fontId="17" fillId="0" borderId="27" xfId="0" applyFont="1" applyBorder="1" applyAlignment="1">
      <alignment horizontal="center"/>
    </xf>
    <xf numFmtId="1" fontId="16" fillId="0" borderId="49" xfId="0" applyFont="1" applyBorder="1" applyAlignment="1">
      <alignment horizontal="center"/>
    </xf>
    <xf numFmtId="1" fontId="7" fillId="6" borderId="65" xfId="0" applyFont="1" applyFill="1" applyBorder="1" applyAlignment="1">
      <alignment horizontal="center" vertical="center"/>
    </xf>
    <xf numFmtId="1" fontId="16" fillId="6" borderId="49" xfId="0" applyFont="1" applyFill="1" applyBorder="1" applyAlignment="1">
      <alignment horizontal="center" vertical="center"/>
    </xf>
    <xf numFmtId="1" fontId="1" fillId="2" borderId="9" xfId="0" applyFont="1" applyFill="1" applyBorder="1" applyAlignment="1">
      <alignment horizontal="left"/>
    </xf>
    <xf numFmtId="0" fontId="3" fillId="0" borderId="10" xfId="0" applyNumberFormat="1" applyFont="1" applyBorder="1"/>
    <xf numFmtId="1" fontId="1" fillId="2" borderId="2" xfId="0" applyFont="1" applyFill="1" applyBorder="1" applyAlignment="1">
      <alignment horizontal="center" vertical="center"/>
    </xf>
    <xf numFmtId="0" fontId="3" fillId="0" borderId="3" xfId="0" applyNumberFormat="1" applyFont="1" applyBorder="1"/>
    <xf numFmtId="0" fontId="3" fillId="0" borderId="4" xfId="0" applyNumberFormat="1" applyFont="1" applyBorder="1"/>
    <xf numFmtId="1" fontId="2" fillId="3" borderId="2" xfId="0" applyFont="1" applyFill="1" applyBorder="1" applyAlignment="1">
      <alignment horizontal="center" vertical="center"/>
    </xf>
    <xf numFmtId="0" fontId="11" fillId="0" borderId="2" xfId="0" applyNumberFormat="1" applyFont="1" applyBorder="1" applyAlignment="1">
      <alignment horizontal="center" vertical="center"/>
    </xf>
    <xf numFmtId="0" fontId="11" fillId="2" borderId="2" xfId="0" applyNumberFormat="1" applyFont="1" applyFill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0" fontId="11" fillId="6" borderId="2" xfId="0" applyNumberFormat="1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center" vertical="center"/>
    </xf>
    <xf numFmtId="9" fontId="8" fillId="8" borderId="2" xfId="0" applyNumberFormat="1" applyFont="1" applyFill="1" applyBorder="1" applyAlignment="1">
      <alignment horizontal="center" vertical="center"/>
    </xf>
    <xf numFmtId="0" fontId="12" fillId="0" borderId="2" xfId="0" applyNumberFormat="1" applyFont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6" fillId="9" borderId="24" xfId="0" applyNumberFormat="1" applyFont="1" applyFill="1" applyBorder="1" applyAlignment="1">
      <alignment horizontal="center" vertical="center"/>
    </xf>
    <xf numFmtId="0" fontId="3" fillId="0" borderId="25" xfId="0" applyNumberFormat="1" applyFont="1" applyBorder="1"/>
    <xf numFmtId="0" fontId="3" fillId="0" borderId="26" xfId="0" applyNumberFormat="1" applyFont="1" applyBorder="1"/>
    <xf numFmtId="0" fontId="13" fillId="9" borderId="2" xfId="0" applyNumberFormat="1" applyFont="1" applyFill="1" applyBorder="1" applyAlignment="1">
      <alignment horizontal="center" vertical="center"/>
    </xf>
    <xf numFmtId="0" fontId="13" fillId="8" borderId="2" xfId="0" applyNumberFormat="1" applyFont="1" applyFill="1" applyBorder="1" applyAlignment="1">
      <alignment horizontal="center" vertical="center"/>
    </xf>
    <xf numFmtId="0" fontId="9" fillId="5" borderId="2" xfId="0" applyNumberFormat="1" applyFont="1" applyFill="1" applyBorder="1" applyAlignment="1">
      <alignment horizontal="center" vertical="center"/>
    </xf>
    <xf numFmtId="1" fontId="9" fillId="5" borderId="2" xfId="0" applyFont="1" applyFill="1" applyBorder="1" applyAlignment="1">
      <alignment horizontal="center" vertical="center"/>
    </xf>
    <xf numFmtId="0" fontId="9" fillId="7" borderId="2" xfId="0" applyNumberFormat="1" applyFont="1" applyFill="1" applyBorder="1" applyAlignment="1">
      <alignment horizontal="center" vertical="center"/>
    </xf>
    <xf numFmtId="1" fontId="9" fillId="7" borderId="2" xfId="0" applyFont="1" applyFill="1" applyBorder="1" applyAlignment="1">
      <alignment horizontal="center" vertical="center"/>
    </xf>
    <xf numFmtId="0" fontId="9" fillId="8" borderId="2" xfId="0" applyNumberFormat="1" applyFont="1" applyFill="1" applyBorder="1" applyAlignment="1">
      <alignment horizontal="center" vertical="center"/>
    </xf>
    <xf numFmtId="0" fontId="11" fillId="0" borderId="15" xfId="0" applyNumberFormat="1" applyFont="1" applyBorder="1" applyAlignment="1">
      <alignment horizontal="center" vertical="center" wrapText="1"/>
    </xf>
    <xf numFmtId="0" fontId="3" fillId="0" borderId="16" xfId="0" applyNumberFormat="1" applyFont="1" applyBorder="1"/>
    <xf numFmtId="0" fontId="3" fillId="0" borderId="6" xfId="0" applyNumberFormat="1" applyFont="1" applyBorder="1"/>
    <xf numFmtId="0" fontId="3" fillId="0" borderId="17" xfId="0" applyNumberFormat="1" applyFont="1" applyBorder="1"/>
    <xf numFmtId="0" fontId="3" fillId="0" borderId="18" xfId="0" applyNumberFormat="1" applyFont="1" applyBorder="1"/>
    <xf numFmtId="0" fontId="3" fillId="0" borderId="19" xfId="0" applyNumberFormat="1" applyFont="1" applyBorder="1"/>
    <xf numFmtId="0" fontId="3" fillId="0" borderId="20" xfId="0" applyNumberFormat="1" applyFont="1" applyBorder="1"/>
    <xf numFmtId="0" fontId="3" fillId="0" borderId="21" xfId="0" applyNumberFormat="1" applyFont="1" applyBorder="1"/>
    <xf numFmtId="0" fontId="6" fillId="9" borderId="2" xfId="0" applyNumberFormat="1" applyFont="1" applyFill="1" applyBorder="1" applyAlignment="1">
      <alignment horizontal="center" vertical="center"/>
    </xf>
    <xf numFmtId="0" fontId="10" fillId="5" borderId="2" xfId="0" applyNumberFormat="1" applyFont="1" applyFill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3" fillId="0" borderId="22" xfId="0" applyNumberFormat="1" applyFont="1" applyBorder="1"/>
    <xf numFmtId="0" fontId="3" fillId="0" borderId="8" xfId="0" applyNumberFormat="1" applyFont="1" applyBorder="1"/>
    <xf numFmtId="10" fontId="11" fillId="0" borderId="5" xfId="0" applyNumberFormat="1" applyFont="1" applyBorder="1" applyAlignment="1">
      <alignment horizontal="center" vertical="center"/>
    </xf>
    <xf numFmtId="1" fontId="8" fillId="8" borderId="2" xfId="0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14" fillId="0" borderId="2" xfId="0" applyNumberFormat="1" applyFont="1" applyBorder="1" applyAlignment="1">
      <alignment horizontal="center" vertical="center"/>
    </xf>
    <xf numFmtId="0" fontId="11" fillId="2" borderId="2" xfId="0" applyNumberFormat="1" applyFont="1" applyFill="1" applyBorder="1" applyAlignment="1">
      <alignment horizontal="center" vertical="center" wrapText="1"/>
    </xf>
    <xf numFmtId="0" fontId="11" fillId="13" borderId="2" xfId="0" applyNumberFormat="1" applyFont="1" applyFill="1" applyBorder="1" applyAlignment="1">
      <alignment horizontal="center"/>
    </xf>
    <xf numFmtId="0" fontId="13" fillId="13" borderId="2" xfId="0" applyNumberFormat="1" applyFont="1" applyFill="1" applyBorder="1" applyAlignment="1">
      <alignment horizontal="center" vertical="center"/>
    </xf>
    <xf numFmtId="0" fontId="19" fillId="0" borderId="20" xfId="0" applyNumberFormat="1" applyFont="1" applyBorder="1" applyAlignment="1">
      <alignment horizontal="left" wrapText="1"/>
    </xf>
    <xf numFmtId="0" fontId="20" fillId="13" borderId="2" xfId="0" applyNumberFormat="1" applyFont="1" applyFill="1" applyBorder="1" applyAlignment="1">
      <alignment horizontal="center" vertical="center"/>
    </xf>
    <xf numFmtId="0" fontId="11" fillId="13" borderId="2" xfId="0" applyNumberFormat="1" applyFont="1" applyFill="1" applyBorder="1" applyAlignment="1">
      <alignment horizontal="left" wrapText="1"/>
    </xf>
    <xf numFmtId="0" fontId="11" fillId="13" borderId="2" xfId="0" applyNumberFormat="1" applyFont="1" applyFill="1" applyBorder="1"/>
    <xf numFmtId="0" fontId="9" fillId="0" borderId="84" xfId="0" applyNumberFormat="1" applyFont="1" applyBorder="1" applyAlignment="1">
      <alignment horizontal="center" vertical="center"/>
    </xf>
    <xf numFmtId="0" fontId="3" fillId="0" borderId="85" xfId="0" applyNumberFormat="1" applyFont="1" applyBorder="1"/>
    <xf numFmtId="0" fontId="18" fillId="0" borderId="49" xfId="0" applyNumberFormat="1" applyFont="1" applyBorder="1" applyAlignment="1">
      <alignment horizontal="center" vertical="center"/>
    </xf>
    <xf numFmtId="0" fontId="9" fillId="0" borderId="49" xfId="0" applyNumberFormat="1" applyFont="1" applyBorder="1" applyAlignment="1">
      <alignment horizontal="center" vertical="center"/>
    </xf>
    <xf numFmtId="0" fontId="3" fillId="0" borderId="45" xfId="0" applyNumberFormat="1" applyFont="1" applyBorder="1"/>
    <xf numFmtId="9" fontId="13" fillId="0" borderId="86" xfId="0" applyNumberFormat="1" applyFont="1" applyBorder="1" applyAlignment="1">
      <alignment horizontal="center" vertical="center" wrapText="1"/>
    </xf>
    <xf numFmtId="0" fontId="3" fillId="0" borderId="88" xfId="0" applyNumberFormat="1" applyFont="1" applyBorder="1"/>
    <xf numFmtId="0" fontId="3" fillId="0" borderId="89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xMode val="edge"/>
          <c:yMode val="edge"/>
          <c:x val="5.4878157707217247E-2"/>
          <c:y val="4.2622950819672129E-2"/>
          <c:w val="0.91057091306790094"/>
          <c:h val="0.8426229508196726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GradeSheet!$G$55:$G$66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GradeSheet!$H$55:$H$66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1C3-4478-8883-503ADF99D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4924893"/>
        <c:axId val="1134778109"/>
      </c:barChart>
      <c:catAx>
        <c:axId val="10949248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34778109"/>
        <c:crosses val="autoZero"/>
        <c:auto val="1"/>
        <c:lblAlgn val="ctr"/>
        <c:lblOffset val="100"/>
        <c:noMultiLvlLbl val="1"/>
      </c:catAx>
      <c:valAx>
        <c:axId val="1134778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94924893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Summary of COs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CourseSummary!$H$59:$M$59</c:f>
              <c:numCache>
                <c:formatCode>0</c:formatCode>
                <c:ptCount val="6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2B2-4138-B2D2-9362BE92CDA6}"/>
            </c:ext>
          </c:extLst>
        </c:ser>
        <c:ser>
          <c:idx val="1"/>
          <c:order val="1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CourseSummary!$H$60:$M$60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2B2-4138-B2D2-9362BE92C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4866161"/>
        <c:axId val="1995556518"/>
      </c:barChart>
      <c:catAx>
        <c:axId val="1874866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5556518"/>
        <c:crosses val="autoZero"/>
        <c:auto val="1"/>
        <c:lblAlgn val="ctr"/>
        <c:lblOffset val="100"/>
        <c:noMultiLvlLbl val="1"/>
      </c:catAx>
      <c:valAx>
        <c:axId val="199555651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Average Score </a:t>
                </a:r>
              </a:p>
            </c:rich>
          </c:tx>
          <c:layout>
            <c:manualLayout>
              <c:xMode val="edge"/>
              <c:yMode val="edge"/>
              <c:x val="0.11366761542930465"/>
              <c:y val="0.3202105655847054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748661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Grade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Number of Students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CourseSummary!$B$24:$M$24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092-4719-BFFA-1C6CC10BCF07}"/>
            </c:ext>
          </c:extLst>
        </c:ser>
        <c:ser>
          <c:idx val="1"/>
          <c:order val="1"/>
          <c:tx>
            <c:v>Percentage of Students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CourseSummary!$B$25:$M$25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092-4719-BFFA-1C6CC10BC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88637761"/>
        <c:axId val="186647119"/>
      </c:barChart>
      <c:catAx>
        <c:axId val="1488637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6647119"/>
        <c:crosses val="autoZero"/>
        <c:auto val="1"/>
        <c:lblAlgn val="ctr"/>
        <c:lblOffset val="100"/>
        <c:noMultiLvlLbl val="1"/>
      </c:catAx>
      <c:valAx>
        <c:axId val="1866471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Percentage of Students</a:t>
                </a:r>
              </a:p>
            </c:rich>
          </c:tx>
          <c:layout>
            <c:manualLayout>
              <c:xMode val="edge"/>
              <c:yMode val="edge"/>
              <c:x val="0.1355415573053369"/>
              <c:y val="0.24805191017790051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4886377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361950</xdr:colOff>
      <xdr:row>53</xdr:row>
      <xdr:rowOff>19050</xdr:rowOff>
    </xdr:from>
    <xdr:ext cx="3952875" cy="2790825"/>
    <xdr:graphicFrame macro="">
      <xdr:nvGraphicFramePr>
        <xdr:cNvPr id="1811943136" name="Chart 1" title="Chart">
          <a:extLst>
            <a:ext uri="{FF2B5EF4-FFF2-40B4-BE49-F238E27FC236}">
              <a16:creationId xmlns:a16="http://schemas.microsoft.com/office/drawing/2014/main" id="{00000000-0008-0000-0000-0000E00E0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152400</xdr:colOff>
      <xdr:row>62</xdr:row>
      <xdr:rowOff>0</xdr:rowOff>
    </xdr:from>
    <xdr:ext cx="5153025" cy="2762250"/>
    <xdr:graphicFrame macro="">
      <xdr:nvGraphicFramePr>
        <xdr:cNvPr id="1716279835" name="Chart 2">
          <a:extLst>
            <a:ext uri="{FF2B5EF4-FFF2-40B4-BE49-F238E27FC236}">
              <a16:creationId xmlns:a16="http://schemas.microsoft.com/office/drawing/2014/main" id="{00000000-0008-0000-0200-00001B5A4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47625</xdr:colOff>
      <xdr:row>6</xdr:row>
      <xdr:rowOff>19050</xdr:rowOff>
    </xdr:from>
    <xdr:ext cx="6534150" cy="2762250"/>
    <xdr:graphicFrame macro="">
      <xdr:nvGraphicFramePr>
        <xdr:cNvPr id="779152917" name="Chart 3">
          <a:extLst>
            <a:ext uri="{FF2B5EF4-FFF2-40B4-BE49-F238E27FC236}">
              <a16:creationId xmlns:a16="http://schemas.microsoft.com/office/drawing/2014/main" id="{00000000-0008-0000-0200-000015EE7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4</xdr:col>
      <xdr:colOff>219075</xdr:colOff>
      <xdr:row>68</xdr:row>
      <xdr:rowOff>38100</xdr:rowOff>
    </xdr:from>
    <xdr:ext cx="3438525" cy="285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524000" y="14249400"/>
          <a:ext cx="3438525" cy="28575"/>
          <a:chOff x="3626738" y="3765713"/>
          <a:chExt cx="3438525" cy="28575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GrpSpPr/>
        </xdr:nvGrpSpPr>
        <xdr:grpSpPr>
          <a:xfrm>
            <a:off x="3626738" y="3765713"/>
            <a:ext cx="3438525" cy="28575"/>
            <a:chOff x="3626738" y="3775238"/>
            <a:chExt cx="3438525" cy="9525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/>
          </xdr:nvSpPr>
          <xdr:spPr>
            <a:xfrm>
              <a:off x="3626738" y="3775238"/>
              <a:ext cx="3438525" cy="95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CxnSpPr/>
          </xdr:nvCxnSpPr>
          <xdr:spPr>
            <a:xfrm rot="10800000">
              <a:off x="3626738" y="3775238"/>
              <a:ext cx="3438525" cy="9525"/>
            </a:xfrm>
            <a:prstGeom prst="straightConnector1">
              <a:avLst/>
            </a:prstGeom>
            <a:noFill/>
            <a:ln w="9525" cap="flat" cmpd="sng">
              <a:solidFill>
                <a:srgbClr val="FF0000"/>
              </a:solidFill>
              <a:prstDash val="solid"/>
              <a:miter lim="800000"/>
              <a:headEnd type="none" w="sm" len="sm"/>
              <a:tailEnd type="none" w="sm" len="sm"/>
            </a:ln>
          </xdr:spPr>
        </xdr:cxn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2"/>
  <sheetViews>
    <sheetView tabSelected="1" topLeftCell="G3" workbookViewId="0">
      <selection activeCell="S12" sqref="S12"/>
    </sheetView>
  </sheetViews>
  <sheetFormatPr defaultColWidth="14.42578125" defaultRowHeight="15" customHeight="1"/>
  <cols>
    <col min="1" max="1" width="4.42578125" customWidth="1"/>
    <col min="3" max="3" width="24.85546875" customWidth="1"/>
    <col min="4" max="4" width="14.7109375" customWidth="1"/>
    <col min="5" max="5" width="16.85546875" customWidth="1"/>
    <col min="6" max="8" width="15.140625" customWidth="1"/>
    <col min="9" max="9" width="12.42578125" customWidth="1"/>
    <col min="10" max="12" width="15.140625" customWidth="1"/>
    <col min="13" max="13" width="19.5703125" customWidth="1"/>
    <col min="14" max="14" width="8.42578125" customWidth="1"/>
    <col min="15" max="15" width="7.140625" customWidth="1"/>
    <col min="16" max="16" width="11.7109375" customWidth="1"/>
    <col min="17" max="17" width="13.28515625" bestFit="1" customWidth="1"/>
    <col min="18" max="18" width="6.85546875" customWidth="1"/>
    <col min="19" max="19" width="12.140625" bestFit="1" customWidth="1"/>
    <col min="20" max="20" width="7" customWidth="1"/>
    <col min="21" max="21" width="8.140625" customWidth="1"/>
    <col min="22" max="22" width="8.42578125" customWidth="1"/>
    <col min="23" max="23" width="32.7109375" customWidth="1"/>
    <col min="24" max="24" width="15.85546875" customWidth="1"/>
    <col min="25" max="27" width="9.140625" customWidth="1"/>
  </cols>
  <sheetData>
    <row r="1" spans="1:27" ht="15.75" customHeight="1">
      <c r="A1" s="1"/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2"/>
      <c r="C2" s="3"/>
      <c r="D2" s="1"/>
      <c r="E2" s="1"/>
      <c r="F2" s="1"/>
      <c r="G2" s="4" t="s">
        <v>0</v>
      </c>
      <c r="H2" s="240" t="s">
        <v>1</v>
      </c>
      <c r="I2" s="241"/>
      <c r="J2" s="242"/>
      <c r="K2" s="4" t="s">
        <v>2</v>
      </c>
      <c r="L2" s="5">
        <v>1</v>
      </c>
      <c r="M2" s="1"/>
      <c r="N2" s="1"/>
      <c r="O2" s="1"/>
      <c r="P2" s="1"/>
      <c r="Q2" s="1"/>
      <c r="R2" s="1"/>
      <c r="S2" s="1"/>
      <c r="T2" s="1"/>
      <c r="U2" s="1"/>
      <c r="V2" s="1"/>
      <c r="W2" s="8" t="s">
        <v>8</v>
      </c>
      <c r="X2" s="1"/>
      <c r="Y2" s="1"/>
      <c r="Z2" s="1"/>
      <c r="AA2" s="1"/>
    </row>
    <row r="3" spans="1:27" ht="15.75" customHeight="1">
      <c r="A3" s="1"/>
      <c r="B3" s="2"/>
      <c r="C3" s="3"/>
      <c r="D3" s="1"/>
      <c r="E3" s="1"/>
      <c r="F3" s="1"/>
      <c r="G3" s="4" t="s">
        <v>3</v>
      </c>
      <c r="H3" s="240" t="s">
        <v>4</v>
      </c>
      <c r="I3" s="241"/>
      <c r="J3" s="242"/>
      <c r="K3" s="4" t="s">
        <v>5</v>
      </c>
      <c r="L3" s="5" t="s">
        <v>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2"/>
      <c r="C4" s="3"/>
      <c r="D4" s="1"/>
      <c r="E4" s="1"/>
      <c r="F4" s="1"/>
      <c r="G4" s="4" t="s">
        <v>7</v>
      </c>
      <c r="H4" s="240">
        <v>3</v>
      </c>
      <c r="I4" s="241"/>
      <c r="J4" s="242"/>
      <c r="K4" s="6"/>
      <c r="L4" s="7"/>
      <c r="M4" s="1"/>
      <c r="N4" s="1"/>
      <c r="O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2"/>
      <c r="C5" s="3"/>
      <c r="D5" s="1"/>
      <c r="E5" s="1"/>
      <c r="F5" s="1"/>
      <c r="G5" s="4" t="s">
        <v>9</v>
      </c>
      <c r="H5" s="240" t="s">
        <v>10</v>
      </c>
      <c r="I5" s="241"/>
      <c r="J5" s="242"/>
      <c r="K5" s="6"/>
      <c r="L5" s="7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/>
      <c r="C6" s="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243" t="str">
        <f>CONCATENATE("Grade Sheet of ",GradeSheet!$H$2, " [",GradeSheet!$H$3, "] ", "(Section ",GradeSheet!$L$2, ") ", "[Semester - ",GradeSheet!$L$3,"]" )</f>
        <v>Grade Sheet of CSE [Operating Systems] (Section 1) [Semester - Spring 2025]</v>
      </c>
      <c r="B7" s="241"/>
      <c r="C7" s="241"/>
      <c r="D7" s="241"/>
      <c r="E7" s="241"/>
      <c r="F7" s="241"/>
      <c r="G7" s="241"/>
      <c r="H7" s="241"/>
      <c r="I7" s="241"/>
      <c r="J7" s="241"/>
      <c r="K7" s="241"/>
      <c r="L7" s="241"/>
      <c r="M7" s="242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4" customHeight="1">
      <c r="B8" s="9"/>
      <c r="C8" s="10"/>
      <c r="N8" s="1"/>
      <c r="O8" s="1"/>
      <c r="P8" s="11" t="s">
        <v>25</v>
      </c>
      <c r="Q8" s="12" t="s">
        <v>11</v>
      </c>
      <c r="R8" s="12" t="s">
        <v>32</v>
      </c>
      <c r="S8" s="12" t="s">
        <v>164</v>
      </c>
      <c r="T8" s="13" t="s">
        <v>163</v>
      </c>
      <c r="U8" s="14" t="s">
        <v>41</v>
      </c>
      <c r="V8" s="14" t="s">
        <v>13</v>
      </c>
      <c r="W8" s="1"/>
      <c r="X8" s="1"/>
      <c r="Y8" s="1"/>
      <c r="Z8" s="1"/>
      <c r="AA8" s="1"/>
    </row>
    <row r="9" spans="1:27" ht="31.5" customHeight="1">
      <c r="A9" s="15" t="s">
        <v>14</v>
      </c>
      <c r="B9" s="16" t="s">
        <v>15</v>
      </c>
      <c r="C9" s="204" t="s">
        <v>16</v>
      </c>
      <c r="D9" s="13" t="str">
        <f>CONCATENATE("Attendance (",GradeSheet!$C$55, ")")</f>
        <v>Attendance (5)</v>
      </c>
      <c r="E9" s="13" t="str">
        <f>CONCATENATE("Performance (",GradeSheet!$C$56, ")")</f>
        <v>Performance (5)</v>
      </c>
      <c r="F9" s="17" t="str">
        <f>CONCATENATE("Quiz (",GradeSheet!$C$57, ")")</f>
        <v>Quiz (15)</v>
      </c>
      <c r="G9" s="13" t="str">
        <f>CONCATENATE("Assignment (",GradeSheet!$C$58, ")")</f>
        <v>Assignment (10)</v>
      </c>
      <c r="H9" s="17" t="str">
        <f>CONCATENATE("Midterm (",GradeSheet!$C$59, ")")</f>
        <v>Midterm (25)</v>
      </c>
      <c r="I9" s="16" t="str">
        <f>CONCATENATE("Project (",GradeSheet!$C$60, ")")</f>
        <v>Project (0)</v>
      </c>
      <c r="J9" s="16" t="str">
        <f>CONCATENATE("Final (",GradeSheet!$C$61, ")")</f>
        <v>Final (40)</v>
      </c>
      <c r="K9" s="13" t="s">
        <v>17</v>
      </c>
      <c r="L9" s="13" t="s">
        <v>18</v>
      </c>
      <c r="M9" s="13" t="s">
        <v>19</v>
      </c>
      <c r="N9" s="18"/>
      <c r="O9" s="18"/>
      <c r="P9" s="19">
        <f>C55</f>
        <v>5</v>
      </c>
      <c r="Q9" s="19">
        <f>C56</f>
        <v>5</v>
      </c>
      <c r="R9" s="19">
        <f>C57</f>
        <v>15</v>
      </c>
      <c r="S9" s="19">
        <f>C58</f>
        <v>10</v>
      </c>
      <c r="T9" s="19">
        <f>C59</f>
        <v>25</v>
      </c>
      <c r="U9" s="19">
        <f>C60</f>
        <v>0</v>
      </c>
      <c r="V9" s="19">
        <v>40</v>
      </c>
      <c r="W9" s="20" t="s">
        <v>16</v>
      </c>
      <c r="X9" s="16" t="s">
        <v>15</v>
      </c>
      <c r="Y9" s="18"/>
      <c r="Z9" s="18"/>
      <c r="AA9" s="18"/>
    </row>
    <row r="10" spans="1:27" ht="15.75" customHeight="1">
      <c r="A10" s="21">
        <v>1</v>
      </c>
      <c r="B10" s="22"/>
      <c r="C10" s="23"/>
      <c r="D10" s="24"/>
      <c r="E10" s="24"/>
      <c r="F10" s="25"/>
      <c r="G10" s="25"/>
      <c r="H10" s="25"/>
      <c r="I10" s="26"/>
      <c r="J10" s="26"/>
      <c r="K10" s="26"/>
      <c r="L10" s="27">
        <f t="shared" ref="L10:L51" si="0">K10/100</f>
        <v>0</v>
      </c>
      <c r="M10" s="8" t="str">
        <f>VLOOKUP(K10,GradingPolicy!$B$2:$C$11,2)</f>
        <v>F (Fail)</v>
      </c>
      <c r="N10" s="1"/>
      <c r="O10" s="1"/>
      <c r="P10" s="28"/>
      <c r="Q10" s="29"/>
      <c r="R10" s="28"/>
      <c r="S10" s="28"/>
      <c r="T10" s="28"/>
      <c r="U10" s="28"/>
      <c r="V10" s="28"/>
      <c r="W10" s="30"/>
      <c r="X10" s="22"/>
      <c r="Y10" s="1"/>
      <c r="Z10" s="1"/>
      <c r="AA10" s="1"/>
    </row>
    <row r="11" spans="1:27" ht="15.75" customHeight="1">
      <c r="A11" s="31">
        <v>2</v>
      </c>
      <c r="B11" s="22"/>
      <c r="C11" s="23"/>
      <c r="D11" s="24"/>
      <c r="E11" s="24"/>
      <c r="F11" s="25"/>
      <c r="G11" s="25"/>
      <c r="H11" s="25"/>
      <c r="I11" s="26"/>
      <c r="J11" s="26"/>
      <c r="K11" s="26"/>
      <c r="L11" s="27">
        <f t="shared" si="0"/>
        <v>0</v>
      </c>
      <c r="M11" s="8" t="str">
        <f>VLOOKUP(K11,GradingPolicy!$B$2:$C$11,2)</f>
        <v>F (Fail)</v>
      </c>
      <c r="N11" s="1"/>
      <c r="O11" s="1"/>
      <c r="P11" s="28"/>
      <c r="Q11" s="29"/>
      <c r="R11" s="28"/>
      <c r="S11" s="28"/>
      <c r="T11" s="28"/>
      <c r="U11" s="28"/>
      <c r="V11" s="28"/>
      <c r="W11" s="30"/>
      <c r="X11" s="22"/>
      <c r="Y11" s="1"/>
      <c r="Z11" s="1"/>
      <c r="AA11" s="1"/>
    </row>
    <row r="12" spans="1:27" ht="15.75" customHeight="1">
      <c r="A12" s="21">
        <v>3</v>
      </c>
      <c r="B12" s="22"/>
      <c r="C12" s="23"/>
      <c r="D12" s="24"/>
      <c r="E12" s="24"/>
      <c r="F12" s="25"/>
      <c r="G12" s="25"/>
      <c r="H12" s="25"/>
      <c r="I12" s="26"/>
      <c r="J12" s="26"/>
      <c r="K12" s="26"/>
      <c r="L12" s="27">
        <f t="shared" si="0"/>
        <v>0</v>
      </c>
      <c r="M12" s="8" t="str">
        <f>VLOOKUP(K12,GradingPolicy!$B$2:$C$11,2)</f>
        <v>F (Fail)</v>
      </c>
      <c r="N12" s="1"/>
      <c r="O12" s="1"/>
      <c r="P12" s="28"/>
      <c r="Q12" s="29"/>
      <c r="R12" s="28"/>
      <c r="S12" s="28"/>
      <c r="T12" s="28"/>
      <c r="U12" s="28"/>
      <c r="V12" s="28"/>
      <c r="W12" s="30"/>
      <c r="X12" s="22"/>
      <c r="Y12" s="1"/>
      <c r="Z12" s="1"/>
      <c r="AA12" s="1"/>
    </row>
    <row r="13" spans="1:27" ht="15.75" customHeight="1">
      <c r="A13" s="31">
        <v>4</v>
      </c>
      <c r="B13" s="22"/>
      <c r="C13" s="23"/>
      <c r="D13" s="24"/>
      <c r="E13" s="24"/>
      <c r="F13" s="25"/>
      <c r="G13" s="25"/>
      <c r="H13" s="25"/>
      <c r="I13" s="26"/>
      <c r="J13" s="26"/>
      <c r="K13" s="26"/>
      <c r="L13" s="27">
        <f t="shared" si="0"/>
        <v>0</v>
      </c>
      <c r="M13" s="8" t="str">
        <f>VLOOKUP(K13,GradingPolicy!$B$2:$C$11,2)</f>
        <v>F (Fail)</v>
      </c>
      <c r="N13" s="1"/>
      <c r="O13" s="1"/>
      <c r="P13" s="28"/>
      <c r="Q13" s="29"/>
      <c r="R13" s="28"/>
      <c r="S13" s="28"/>
      <c r="T13" s="28"/>
      <c r="U13" s="28"/>
      <c r="V13" s="28"/>
      <c r="W13" s="30"/>
      <c r="X13" s="22"/>
      <c r="Y13" s="1"/>
      <c r="Z13" s="1"/>
      <c r="AA13" s="1"/>
    </row>
    <row r="14" spans="1:27" ht="15.75" customHeight="1">
      <c r="A14" s="21">
        <v>5</v>
      </c>
      <c r="B14" s="22"/>
      <c r="C14" s="23"/>
      <c r="D14" s="24"/>
      <c r="E14" s="24"/>
      <c r="F14" s="25"/>
      <c r="G14" s="25"/>
      <c r="H14" s="25"/>
      <c r="I14" s="26"/>
      <c r="J14" s="26"/>
      <c r="K14" s="26"/>
      <c r="L14" s="27">
        <f t="shared" si="0"/>
        <v>0</v>
      </c>
      <c r="M14" s="8" t="str">
        <f>VLOOKUP(K14,GradingPolicy!$B$2:$C$11,2)</f>
        <v>F (Fail)</v>
      </c>
      <c r="N14" s="1"/>
      <c r="O14" s="1"/>
      <c r="P14" s="28"/>
      <c r="Q14" s="29"/>
      <c r="R14" s="28"/>
      <c r="S14" s="28"/>
      <c r="T14" s="28"/>
      <c r="U14" s="28"/>
      <c r="V14" s="28"/>
      <c r="W14" s="30"/>
      <c r="X14" s="22"/>
      <c r="Y14" s="1"/>
      <c r="Z14" s="1"/>
      <c r="AA14" s="1"/>
    </row>
    <row r="15" spans="1:27" ht="15.75" customHeight="1">
      <c r="A15" s="31">
        <v>6</v>
      </c>
      <c r="B15" s="22"/>
      <c r="C15" s="23"/>
      <c r="D15" s="24"/>
      <c r="E15" s="24"/>
      <c r="F15" s="25"/>
      <c r="G15" s="25"/>
      <c r="H15" s="25"/>
      <c r="I15" s="26"/>
      <c r="J15" s="26"/>
      <c r="K15" s="26"/>
      <c r="L15" s="27">
        <f t="shared" si="0"/>
        <v>0</v>
      </c>
      <c r="M15" s="8" t="str">
        <f>VLOOKUP(K15,GradingPolicy!$B$2:$C$11,2)</f>
        <v>F (Fail)</v>
      </c>
      <c r="N15" s="1"/>
      <c r="O15" s="1"/>
      <c r="P15" s="28"/>
      <c r="Q15" s="29"/>
      <c r="R15" s="28"/>
      <c r="S15" s="28"/>
      <c r="T15" s="28"/>
      <c r="U15" s="28"/>
      <c r="V15" s="28"/>
      <c r="W15" s="30"/>
      <c r="X15" s="22"/>
      <c r="Y15" s="1"/>
      <c r="Z15" s="1"/>
      <c r="AA15" s="1"/>
    </row>
    <row r="16" spans="1:27" ht="15.75" customHeight="1">
      <c r="A16" s="21">
        <v>7</v>
      </c>
      <c r="B16" s="22"/>
      <c r="C16" s="23"/>
      <c r="D16" s="24"/>
      <c r="E16" s="24"/>
      <c r="F16" s="25"/>
      <c r="G16" s="25"/>
      <c r="H16" s="25"/>
      <c r="I16" s="26"/>
      <c r="J16" s="26"/>
      <c r="K16" s="26"/>
      <c r="L16" s="27">
        <f t="shared" si="0"/>
        <v>0</v>
      </c>
      <c r="M16" s="8" t="str">
        <f>VLOOKUP(K16,GradingPolicy!$B$2:$C$11,2)</f>
        <v>F (Fail)</v>
      </c>
      <c r="N16" s="1"/>
      <c r="O16" s="1"/>
      <c r="P16" s="28"/>
      <c r="Q16" s="29"/>
      <c r="R16" s="28"/>
      <c r="S16" s="28"/>
      <c r="T16" s="28"/>
      <c r="U16" s="28"/>
      <c r="V16" s="28"/>
      <c r="W16" s="30"/>
      <c r="X16" s="22"/>
      <c r="Y16" s="1"/>
      <c r="Z16" s="1"/>
      <c r="AA16" s="1"/>
    </row>
    <row r="17" spans="1:27" ht="15.75" customHeight="1">
      <c r="A17" s="31">
        <v>8</v>
      </c>
      <c r="B17" s="22"/>
      <c r="C17" s="23"/>
      <c r="D17" s="24"/>
      <c r="E17" s="24"/>
      <c r="F17" s="25"/>
      <c r="G17" s="25"/>
      <c r="H17" s="25"/>
      <c r="I17" s="26"/>
      <c r="J17" s="26"/>
      <c r="K17" s="26"/>
      <c r="L17" s="27">
        <f t="shared" si="0"/>
        <v>0</v>
      </c>
      <c r="M17" s="8" t="str">
        <f>VLOOKUP(K17,GradingPolicy!$B$2:$C$11,2)</f>
        <v>F (Fail)</v>
      </c>
      <c r="N17" s="1"/>
      <c r="O17" s="1"/>
      <c r="P17" s="28"/>
      <c r="Q17" s="29"/>
      <c r="R17" s="28"/>
      <c r="S17" s="28"/>
      <c r="T17" s="28"/>
      <c r="U17" s="28"/>
      <c r="V17" s="28"/>
      <c r="W17" s="30"/>
      <c r="X17" s="22"/>
      <c r="Y17" s="1"/>
      <c r="Z17" s="1"/>
      <c r="AA17" s="1"/>
    </row>
    <row r="18" spans="1:27" ht="15.75" customHeight="1">
      <c r="A18" s="21">
        <v>9</v>
      </c>
      <c r="B18" s="22"/>
      <c r="C18" s="23"/>
      <c r="D18" s="24"/>
      <c r="E18" s="24"/>
      <c r="F18" s="25"/>
      <c r="G18" s="25"/>
      <c r="H18" s="25"/>
      <c r="I18" s="26"/>
      <c r="J18" s="26"/>
      <c r="K18" s="26"/>
      <c r="L18" s="27">
        <f t="shared" si="0"/>
        <v>0</v>
      </c>
      <c r="M18" s="8" t="str">
        <f>VLOOKUP(K18,GradingPolicy!$B$2:$C$11,2)</f>
        <v>F (Fail)</v>
      </c>
      <c r="N18" s="1"/>
      <c r="O18" s="1"/>
      <c r="P18" s="28"/>
      <c r="Q18" s="29"/>
      <c r="R18" s="28"/>
      <c r="S18" s="28"/>
      <c r="T18" s="28"/>
      <c r="U18" s="28"/>
      <c r="V18" s="28"/>
      <c r="W18" s="30"/>
      <c r="X18" s="22"/>
      <c r="Y18" s="1"/>
      <c r="Z18" s="1"/>
      <c r="AA18" s="1"/>
    </row>
    <row r="19" spans="1:27" ht="15.75" customHeight="1">
      <c r="A19" s="31">
        <v>10</v>
      </c>
      <c r="B19" s="32"/>
      <c r="C19" s="23"/>
      <c r="D19" s="24"/>
      <c r="E19" s="24"/>
      <c r="F19" s="25"/>
      <c r="G19" s="25"/>
      <c r="H19" s="25"/>
      <c r="I19" s="26"/>
      <c r="J19" s="26"/>
      <c r="K19" s="26"/>
      <c r="L19" s="27">
        <f t="shared" si="0"/>
        <v>0</v>
      </c>
      <c r="M19" s="8" t="str">
        <f>VLOOKUP(K19,GradingPolicy!$B$2:$C$11,2)</f>
        <v>F (Fail)</v>
      </c>
      <c r="N19" s="1"/>
      <c r="O19" s="1"/>
      <c r="P19" s="28"/>
      <c r="Q19" s="29"/>
      <c r="R19" s="28"/>
      <c r="S19" s="28"/>
      <c r="T19" s="28"/>
      <c r="U19" s="28"/>
      <c r="V19" s="28"/>
      <c r="W19" s="30"/>
      <c r="X19" s="32"/>
      <c r="Y19" s="1"/>
      <c r="Z19" s="1"/>
      <c r="AA19" s="1"/>
    </row>
    <row r="20" spans="1:27" ht="15.75" customHeight="1">
      <c r="A20" s="21">
        <v>11</v>
      </c>
      <c r="B20" s="22"/>
      <c r="C20" s="23"/>
      <c r="D20" s="24"/>
      <c r="E20" s="24"/>
      <c r="F20" s="25"/>
      <c r="G20" s="25"/>
      <c r="H20" s="25"/>
      <c r="I20" s="26"/>
      <c r="J20" s="26"/>
      <c r="K20" s="26"/>
      <c r="L20" s="27">
        <f t="shared" si="0"/>
        <v>0</v>
      </c>
      <c r="M20" s="8" t="str">
        <f>VLOOKUP(K20,GradingPolicy!$B$2:$C$11,2)</f>
        <v>F (Fail)</v>
      </c>
      <c r="N20" s="1"/>
      <c r="O20" s="1"/>
      <c r="P20" s="28"/>
      <c r="Q20" s="29"/>
      <c r="R20" s="28"/>
      <c r="S20" s="28"/>
      <c r="T20" s="28"/>
      <c r="U20" s="28"/>
      <c r="V20" s="28"/>
      <c r="W20" s="30"/>
      <c r="X20" s="22"/>
      <c r="Y20" s="1"/>
      <c r="Z20" s="1"/>
      <c r="AA20" s="1"/>
    </row>
    <row r="21" spans="1:27" ht="15.75" customHeight="1">
      <c r="A21" s="31">
        <v>12</v>
      </c>
      <c r="B21" s="22"/>
      <c r="C21" s="23"/>
      <c r="D21" s="24"/>
      <c r="E21" s="24"/>
      <c r="F21" s="25"/>
      <c r="G21" s="25"/>
      <c r="H21" s="25"/>
      <c r="I21" s="26"/>
      <c r="J21" s="26"/>
      <c r="K21" s="26"/>
      <c r="L21" s="27">
        <f t="shared" si="0"/>
        <v>0</v>
      </c>
      <c r="M21" s="8" t="str">
        <f>VLOOKUP(K21,GradingPolicy!$B$2:$C$11,2)</f>
        <v>F (Fail)</v>
      </c>
      <c r="N21" s="1"/>
      <c r="O21" s="1"/>
      <c r="P21" s="28"/>
      <c r="Q21" s="29"/>
      <c r="R21" s="28"/>
      <c r="S21" s="28"/>
      <c r="T21" s="28"/>
      <c r="U21" s="28"/>
      <c r="V21" s="28"/>
      <c r="W21" s="30"/>
      <c r="X21" s="22"/>
      <c r="Y21" s="1"/>
      <c r="Z21" s="1"/>
      <c r="AA21" s="1"/>
    </row>
    <row r="22" spans="1:27" ht="15.75" customHeight="1">
      <c r="A22" s="21">
        <v>13</v>
      </c>
      <c r="B22" s="22"/>
      <c r="C22" s="23"/>
      <c r="D22" s="24"/>
      <c r="E22" s="24"/>
      <c r="F22" s="25"/>
      <c r="G22" s="25"/>
      <c r="H22" s="25"/>
      <c r="I22" s="26"/>
      <c r="J22" s="26"/>
      <c r="K22" s="26"/>
      <c r="L22" s="27">
        <f t="shared" si="0"/>
        <v>0</v>
      </c>
      <c r="M22" s="8" t="str">
        <f>VLOOKUP(K22,GradingPolicy!$B$2:$C$11,2)</f>
        <v>F (Fail)</v>
      </c>
      <c r="N22" s="1"/>
      <c r="O22" s="1"/>
      <c r="P22" s="28"/>
      <c r="Q22" s="29"/>
      <c r="R22" s="28"/>
      <c r="S22" s="28"/>
      <c r="T22" s="28"/>
      <c r="U22" s="28"/>
      <c r="V22" s="28"/>
      <c r="W22" s="30"/>
      <c r="X22" s="22"/>
      <c r="Y22" s="1"/>
      <c r="Z22" s="1"/>
      <c r="AA22" s="1"/>
    </row>
    <row r="23" spans="1:27" ht="15.75" customHeight="1">
      <c r="A23" s="31">
        <v>14</v>
      </c>
      <c r="B23" s="22"/>
      <c r="C23" s="23"/>
      <c r="D23" s="24"/>
      <c r="E23" s="24"/>
      <c r="F23" s="25"/>
      <c r="G23" s="25"/>
      <c r="H23" s="25"/>
      <c r="I23" s="26"/>
      <c r="J23" s="26"/>
      <c r="K23" s="26"/>
      <c r="L23" s="27">
        <f t="shared" si="0"/>
        <v>0</v>
      </c>
      <c r="M23" s="8" t="str">
        <f>VLOOKUP(K23,GradingPolicy!$B$2:$C$11,2)</f>
        <v>F (Fail)</v>
      </c>
      <c r="N23" s="1"/>
      <c r="O23" s="1"/>
      <c r="P23" s="28"/>
      <c r="Q23" s="29"/>
      <c r="R23" s="28"/>
      <c r="S23" s="28"/>
      <c r="T23" s="28"/>
      <c r="U23" s="28"/>
      <c r="V23" s="28"/>
      <c r="W23" s="30"/>
      <c r="X23" s="22"/>
      <c r="Y23" s="1"/>
      <c r="Z23" s="1"/>
      <c r="AA23" s="1"/>
    </row>
    <row r="24" spans="1:27" ht="15.75" customHeight="1">
      <c r="A24" s="21">
        <v>15</v>
      </c>
      <c r="B24" s="22"/>
      <c r="C24" s="23"/>
      <c r="D24" s="24"/>
      <c r="E24" s="24"/>
      <c r="F24" s="25"/>
      <c r="G24" s="25"/>
      <c r="H24" s="25"/>
      <c r="I24" s="26"/>
      <c r="J24" s="26"/>
      <c r="K24" s="26"/>
      <c r="L24" s="27">
        <f t="shared" si="0"/>
        <v>0</v>
      </c>
      <c r="M24" s="8" t="str">
        <f>VLOOKUP(K24,GradingPolicy!$B$2:$C$11,2)</f>
        <v>F (Fail)</v>
      </c>
      <c r="N24" s="1"/>
      <c r="O24" s="1"/>
      <c r="P24" s="28"/>
      <c r="Q24" s="29"/>
      <c r="R24" s="28"/>
      <c r="S24" s="28"/>
      <c r="T24" s="28"/>
      <c r="U24" s="28"/>
      <c r="V24" s="28"/>
      <c r="W24" s="30"/>
      <c r="X24" s="22"/>
      <c r="Y24" s="1"/>
      <c r="Z24" s="1"/>
      <c r="AA24" s="1"/>
    </row>
    <row r="25" spans="1:27" ht="15.75" customHeight="1">
      <c r="A25" s="31">
        <v>16</v>
      </c>
      <c r="B25" s="22"/>
      <c r="C25" s="23"/>
      <c r="D25" s="24"/>
      <c r="E25" s="24"/>
      <c r="F25" s="25"/>
      <c r="G25" s="25"/>
      <c r="H25" s="25"/>
      <c r="I25" s="26"/>
      <c r="J25" s="26"/>
      <c r="K25" s="26"/>
      <c r="L25" s="27">
        <f t="shared" si="0"/>
        <v>0</v>
      </c>
      <c r="M25" s="8" t="str">
        <f>VLOOKUP(K25,GradingPolicy!$B$2:$C$11,2)</f>
        <v>F (Fail)</v>
      </c>
      <c r="N25" s="1"/>
      <c r="O25" s="1"/>
      <c r="P25" s="28"/>
      <c r="Q25" s="29"/>
      <c r="R25" s="28"/>
      <c r="S25" s="28"/>
      <c r="T25" s="28"/>
      <c r="U25" s="28"/>
      <c r="V25" s="28"/>
      <c r="W25" s="30"/>
      <c r="X25" s="22"/>
      <c r="Y25" s="1"/>
      <c r="Z25" s="1"/>
      <c r="AA25" s="1"/>
    </row>
    <row r="26" spans="1:27" ht="15.75" customHeight="1">
      <c r="A26" s="21">
        <v>17</v>
      </c>
      <c r="B26" s="22"/>
      <c r="C26" s="23"/>
      <c r="D26" s="24"/>
      <c r="E26" s="24"/>
      <c r="F26" s="25"/>
      <c r="G26" s="25"/>
      <c r="H26" s="25"/>
      <c r="I26" s="26"/>
      <c r="J26" s="26"/>
      <c r="K26" s="26"/>
      <c r="L26" s="27">
        <f t="shared" si="0"/>
        <v>0</v>
      </c>
      <c r="M26" s="8" t="str">
        <f>VLOOKUP(K26,GradingPolicy!$B$2:$C$11,2)</f>
        <v>F (Fail)</v>
      </c>
      <c r="N26" s="1"/>
      <c r="O26" s="1"/>
      <c r="P26" s="28"/>
      <c r="Q26" s="29"/>
      <c r="R26" s="28"/>
      <c r="S26" s="28"/>
      <c r="T26" s="28"/>
      <c r="U26" s="28"/>
      <c r="V26" s="28"/>
      <c r="W26" s="30"/>
      <c r="X26" s="22"/>
      <c r="Y26" s="1"/>
      <c r="Z26" s="1"/>
      <c r="AA26" s="1"/>
    </row>
    <row r="27" spans="1:27" ht="15.75" customHeight="1">
      <c r="A27" s="31">
        <v>18</v>
      </c>
      <c r="B27" s="22"/>
      <c r="C27" s="23"/>
      <c r="D27" s="24"/>
      <c r="E27" s="24"/>
      <c r="F27" s="25"/>
      <c r="G27" s="25"/>
      <c r="H27" s="25"/>
      <c r="I27" s="26"/>
      <c r="J27" s="26"/>
      <c r="K27" s="26"/>
      <c r="L27" s="27">
        <f t="shared" si="0"/>
        <v>0</v>
      </c>
      <c r="M27" s="8" t="str">
        <f>VLOOKUP(K27,GradingPolicy!$B$2:$C$11,2)</f>
        <v>F (Fail)</v>
      </c>
      <c r="N27" s="1"/>
      <c r="O27" s="1"/>
      <c r="P27" s="28"/>
      <c r="Q27" s="29"/>
      <c r="R27" s="28"/>
      <c r="S27" s="28"/>
      <c r="T27" s="28"/>
      <c r="U27" s="28"/>
      <c r="V27" s="28"/>
      <c r="W27" s="30"/>
      <c r="X27" s="22"/>
      <c r="Y27" s="1"/>
      <c r="Z27" s="1"/>
      <c r="AA27" s="1"/>
    </row>
    <row r="28" spans="1:27" ht="15.75" customHeight="1">
      <c r="A28" s="21">
        <v>19</v>
      </c>
      <c r="B28" s="22"/>
      <c r="C28" s="23"/>
      <c r="D28" s="24"/>
      <c r="E28" s="24"/>
      <c r="F28" s="25"/>
      <c r="G28" s="25"/>
      <c r="H28" s="25"/>
      <c r="I28" s="26"/>
      <c r="J28" s="26"/>
      <c r="K28" s="26"/>
      <c r="L28" s="27">
        <f t="shared" si="0"/>
        <v>0</v>
      </c>
      <c r="M28" s="8" t="str">
        <f>VLOOKUP(K28,GradingPolicy!$B$2:$C$11,2)</f>
        <v>F (Fail)</v>
      </c>
      <c r="N28" s="1"/>
      <c r="O28" s="1"/>
      <c r="P28" s="28"/>
      <c r="Q28" s="29"/>
      <c r="R28" s="28"/>
      <c r="S28" s="28"/>
      <c r="T28" s="28"/>
      <c r="U28" s="28"/>
      <c r="V28" s="28"/>
      <c r="W28" s="30"/>
      <c r="X28" s="22"/>
      <c r="Y28" s="1"/>
      <c r="Z28" s="1"/>
      <c r="AA28" s="1"/>
    </row>
    <row r="29" spans="1:27" ht="15.75" customHeight="1">
      <c r="A29" s="31">
        <v>20</v>
      </c>
      <c r="B29" s="22"/>
      <c r="C29" s="23"/>
      <c r="D29" s="24"/>
      <c r="E29" s="24"/>
      <c r="F29" s="25"/>
      <c r="G29" s="25"/>
      <c r="H29" s="25"/>
      <c r="I29" s="26"/>
      <c r="J29" s="26"/>
      <c r="K29" s="26"/>
      <c r="L29" s="27">
        <f t="shared" si="0"/>
        <v>0</v>
      </c>
      <c r="M29" s="8" t="str">
        <f>VLOOKUP(K29,GradingPolicy!$B$2:$C$11,2)</f>
        <v>F (Fail)</v>
      </c>
      <c r="N29" s="1"/>
      <c r="O29" s="1"/>
      <c r="P29" s="28"/>
      <c r="Q29" s="29"/>
      <c r="R29" s="28"/>
      <c r="S29" s="28"/>
      <c r="T29" s="28"/>
      <c r="U29" s="28"/>
      <c r="V29" s="28"/>
      <c r="W29" s="30"/>
      <c r="X29" s="22"/>
      <c r="Y29" s="1"/>
      <c r="Z29" s="1"/>
      <c r="AA29" s="1"/>
    </row>
    <row r="30" spans="1:27" ht="15.75" customHeight="1">
      <c r="A30" s="21">
        <v>21</v>
      </c>
      <c r="B30" s="22"/>
      <c r="C30" s="23"/>
      <c r="D30" s="24"/>
      <c r="E30" s="24"/>
      <c r="F30" s="25"/>
      <c r="G30" s="25"/>
      <c r="H30" s="25"/>
      <c r="I30" s="26"/>
      <c r="J30" s="26"/>
      <c r="K30" s="26"/>
      <c r="L30" s="27">
        <f t="shared" si="0"/>
        <v>0</v>
      </c>
      <c r="M30" s="8" t="str">
        <f>VLOOKUP(K30,GradingPolicy!$B$2:$C$11,2)</f>
        <v>F (Fail)</v>
      </c>
      <c r="N30" s="1"/>
      <c r="O30" s="1"/>
      <c r="P30" s="28"/>
      <c r="Q30" s="29"/>
      <c r="R30" s="28"/>
      <c r="S30" s="28"/>
      <c r="T30" s="28"/>
      <c r="U30" s="28"/>
      <c r="V30" s="28"/>
      <c r="W30" s="30"/>
      <c r="X30" s="22"/>
      <c r="Y30" s="1"/>
      <c r="Z30" s="1"/>
      <c r="AA30" s="1"/>
    </row>
    <row r="31" spans="1:27" ht="15.75" customHeight="1">
      <c r="A31" s="31">
        <v>22</v>
      </c>
      <c r="B31" s="22"/>
      <c r="C31" s="23"/>
      <c r="D31" s="24"/>
      <c r="E31" s="24"/>
      <c r="F31" s="25"/>
      <c r="G31" s="25"/>
      <c r="H31" s="25"/>
      <c r="I31" s="26"/>
      <c r="J31" s="26"/>
      <c r="K31" s="26"/>
      <c r="L31" s="27">
        <f t="shared" si="0"/>
        <v>0</v>
      </c>
      <c r="M31" s="8" t="str">
        <f>VLOOKUP(K31,GradingPolicy!$B$2:$C$11,2)</f>
        <v>F (Fail)</v>
      </c>
      <c r="N31" s="1"/>
      <c r="O31" s="1"/>
      <c r="P31" s="28"/>
      <c r="Q31" s="29"/>
      <c r="R31" s="28"/>
      <c r="S31" s="28"/>
      <c r="T31" s="28"/>
      <c r="U31" s="28"/>
      <c r="V31" s="28"/>
      <c r="W31" s="30"/>
      <c r="X31" s="22"/>
      <c r="Y31" s="1"/>
      <c r="Z31" s="1"/>
      <c r="AA31" s="1"/>
    </row>
    <row r="32" spans="1:27" ht="15.75" customHeight="1">
      <c r="A32" s="21">
        <v>23</v>
      </c>
      <c r="B32" s="22"/>
      <c r="C32" s="23"/>
      <c r="D32" s="24"/>
      <c r="E32" s="24"/>
      <c r="F32" s="25"/>
      <c r="G32" s="25"/>
      <c r="H32" s="25"/>
      <c r="I32" s="26"/>
      <c r="J32" s="26"/>
      <c r="K32" s="26"/>
      <c r="L32" s="27">
        <f t="shared" si="0"/>
        <v>0</v>
      </c>
      <c r="M32" s="8" t="str">
        <f>VLOOKUP(K32,GradingPolicy!$B$2:$C$11,2)</f>
        <v>F (Fail)</v>
      </c>
      <c r="N32" s="1"/>
      <c r="O32" s="1"/>
      <c r="P32" s="28"/>
      <c r="Q32" s="29"/>
      <c r="R32" s="28"/>
      <c r="S32" s="28"/>
      <c r="T32" s="28"/>
      <c r="U32" s="28"/>
      <c r="V32" s="28"/>
      <c r="W32" s="30"/>
      <c r="X32" s="22"/>
      <c r="Y32" s="1"/>
      <c r="Z32" s="1"/>
      <c r="AA32" s="1"/>
    </row>
    <row r="33" spans="1:27" ht="15.75" customHeight="1">
      <c r="A33" s="31">
        <v>24</v>
      </c>
      <c r="B33" s="22"/>
      <c r="C33" s="23"/>
      <c r="D33" s="24"/>
      <c r="E33" s="24"/>
      <c r="F33" s="25"/>
      <c r="G33" s="25"/>
      <c r="H33" s="25"/>
      <c r="I33" s="26"/>
      <c r="J33" s="26"/>
      <c r="K33" s="26"/>
      <c r="L33" s="27">
        <f t="shared" si="0"/>
        <v>0</v>
      </c>
      <c r="M33" s="8" t="str">
        <f>VLOOKUP(K33,GradingPolicy!$B$2:$C$11,2)</f>
        <v>F (Fail)</v>
      </c>
      <c r="N33" s="1"/>
      <c r="O33" s="1"/>
      <c r="P33" s="28"/>
      <c r="Q33" s="29"/>
      <c r="R33" s="28"/>
      <c r="S33" s="28"/>
      <c r="T33" s="28"/>
      <c r="U33" s="28"/>
      <c r="V33" s="28"/>
      <c r="W33" s="30"/>
      <c r="X33" s="22"/>
      <c r="Y33" s="1"/>
      <c r="Z33" s="1"/>
      <c r="AA33" s="1"/>
    </row>
    <row r="34" spans="1:27" ht="15.75" customHeight="1">
      <c r="A34" s="21">
        <v>25</v>
      </c>
      <c r="B34" s="22"/>
      <c r="C34" s="23"/>
      <c r="D34" s="24"/>
      <c r="E34" s="24"/>
      <c r="F34" s="25"/>
      <c r="G34" s="25"/>
      <c r="H34" s="25"/>
      <c r="I34" s="26"/>
      <c r="J34" s="26"/>
      <c r="K34" s="26"/>
      <c r="L34" s="27">
        <f t="shared" si="0"/>
        <v>0</v>
      </c>
      <c r="M34" s="8" t="str">
        <f>VLOOKUP(K34,GradingPolicy!$B$2:$C$11,2)</f>
        <v>F (Fail)</v>
      </c>
      <c r="N34" s="1"/>
      <c r="O34" s="1"/>
      <c r="P34" s="28"/>
      <c r="Q34" s="29"/>
      <c r="R34" s="28"/>
      <c r="S34" s="28"/>
      <c r="T34" s="28"/>
      <c r="U34" s="28"/>
      <c r="V34" s="28"/>
      <c r="W34" s="30"/>
      <c r="X34" s="22"/>
      <c r="Y34" s="1"/>
      <c r="Z34" s="1"/>
      <c r="AA34" s="1"/>
    </row>
    <row r="35" spans="1:27" ht="15.75" customHeight="1">
      <c r="A35" s="31">
        <v>26</v>
      </c>
      <c r="B35" s="22"/>
      <c r="C35" s="23"/>
      <c r="D35" s="24"/>
      <c r="E35" s="24"/>
      <c r="F35" s="25"/>
      <c r="G35" s="25"/>
      <c r="H35" s="25"/>
      <c r="I35" s="26"/>
      <c r="J35" s="26"/>
      <c r="K35" s="26"/>
      <c r="L35" s="27">
        <f t="shared" si="0"/>
        <v>0</v>
      </c>
      <c r="M35" s="8" t="str">
        <f>VLOOKUP(K35,GradingPolicy!$B$2:$C$11,2)</f>
        <v>F (Fail)</v>
      </c>
      <c r="N35" s="1"/>
      <c r="O35" s="1"/>
      <c r="P35" s="28"/>
      <c r="Q35" s="29"/>
      <c r="R35" s="28"/>
      <c r="S35" s="28"/>
      <c r="T35" s="28"/>
      <c r="U35" s="28"/>
      <c r="V35" s="28"/>
      <c r="W35" s="30"/>
      <c r="X35" s="22"/>
      <c r="Y35" s="1"/>
      <c r="Z35" s="1"/>
      <c r="AA35" s="1"/>
    </row>
    <row r="36" spans="1:27" ht="15.75" customHeight="1">
      <c r="A36" s="21">
        <v>27</v>
      </c>
      <c r="B36" s="22"/>
      <c r="C36" s="23"/>
      <c r="D36" s="24"/>
      <c r="E36" s="24"/>
      <c r="F36" s="25"/>
      <c r="G36" s="25"/>
      <c r="H36" s="25"/>
      <c r="I36" s="26"/>
      <c r="J36" s="26"/>
      <c r="K36" s="26"/>
      <c r="L36" s="27">
        <f t="shared" si="0"/>
        <v>0</v>
      </c>
      <c r="M36" s="8" t="str">
        <f>VLOOKUP(K36,GradingPolicy!$B$2:$C$11,2)</f>
        <v>F (Fail)</v>
      </c>
      <c r="N36" s="1"/>
      <c r="O36" s="1"/>
      <c r="P36" s="28"/>
      <c r="Q36" s="29"/>
      <c r="R36" s="28"/>
      <c r="S36" s="28"/>
      <c r="T36" s="28"/>
      <c r="U36" s="28"/>
      <c r="V36" s="28"/>
      <c r="W36" s="30"/>
      <c r="X36" s="22"/>
      <c r="Y36" s="1"/>
      <c r="Z36" s="1"/>
      <c r="AA36" s="1"/>
    </row>
    <row r="37" spans="1:27" ht="15.75" customHeight="1">
      <c r="A37" s="31">
        <v>28</v>
      </c>
      <c r="B37" s="22"/>
      <c r="C37" s="23"/>
      <c r="D37" s="24"/>
      <c r="E37" s="24"/>
      <c r="F37" s="25"/>
      <c r="G37" s="25"/>
      <c r="H37" s="25"/>
      <c r="I37" s="26"/>
      <c r="J37" s="26"/>
      <c r="K37" s="26"/>
      <c r="L37" s="27">
        <f t="shared" si="0"/>
        <v>0</v>
      </c>
      <c r="M37" s="8" t="str">
        <f>VLOOKUP(K37,GradingPolicy!$B$2:$C$11,2)</f>
        <v>F (Fail)</v>
      </c>
      <c r="N37" s="1"/>
      <c r="O37" s="1"/>
      <c r="P37" s="28"/>
      <c r="Q37" s="29"/>
      <c r="R37" s="28"/>
      <c r="S37" s="28"/>
      <c r="T37" s="28"/>
      <c r="U37" s="28"/>
      <c r="V37" s="28"/>
      <c r="W37" s="30"/>
      <c r="X37" s="22"/>
      <c r="Y37" s="1"/>
      <c r="Z37" s="1"/>
      <c r="AA37" s="1"/>
    </row>
    <row r="38" spans="1:27" ht="15.75" customHeight="1">
      <c r="A38" s="21">
        <v>29</v>
      </c>
      <c r="B38" s="22"/>
      <c r="C38" s="23"/>
      <c r="D38" s="24"/>
      <c r="E38" s="24"/>
      <c r="F38" s="25"/>
      <c r="G38" s="25"/>
      <c r="H38" s="25"/>
      <c r="I38" s="26"/>
      <c r="J38" s="26"/>
      <c r="K38" s="26"/>
      <c r="L38" s="27">
        <f t="shared" si="0"/>
        <v>0</v>
      </c>
      <c r="M38" s="8" t="str">
        <f>VLOOKUP(K38,GradingPolicy!$B$2:$C$11,2)</f>
        <v>F (Fail)</v>
      </c>
      <c r="N38" s="1"/>
      <c r="O38" s="1"/>
      <c r="P38" s="28"/>
      <c r="Q38" s="29"/>
      <c r="R38" s="28"/>
      <c r="S38" s="28"/>
      <c r="T38" s="28"/>
      <c r="U38" s="28"/>
      <c r="V38" s="28"/>
      <c r="W38" s="30"/>
      <c r="X38" s="22"/>
      <c r="Y38" s="1"/>
      <c r="Z38" s="1"/>
      <c r="AA38" s="1"/>
    </row>
    <row r="39" spans="1:27" ht="15.75" customHeight="1">
      <c r="A39" s="31">
        <v>30</v>
      </c>
      <c r="B39" s="22"/>
      <c r="C39" s="23"/>
      <c r="D39" s="24"/>
      <c r="E39" s="24"/>
      <c r="F39" s="25"/>
      <c r="G39" s="25"/>
      <c r="H39" s="25"/>
      <c r="I39" s="26"/>
      <c r="J39" s="26"/>
      <c r="K39" s="26"/>
      <c r="L39" s="27">
        <f t="shared" si="0"/>
        <v>0</v>
      </c>
      <c r="M39" s="8" t="str">
        <f>VLOOKUP(K39,GradingPolicy!$B$2:$C$11,2)</f>
        <v>F (Fail)</v>
      </c>
      <c r="N39" s="1"/>
      <c r="O39" s="1"/>
      <c r="P39" s="28"/>
      <c r="Q39" s="29"/>
      <c r="R39" s="28"/>
      <c r="S39" s="28"/>
      <c r="T39" s="28"/>
      <c r="U39" s="28"/>
      <c r="V39" s="28"/>
      <c r="W39" s="30"/>
      <c r="X39" s="22"/>
      <c r="Y39" s="1"/>
      <c r="Z39" s="1"/>
      <c r="AA39" s="1"/>
    </row>
    <row r="40" spans="1:27" ht="15.75" customHeight="1">
      <c r="A40" s="21">
        <v>31</v>
      </c>
      <c r="B40" s="22"/>
      <c r="C40" s="23"/>
      <c r="D40" s="24"/>
      <c r="E40" s="24"/>
      <c r="F40" s="25"/>
      <c r="G40" s="25"/>
      <c r="H40" s="25"/>
      <c r="I40" s="26"/>
      <c r="J40" s="26"/>
      <c r="K40" s="26"/>
      <c r="L40" s="27">
        <f t="shared" si="0"/>
        <v>0</v>
      </c>
      <c r="M40" s="8" t="str">
        <f>VLOOKUP(K40,GradingPolicy!$B$2:$C$11,2)</f>
        <v>F (Fail)</v>
      </c>
      <c r="N40" s="1"/>
      <c r="O40" s="1"/>
      <c r="P40" s="28"/>
      <c r="Q40" s="29"/>
      <c r="R40" s="28"/>
      <c r="S40" s="28"/>
      <c r="T40" s="28"/>
      <c r="U40" s="28"/>
      <c r="V40" s="28"/>
      <c r="W40" s="30"/>
      <c r="X40" s="22"/>
      <c r="Y40" s="1"/>
      <c r="Z40" s="1"/>
      <c r="AA40" s="1"/>
    </row>
    <row r="41" spans="1:27" ht="15.75" customHeight="1">
      <c r="A41" s="31">
        <v>32</v>
      </c>
      <c r="B41" s="22"/>
      <c r="C41" s="23"/>
      <c r="D41" s="24"/>
      <c r="E41" s="24"/>
      <c r="F41" s="25"/>
      <c r="G41" s="25"/>
      <c r="H41" s="25"/>
      <c r="I41" s="26"/>
      <c r="J41" s="26"/>
      <c r="K41" s="26"/>
      <c r="L41" s="27">
        <f t="shared" si="0"/>
        <v>0</v>
      </c>
      <c r="M41" s="8" t="str">
        <f>VLOOKUP(K41,GradingPolicy!$B$2:$C$11,2)</f>
        <v>F (Fail)</v>
      </c>
      <c r="N41" s="1"/>
      <c r="O41" s="1"/>
      <c r="P41" s="28"/>
      <c r="Q41" s="29"/>
      <c r="R41" s="28"/>
      <c r="S41" s="28"/>
      <c r="T41" s="28"/>
      <c r="U41" s="28"/>
      <c r="V41" s="28"/>
      <c r="W41" s="30"/>
      <c r="X41" s="22"/>
      <c r="Y41" s="1"/>
      <c r="Z41" s="1"/>
      <c r="AA41" s="1"/>
    </row>
    <row r="42" spans="1:27" ht="15.75" customHeight="1">
      <c r="A42" s="21">
        <v>33</v>
      </c>
      <c r="B42" s="22"/>
      <c r="C42" s="23"/>
      <c r="D42" s="24"/>
      <c r="E42" s="24"/>
      <c r="F42" s="25"/>
      <c r="G42" s="25"/>
      <c r="H42" s="25"/>
      <c r="I42" s="26"/>
      <c r="J42" s="26"/>
      <c r="K42" s="26"/>
      <c r="L42" s="27">
        <f t="shared" si="0"/>
        <v>0</v>
      </c>
      <c r="M42" s="8" t="str">
        <f>VLOOKUP(K42,GradingPolicy!$B$2:$C$11,2)</f>
        <v>F (Fail)</v>
      </c>
      <c r="N42" s="1"/>
      <c r="O42" s="1"/>
      <c r="P42" s="28"/>
      <c r="Q42" s="29"/>
      <c r="R42" s="28"/>
      <c r="S42" s="28"/>
      <c r="T42" s="28"/>
      <c r="U42" s="28"/>
      <c r="V42" s="28"/>
      <c r="W42" s="30"/>
      <c r="X42" s="22"/>
      <c r="Y42" s="1"/>
      <c r="Z42" s="1"/>
      <c r="AA42" s="1"/>
    </row>
    <row r="43" spans="1:27" ht="15.75" customHeight="1">
      <c r="A43" s="31">
        <v>34</v>
      </c>
      <c r="B43" s="22"/>
      <c r="C43" s="23"/>
      <c r="D43" s="24"/>
      <c r="E43" s="24"/>
      <c r="F43" s="25"/>
      <c r="G43" s="25"/>
      <c r="H43" s="25"/>
      <c r="I43" s="26"/>
      <c r="J43" s="26"/>
      <c r="K43" s="26"/>
      <c r="L43" s="27">
        <f t="shared" si="0"/>
        <v>0</v>
      </c>
      <c r="M43" s="8" t="str">
        <f>VLOOKUP(K43,GradingPolicy!$B$2:$C$11,2)</f>
        <v>F (Fail)</v>
      </c>
      <c r="N43" s="1"/>
      <c r="O43" s="1"/>
      <c r="P43" s="28"/>
      <c r="Q43" s="29"/>
      <c r="R43" s="28"/>
      <c r="S43" s="28"/>
      <c r="T43" s="28"/>
      <c r="U43" s="28"/>
      <c r="V43" s="28"/>
      <c r="W43" s="30"/>
      <c r="X43" s="22"/>
      <c r="Y43" s="1"/>
      <c r="Z43" s="1"/>
      <c r="AA43" s="1"/>
    </row>
    <row r="44" spans="1:27" ht="15.75" customHeight="1">
      <c r="A44" s="21">
        <v>35</v>
      </c>
      <c r="B44" s="22"/>
      <c r="C44" s="23"/>
      <c r="D44" s="24"/>
      <c r="E44" s="24"/>
      <c r="F44" s="25"/>
      <c r="G44" s="25"/>
      <c r="H44" s="25"/>
      <c r="I44" s="26"/>
      <c r="J44" s="26"/>
      <c r="K44" s="26"/>
      <c r="L44" s="27">
        <f t="shared" si="0"/>
        <v>0</v>
      </c>
      <c r="M44" s="8" t="str">
        <f>VLOOKUP(K44,GradingPolicy!$B$2:$C$11,2)</f>
        <v>F (Fail)</v>
      </c>
      <c r="N44" s="1"/>
      <c r="O44" s="1"/>
      <c r="P44" s="28"/>
      <c r="Q44" s="29"/>
      <c r="R44" s="28"/>
      <c r="S44" s="28"/>
      <c r="T44" s="28"/>
      <c r="U44" s="28"/>
      <c r="V44" s="28"/>
      <c r="W44" s="30"/>
      <c r="X44" s="22"/>
      <c r="Y44" s="1"/>
      <c r="Z44" s="1"/>
      <c r="AA44" s="1"/>
    </row>
    <row r="45" spans="1:27" ht="15.75" customHeight="1">
      <c r="A45" s="31">
        <v>36</v>
      </c>
      <c r="B45" s="22"/>
      <c r="C45" s="23"/>
      <c r="D45" s="24"/>
      <c r="E45" s="24"/>
      <c r="F45" s="25"/>
      <c r="G45" s="25"/>
      <c r="H45" s="25"/>
      <c r="I45" s="26"/>
      <c r="J45" s="26"/>
      <c r="K45" s="26"/>
      <c r="L45" s="27">
        <f t="shared" si="0"/>
        <v>0</v>
      </c>
      <c r="M45" s="8" t="str">
        <f>VLOOKUP(K45,GradingPolicy!$B$2:$C$11,2)</f>
        <v>F (Fail)</v>
      </c>
      <c r="N45" s="1"/>
      <c r="O45" s="1"/>
      <c r="P45" s="28"/>
      <c r="Q45" s="29"/>
      <c r="R45" s="28"/>
      <c r="S45" s="28"/>
      <c r="T45" s="28"/>
      <c r="U45" s="28"/>
      <c r="V45" s="28"/>
      <c r="W45" s="30"/>
      <c r="X45" s="22"/>
      <c r="Y45" s="1"/>
      <c r="Z45" s="1"/>
      <c r="AA45" s="1"/>
    </row>
    <row r="46" spans="1:27" ht="15.75" customHeight="1">
      <c r="A46" s="21">
        <v>37</v>
      </c>
      <c r="B46" s="22"/>
      <c r="C46" s="23"/>
      <c r="D46" s="24"/>
      <c r="E46" s="24"/>
      <c r="F46" s="25"/>
      <c r="G46" s="25"/>
      <c r="H46" s="25"/>
      <c r="I46" s="26"/>
      <c r="J46" s="26"/>
      <c r="K46" s="26"/>
      <c r="L46" s="27">
        <f t="shared" si="0"/>
        <v>0</v>
      </c>
      <c r="M46" s="8" t="str">
        <f>VLOOKUP(K46,GradingPolicy!$B$2:$C$11,2)</f>
        <v>F (Fail)</v>
      </c>
      <c r="N46" s="1"/>
      <c r="O46" s="1"/>
      <c r="P46" s="28"/>
      <c r="Q46" s="29"/>
      <c r="R46" s="28"/>
      <c r="S46" s="28"/>
      <c r="T46" s="28"/>
      <c r="U46" s="28"/>
      <c r="V46" s="28"/>
      <c r="W46" s="30"/>
      <c r="X46" s="22"/>
      <c r="Y46" s="1"/>
      <c r="Z46" s="1"/>
      <c r="AA46" s="1"/>
    </row>
    <row r="47" spans="1:27" ht="15.75" customHeight="1">
      <c r="A47" s="31">
        <v>38</v>
      </c>
      <c r="B47" s="22"/>
      <c r="C47" s="23"/>
      <c r="D47" s="24"/>
      <c r="E47" s="24"/>
      <c r="F47" s="25"/>
      <c r="G47" s="25"/>
      <c r="H47" s="25"/>
      <c r="I47" s="26"/>
      <c r="J47" s="26"/>
      <c r="K47" s="26"/>
      <c r="L47" s="27">
        <f t="shared" si="0"/>
        <v>0</v>
      </c>
      <c r="M47" s="8" t="str">
        <f>VLOOKUP(K47,GradingPolicy!$B$2:$C$11,2)</f>
        <v>F (Fail)</v>
      </c>
      <c r="N47" s="1"/>
      <c r="O47" s="1"/>
      <c r="P47" s="28"/>
      <c r="Q47" s="29"/>
      <c r="R47" s="28"/>
      <c r="S47" s="28"/>
      <c r="T47" s="28"/>
      <c r="U47" s="28"/>
      <c r="V47" s="28"/>
      <c r="W47" s="30"/>
      <c r="X47" s="22"/>
      <c r="Y47" s="1"/>
      <c r="Z47" s="1"/>
      <c r="AA47" s="1"/>
    </row>
    <row r="48" spans="1:27" ht="15.75" customHeight="1">
      <c r="A48" s="21">
        <v>39</v>
      </c>
      <c r="B48" s="22"/>
      <c r="C48" s="23"/>
      <c r="D48" s="24"/>
      <c r="E48" s="24"/>
      <c r="F48" s="25"/>
      <c r="G48" s="25"/>
      <c r="H48" s="25"/>
      <c r="I48" s="26"/>
      <c r="J48" s="26"/>
      <c r="K48" s="26"/>
      <c r="L48" s="27">
        <f t="shared" si="0"/>
        <v>0</v>
      </c>
      <c r="M48" s="8" t="str">
        <f>VLOOKUP(K48,GradingPolicy!$B$2:$C$11,2)</f>
        <v>F (Fail)</v>
      </c>
      <c r="N48" s="1"/>
      <c r="O48" s="1"/>
      <c r="P48" s="28"/>
      <c r="Q48" s="29"/>
      <c r="R48" s="28"/>
      <c r="S48" s="28"/>
      <c r="T48" s="28"/>
      <c r="U48" s="28"/>
      <c r="V48" s="28"/>
      <c r="W48" s="30"/>
      <c r="X48" s="22"/>
      <c r="Y48" s="1"/>
      <c r="Z48" s="1"/>
      <c r="AA48" s="1"/>
    </row>
    <row r="49" spans="1:27" ht="15.75" customHeight="1">
      <c r="A49" s="31">
        <v>40</v>
      </c>
      <c r="B49" s="22"/>
      <c r="C49" s="23"/>
      <c r="D49" s="24"/>
      <c r="E49" s="24"/>
      <c r="F49" s="25"/>
      <c r="G49" s="25"/>
      <c r="H49" s="25"/>
      <c r="I49" s="26"/>
      <c r="J49" s="26"/>
      <c r="K49" s="26"/>
      <c r="L49" s="27">
        <f t="shared" si="0"/>
        <v>0</v>
      </c>
      <c r="M49" s="8" t="str">
        <f>VLOOKUP(K49,GradingPolicy!$B$2:$C$11,2)</f>
        <v>F (Fail)</v>
      </c>
      <c r="N49" s="1"/>
      <c r="O49" s="1"/>
      <c r="P49" s="28"/>
      <c r="Q49" s="29"/>
      <c r="R49" s="28"/>
      <c r="S49" s="28"/>
      <c r="T49" s="28"/>
      <c r="U49" s="28"/>
      <c r="V49" s="28"/>
      <c r="W49" s="30"/>
      <c r="X49" s="22"/>
      <c r="Y49" s="1"/>
      <c r="Z49" s="1"/>
      <c r="AA49" s="1"/>
    </row>
    <row r="50" spans="1:27" ht="15.75" customHeight="1">
      <c r="A50" s="31">
        <v>41</v>
      </c>
      <c r="B50" s="22"/>
      <c r="C50" s="23"/>
      <c r="D50" s="24"/>
      <c r="E50" s="24"/>
      <c r="F50" s="25"/>
      <c r="G50" s="25"/>
      <c r="H50" s="25"/>
      <c r="I50" s="26"/>
      <c r="J50" s="26"/>
      <c r="K50" s="26"/>
      <c r="L50" s="27">
        <f t="shared" si="0"/>
        <v>0</v>
      </c>
      <c r="M50" s="8" t="str">
        <f>VLOOKUP(K50,GradingPolicy!$B$2:$C$11,2)</f>
        <v>F (Fail)</v>
      </c>
      <c r="N50" s="1"/>
      <c r="O50" s="1"/>
      <c r="P50" s="28"/>
      <c r="Q50" s="29"/>
      <c r="R50" s="28"/>
      <c r="S50" s="28"/>
      <c r="T50" s="28"/>
      <c r="U50" s="28"/>
      <c r="V50" s="28"/>
      <c r="W50" s="30"/>
      <c r="X50" s="22"/>
      <c r="Y50" s="1"/>
      <c r="Z50" s="1"/>
      <c r="AA50" s="1"/>
    </row>
    <row r="51" spans="1:27" ht="15.75" customHeight="1">
      <c r="A51" s="31">
        <v>42</v>
      </c>
      <c r="B51" s="22"/>
      <c r="C51" s="23"/>
      <c r="D51" s="24"/>
      <c r="E51" s="24"/>
      <c r="F51" s="25"/>
      <c r="G51" s="25"/>
      <c r="H51" s="25"/>
      <c r="I51" s="26"/>
      <c r="J51" s="26"/>
      <c r="K51" s="26"/>
      <c r="L51" s="27">
        <f t="shared" si="0"/>
        <v>0</v>
      </c>
      <c r="M51" s="8" t="str">
        <f>VLOOKUP(K51,GradingPolicy!$B$2:$C$11,2)</f>
        <v>F (Fail)</v>
      </c>
      <c r="N51" s="1"/>
      <c r="O51" s="1"/>
      <c r="P51" s="28"/>
      <c r="Q51" s="29"/>
      <c r="R51" s="28"/>
      <c r="S51" s="28"/>
      <c r="T51" s="28"/>
      <c r="U51" s="28"/>
      <c r="V51" s="28"/>
      <c r="W51" s="30"/>
      <c r="X51" s="22"/>
      <c r="Y51" s="1"/>
      <c r="Z51" s="1"/>
      <c r="AA51" s="1"/>
    </row>
    <row r="52" spans="1:27" ht="15.75" customHeight="1">
      <c r="A52" s="1"/>
      <c r="B52" s="2"/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>
      <c r="A53" s="1"/>
      <c r="B53" s="2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>
      <c r="A54" s="1"/>
      <c r="B54" s="11" t="s">
        <v>20</v>
      </c>
      <c r="C54" s="33" t="s">
        <v>21</v>
      </c>
      <c r="D54" s="34"/>
      <c r="E54" s="34"/>
      <c r="F54" s="35" t="s">
        <v>22</v>
      </c>
      <c r="G54" s="35" t="s">
        <v>23</v>
      </c>
      <c r="H54" s="14" t="s">
        <v>24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 customHeight="1">
      <c r="A55" s="1"/>
      <c r="B55" s="36" t="s">
        <v>11</v>
      </c>
      <c r="C55" s="37">
        <v>5</v>
      </c>
      <c r="D55" s="2"/>
      <c r="E55" s="2"/>
      <c r="F55" s="38" t="s">
        <v>26</v>
      </c>
      <c r="G55" s="39" t="s">
        <v>27</v>
      </c>
      <c r="H55" s="40">
        <f>COUNTIF(M10:M51, "A+ (Plus)")</f>
        <v>0</v>
      </c>
      <c r="I55" s="1"/>
      <c r="J55" s="1"/>
      <c r="K55" s="1"/>
      <c r="L55" s="1"/>
      <c r="M55" s="1"/>
      <c r="N55" s="1"/>
      <c r="O55" s="41" t="s">
        <v>28</v>
      </c>
      <c r="P55" s="26">
        <f t="shared" ref="P55:V55" si="1">MAX(P10:P49)</f>
        <v>0</v>
      </c>
      <c r="Q55" s="42">
        <f t="shared" si="1"/>
        <v>0</v>
      </c>
      <c r="R55" s="42">
        <f t="shared" si="1"/>
        <v>0</v>
      </c>
      <c r="S55" s="42">
        <f t="shared" si="1"/>
        <v>0</v>
      </c>
      <c r="T55" s="42">
        <f t="shared" si="1"/>
        <v>0</v>
      </c>
      <c r="U55" s="42">
        <f t="shared" si="1"/>
        <v>0</v>
      </c>
      <c r="V55" s="42">
        <f t="shared" si="1"/>
        <v>0</v>
      </c>
      <c r="W55" s="1"/>
      <c r="X55" s="1"/>
      <c r="Y55" s="1"/>
      <c r="Z55" s="1"/>
      <c r="AA55" s="1"/>
    </row>
    <row r="56" spans="1:27" ht="15.75" customHeight="1">
      <c r="A56" s="1"/>
      <c r="B56" s="36" t="s">
        <v>25</v>
      </c>
      <c r="C56" s="37">
        <v>5</v>
      </c>
      <c r="D56" s="2"/>
      <c r="E56" s="2"/>
      <c r="F56" s="38" t="s">
        <v>29</v>
      </c>
      <c r="G56" s="40" t="s">
        <v>30</v>
      </c>
      <c r="H56" s="40">
        <f>COUNTIF(M10:M51, "A (Plain)")</f>
        <v>0</v>
      </c>
      <c r="I56" s="1"/>
      <c r="J56" s="1"/>
      <c r="K56" s="1"/>
      <c r="L56" s="1"/>
      <c r="M56" s="1"/>
      <c r="N56" s="1"/>
      <c r="O56" s="41" t="s">
        <v>31</v>
      </c>
      <c r="P56" s="26" t="e">
        <f t="shared" ref="P56:V56" si="2">AVERAGE(P10:P49)</f>
        <v>#DIV/0!</v>
      </c>
      <c r="Q56" s="26" t="e">
        <f t="shared" si="2"/>
        <v>#DIV/0!</v>
      </c>
      <c r="R56" s="26" t="e">
        <f t="shared" si="2"/>
        <v>#DIV/0!</v>
      </c>
      <c r="S56" s="26" t="e">
        <f t="shared" si="2"/>
        <v>#DIV/0!</v>
      </c>
      <c r="T56" s="26" t="e">
        <f t="shared" si="2"/>
        <v>#DIV/0!</v>
      </c>
      <c r="U56" s="26" t="e">
        <f t="shared" si="2"/>
        <v>#DIV/0!</v>
      </c>
      <c r="V56" s="26" t="e">
        <f t="shared" si="2"/>
        <v>#DIV/0!</v>
      </c>
      <c r="W56" s="1"/>
      <c r="X56" s="1"/>
      <c r="Y56" s="1"/>
      <c r="Z56" s="1"/>
      <c r="AA56" s="1"/>
    </row>
    <row r="57" spans="1:27" ht="15.75" customHeight="1">
      <c r="A57" s="1"/>
      <c r="B57" s="21" t="s">
        <v>32</v>
      </c>
      <c r="C57" s="43">
        <v>15</v>
      </c>
      <c r="D57" s="2"/>
      <c r="E57" s="2"/>
      <c r="F57" s="38" t="s">
        <v>33</v>
      </c>
      <c r="G57" s="40" t="s">
        <v>34</v>
      </c>
      <c r="H57" s="40">
        <f>COUNTIF(M10:M51, "A- (Minus)")</f>
        <v>0</v>
      </c>
      <c r="I57" s="1"/>
      <c r="J57" s="1"/>
      <c r="K57" s="1"/>
      <c r="L57" s="1"/>
      <c r="M57" s="1"/>
      <c r="N57" s="1"/>
      <c r="O57" s="41" t="s">
        <v>35</v>
      </c>
      <c r="P57" s="26">
        <f t="shared" ref="P57:V57" si="3">MIN(P10:P49)</f>
        <v>0</v>
      </c>
      <c r="Q57" s="42">
        <f t="shared" si="3"/>
        <v>0</v>
      </c>
      <c r="R57" s="42">
        <f t="shared" si="3"/>
        <v>0</v>
      </c>
      <c r="S57" s="42">
        <f t="shared" si="3"/>
        <v>0</v>
      </c>
      <c r="T57" s="42">
        <f t="shared" si="3"/>
        <v>0</v>
      </c>
      <c r="U57" s="42">
        <f t="shared" si="3"/>
        <v>0</v>
      </c>
      <c r="V57" s="42">
        <f t="shared" si="3"/>
        <v>0</v>
      </c>
      <c r="W57" s="1"/>
      <c r="X57" s="1"/>
      <c r="Y57" s="1"/>
      <c r="Z57" s="1"/>
      <c r="AA57" s="1"/>
    </row>
    <row r="58" spans="1:27" ht="15.75" customHeight="1">
      <c r="A58" s="1"/>
      <c r="B58" s="21" t="s">
        <v>12</v>
      </c>
      <c r="C58" s="43">
        <v>10</v>
      </c>
      <c r="D58" s="2"/>
      <c r="E58" s="2"/>
      <c r="F58" s="38" t="s">
        <v>36</v>
      </c>
      <c r="G58" s="40" t="s">
        <v>37</v>
      </c>
      <c r="H58" s="40">
        <f>COUNTIF(M10:M51, "B+ (Plus)")</f>
        <v>0</v>
      </c>
      <c r="I58" s="1"/>
      <c r="J58" s="1"/>
      <c r="K58" s="1"/>
      <c r="L58" s="1"/>
      <c r="M58" s="1"/>
      <c r="N58" s="1"/>
      <c r="O58" s="1"/>
      <c r="P58" s="1"/>
      <c r="Q58" s="44"/>
      <c r="R58" s="44"/>
      <c r="S58" s="44"/>
      <c r="T58" s="44"/>
      <c r="U58" s="44"/>
      <c r="V58" s="44"/>
      <c r="W58" s="1"/>
      <c r="X58" s="1"/>
      <c r="Y58" s="1"/>
      <c r="Z58" s="1"/>
      <c r="AA58" s="1"/>
    </row>
    <row r="59" spans="1:27" ht="15.75" customHeight="1">
      <c r="A59" s="1"/>
      <c r="B59" s="21" t="s">
        <v>38</v>
      </c>
      <c r="C59" s="43">
        <v>25</v>
      </c>
      <c r="D59" s="2"/>
      <c r="E59" s="2"/>
      <c r="F59" s="38" t="s">
        <v>39</v>
      </c>
      <c r="G59" s="40" t="s">
        <v>40</v>
      </c>
      <c r="H59" s="40">
        <f>COUNTIF(M10:M51, "B (Plain)")</f>
        <v>0</v>
      </c>
      <c r="I59" s="1"/>
      <c r="J59" s="1"/>
      <c r="K59" s="1"/>
      <c r="L59" s="1"/>
      <c r="M59" s="1"/>
      <c r="N59" s="1"/>
      <c r="O59" s="1"/>
      <c r="P59" s="1"/>
      <c r="Q59" s="44"/>
      <c r="R59" s="44"/>
      <c r="S59" s="44"/>
      <c r="T59" s="44"/>
      <c r="U59" s="44"/>
      <c r="V59" s="44"/>
      <c r="W59" s="1"/>
      <c r="X59" s="1"/>
      <c r="Y59" s="1"/>
      <c r="Z59" s="1"/>
      <c r="AA59" s="1"/>
    </row>
    <row r="60" spans="1:27" ht="15.75" customHeight="1">
      <c r="A60" s="1"/>
      <c r="B60" s="21" t="s">
        <v>41</v>
      </c>
      <c r="C60" s="43">
        <v>0</v>
      </c>
      <c r="D60" s="2"/>
      <c r="E60" s="2"/>
      <c r="F60" s="38" t="s">
        <v>42</v>
      </c>
      <c r="G60" s="40" t="s">
        <v>43</v>
      </c>
      <c r="H60" s="40">
        <f>COUNTIF($M$10:$M$51, "B- (Minus)")</f>
        <v>0</v>
      </c>
      <c r="I60" s="1"/>
      <c r="J60" s="1"/>
      <c r="K60" s="1"/>
      <c r="L60" s="1"/>
      <c r="M60" s="1"/>
      <c r="N60" s="1"/>
      <c r="O60" s="1"/>
      <c r="P60" s="1"/>
      <c r="Q60" s="44"/>
      <c r="R60" s="44"/>
      <c r="S60" s="44"/>
      <c r="T60" s="44"/>
      <c r="U60" s="44"/>
      <c r="V60" s="44"/>
      <c r="W60" s="1"/>
      <c r="X60" s="1"/>
      <c r="Y60" s="1"/>
      <c r="Z60" s="1"/>
      <c r="AA60" s="1"/>
    </row>
    <row r="61" spans="1:27" ht="15.75" customHeight="1">
      <c r="A61" s="1"/>
      <c r="B61" s="21" t="s">
        <v>44</v>
      </c>
      <c r="C61" s="43">
        <v>40</v>
      </c>
      <c r="D61" s="2"/>
      <c r="E61" s="2"/>
      <c r="F61" s="38" t="s">
        <v>45</v>
      </c>
      <c r="G61" s="40" t="s">
        <v>46</v>
      </c>
      <c r="H61" s="40">
        <f>COUNTIF(M10:M51, "C+ (Plus)")</f>
        <v>0</v>
      </c>
      <c r="I61" s="1"/>
      <c r="J61" s="1"/>
      <c r="K61" s="1"/>
      <c r="L61" s="1"/>
      <c r="M61" s="1"/>
      <c r="N61" s="1"/>
      <c r="O61" s="1"/>
      <c r="P61" s="1"/>
      <c r="Q61" s="44"/>
      <c r="R61" s="44"/>
      <c r="S61" s="44"/>
      <c r="T61" s="44"/>
      <c r="U61" s="44"/>
      <c r="V61" s="44"/>
      <c r="W61" s="1"/>
      <c r="X61" s="1"/>
      <c r="Y61" s="1"/>
      <c r="Z61" s="1"/>
      <c r="AA61" s="1"/>
    </row>
    <row r="62" spans="1:27" ht="15.75" customHeight="1">
      <c r="A62" s="1"/>
      <c r="B62" s="21" t="s">
        <v>47</v>
      </c>
      <c r="C62" s="21">
        <f>SUM(C55:C61)</f>
        <v>100</v>
      </c>
      <c r="D62" s="45"/>
      <c r="E62" s="45"/>
      <c r="F62" s="38" t="s">
        <v>48</v>
      </c>
      <c r="G62" s="40" t="s">
        <v>49</v>
      </c>
      <c r="H62" s="40">
        <f>COUNTIF(M10:M51, "C (Plain)")</f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>
      <c r="A63" s="1"/>
      <c r="B63" s="2"/>
      <c r="C63" s="3"/>
      <c r="D63" s="1"/>
      <c r="E63" s="1"/>
      <c r="F63" s="38" t="s">
        <v>50</v>
      </c>
      <c r="G63" s="40" t="s">
        <v>51</v>
      </c>
      <c r="H63" s="40">
        <f>COUNTIF(M10:M51, "D (Plain)")</f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>
      <c r="A64" s="1"/>
      <c r="B64" s="2"/>
      <c r="C64" s="3"/>
      <c r="D64" s="1"/>
      <c r="E64" s="1"/>
      <c r="F64" s="38" t="s">
        <v>52</v>
      </c>
      <c r="G64" s="40" t="s">
        <v>53</v>
      </c>
      <c r="H64" s="40">
        <f>COUNTIF(M10:M51, "F (Fail)")</f>
        <v>42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>
      <c r="A65" s="1"/>
      <c r="B65" s="2"/>
      <c r="C65" s="3"/>
      <c r="D65" s="1"/>
      <c r="E65" s="1"/>
      <c r="F65" s="46" t="s">
        <v>54</v>
      </c>
      <c r="G65" s="40" t="s">
        <v>55</v>
      </c>
      <c r="H65" s="40">
        <f>COUNTIF(M10:M51, "I (Incomplete)")</f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>
      <c r="A66" s="1"/>
      <c r="B66" s="233" t="str">
        <f>GradeSheet!$H$5</f>
        <v>Rubaiya Hafiz</v>
      </c>
      <c r="C66" s="217"/>
      <c r="D66" s="1"/>
      <c r="E66" s="1"/>
      <c r="F66" s="46" t="s">
        <v>56</v>
      </c>
      <c r="G66" s="40" t="s">
        <v>57</v>
      </c>
      <c r="H66" s="40">
        <f>COUNTIF(M10:M51, "W (Withdrawn)")</f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>
      <c r="A67" s="1"/>
      <c r="B67" s="238" t="s">
        <v>58</v>
      </c>
      <c r="C67" s="239"/>
      <c r="D67" s="1"/>
      <c r="E67" s="1"/>
      <c r="F67" s="46" t="s">
        <v>59</v>
      </c>
      <c r="G67" s="46"/>
      <c r="H67" s="40">
        <f>SUM(H55:H66)</f>
        <v>42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>
      <c r="A68" s="1"/>
      <c r="B68" s="238" t="s">
        <v>60</v>
      </c>
      <c r="C68" s="239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>
      <c r="A69" s="1"/>
      <c r="B69" s="2"/>
      <c r="C69" s="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>
      <c r="A70" s="1"/>
      <c r="B70" s="2"/>
      <c r="C70" s="3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>
      <c r="A71" s="1"/>
      <c r="B71" s="2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2"/>
      <c r="C72" s="3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>
      <c r="A73" s="1"/>
      <c r="B73" s="2"/>
      <c r="C73" s="3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>
      <c r="A74" s="1"/>
      <c r="B74" s="2"/>
      <c r="C74" s="3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>
      <c r="A75" s="1"/>
      <c r="B75" s="2"/>
      <c r="C75" s="3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>
      <c r="A76" s="1"/>
      <c r="B76" s="2"/>
      <c r="C76" s="3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>
      <c r="A77" s="1"/>
      <c r="B77" s="2"/>
      <c r="C77" s="3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>
      <c r="A78" s="1"/>
      <c r="B78" s="2"/>
      <c r="C78" s="3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>
      <c r="A79" s="1"/>
      <c r="B79" s="2"/>
      <c r="C79" s="3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>
      <c r="A80" s="1"/>
      <c r="B80" s="2"/>
      <c r="C80" s="3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>
      <c r="A81" s="1"/>
      <c r="B81" s="2"/>
      <c r="C81" s="3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>
      <c r="A82" s="1"/>
      <c r="B82" s="2"/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>
      <c r="A83" s="1"/>
      <c r="B83" s="2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6.5" customHeight="1">
      <c r="A84" s="1"/>
      <c r="B84" s="2"/>
      <c r="C84" s="3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>
      <c r="A85" s="1"/>
      <c r="B85" s="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2"/>
      <c r="C86" s="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2"/>
      <c r="C87" s="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2"/>
      <c r="C88" s="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2"/>
      <c r="C89" s="3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2"/>
      <c r="C90" s="3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2"/>
      <c r="C91" s="3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2"/>
      <c r="C92" s="3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22.5" customHeight="1">
      <c r="A93" s="1"/>
      <c r="B93" s="2"/>
      <c r="C93" s="3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2"/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6.5" customHeight="1">
      <c r="A103" s="1"/>
      <c r="B103" s="2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2"/>
      <c r="C104" s="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2"/>
      <c r="C105" s="3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2"/>
      <c r="C106" s="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2"/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2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2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2"/>
      <c r="C118" s="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2"/>
      <c r="C119" s="3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2"/>
      <c r="C120" s="3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2"/>
      <c r="C121" s="3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2"/>
      <c r="C122" s="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2"/>
      <c r="C123" s="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2"/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2"/>
      <c r="C130" s="3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2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2"/>
      <c r="C134" s="3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2"/>
      <c r="C135" s="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2"/>
      <c r="C136" s="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2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2"/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2"/>
      <c r="C143" s="3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2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2"/>
      <c r="C147" s="3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2"/>
      <c r="C148" s="3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2"/>
      <c r="C149" s="3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2"/>
      <c r="C150" s="3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2"/>
      <c r="C151" s="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2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2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2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2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2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2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2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2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2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2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2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2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2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2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2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2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2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2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2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2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2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2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2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2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2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2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2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2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2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2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2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2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2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2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2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2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2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2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2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2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2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2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2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2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2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2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2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2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2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2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2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2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2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2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2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2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2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2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2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2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2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2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2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2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2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2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2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2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2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2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2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2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2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2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2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2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2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2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2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2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2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2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2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2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2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2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A259" s="1"/>
      <c r="B259" s="2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>
      <c r="A260" s="1"/>
      <c r="B260" s="2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>
      <c r="A261" s="1"/>
      <c r="B261" s="2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>
      <c r="A262" s="1"/>
      <c r="B262" s="2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>
      <c r="A263" s="1"/>
      <c r="B263" s="2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>
      <c r="A264" s="1"/>
      <c r="B264" s="2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>
      <c r="A265" s="1"/>
      <c r="B265" s="2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>
      <c r="A266" s="1"/>
      <c r="B266" s="2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>
      <c r="A267" s="1"/>
      <c r="B267" s="2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>
      <c r="A268" s="1"/>
      <c r="B268" s="2"/>
      <c r="C268" s="3"/>
      <c r="D268" s="1"/>
      <c r="E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>
      <c r="B269" s="9"/>
      <c r="C269" s="10"/>
    </row>
    <row r="270" spans="1:27" ht="15.75" customHeight="1">
      <c r="B270" s="9"/>
      <c r="C270" s="10"/>
    </row>
    <row r="271" spans="1:27" ht="15.75" customHeight="1">
      <c r="B271" s="9"/>
      <c r="C271" s="10"/>
    </row>
    <row r="272" spans="1:27" ht="15.75" customHeight="1">
      <c r="B272" s="9"/>
      <c r="C272" s="10"/>
    </row>
    <row r="273" spans="2:3" ht="15.75" customHeight="1">
      <c r="B273" s="9"/>
      <c r="C273" s="10"/>
    </row>
    <row r="274" spans="2:3" ht="15.75" customHeight="1">
      <c r="B274" s="9"/>
      <c r="C274" s="10"/>
    </row>
    <row r="275" spans="2:3" ht="15.75" customHeight="1">
      <c r="B275" s="9"/>
      <c r="C275" s="10"/>
    </row>
    <row r="276" spans="2:3" ht="15.75" customHeight="1">
      <c r="B276" s="9"/>
      <c r="C276" s="10"/>
    </row>
    <row r="277" spans="2:3" ht="15.75" customHeight="1">
      <c r="B277" s="9"/>
      <c r="C277" s="10"/>
    </row>
    <row r="278" spans="2:3" ht="15.75" customHeight="1">
      <c r="B278" s="9"/>
      <c r="C278" s="10"/>
    </row>
    <row r="279" spans="2:3" ht="15.75" customHeight="1">
      <c r="B279" s="9"/>
      <c r="C279" s="10"/>
    </row>
    <row r="280" spans="2:3" ht="15.75" customHeight="1">
      <c r="B280" s="9"/>
      <c r="C280" s="10"/>
    </row>
    <row r="281" spans="2:3" ht="15.75" customHeight="1">
      <c r="B281" s="9"/>
      <c r="C281" s="10"/>
    </row>
    <row r="282" spans="2:3" ht="15.75" customHeight="1">
      <c r="B282" s="9"/>
      <c r="C282" s="10"/>
    </row>
    <row r="283" spans="2:3" ht="15.75" customHeight="1">
      <c r="B283" s="9"/>
      <c r="C283" s="10"/>
    </row>
    <row r="284" spans="2:3" ht="15.75" customHeight="1">
      <c r="B284" s="9"/>
      <c r="C284" s="10"/>
    </row>
    <row r="285" spans="2:3" ht="15.75" customHeight="1">
      <c r="B285" s="9"/>
      <c r="C285" s="10"/>
    </row>
    <row r="286" spans="2:3" ht="15.75" customHeight="1">
      <c r="B286" s="9"/>
      <c r="C286" s="10"/>
    </row>
    <row r="287" spans="2:3" ht="15.75" customHeight="1">
      <c r="B287" s="9"/>
      <c r="C287" s="10"/>
    </row>
    <row r="288" spans="2:3" ht="15.75" customHeight="1">
      <c r="B288" s="9"/>
      <c r="C288" s="10"/>
    </row>
    <row r="289" spans="2:3" ht="15.75" customHeight="1">
      <c r="B289" s="9"/>
      <c r="C289" s="10"/>
    </row>
    <row r="290" spans="2:3" ht="15.75" customHeight="1">
      <c r="B290" s="9"/>
      <c r="C290" s="10"/>
    </row>
    <row r="291" spans="2:3" ht="15.75" customHeight="1">
      <c r="B291" s="9"/>
      <c r="C291" s="10"/>
    </row>
    <row r="292" spans="2:3" ht="15.75" customHeight="1">
      <c r="B292" s="9"/>
      <c r="C292" s="10"/>
    </row>
    <row r="293" spans="2:3" ht="15.75" customHeight="1">
      <c r="B293" s="9"/>
      <c r="C293" s="10"/>
    </row>
    <row r="294" spans="2:3" ht="15.75" customHeight="1">
      <c r="B294" s="9"/>
      <c r="C294" s="10"/>
    </row>
    <row r="295" spans="2:3" ht="15.75" customHeight="1">
      <c r="B295" s="9"/>
      <c r="C295" s="10"/>
    </row>
    <row r="296" spans="2:3" ht="15.75" customHeight="1">
      <c r="B296" s="9"/>
      <c r="C296" s="10"/>
    </row>
    <row r="297" spans="2:3" ht="15.75" customHeight="1">
      <c r="B297" s="9"/>
      <c r="C297" s="10"/>
    </row>
    <row r="298" spans="2:3" ht="15.75" customHeight="1">
      <c r="B298" s="9"/>
      <c r="C298" s="10"/>
    </row>
    <row r="299" spans="2:3" ht="15.75" customHeight="1">
      <c r="B299" s="9"/>
      <c r="C299" s="10"/>
    </row>
    <row r="300" spans="2:3" ht="15.75" customHeight="1">
      <c r="B300" s="9"/>
      <c r="C300" s="10"/>
    </row>
    <row r="301" spans="2:3" ht="15.75" customHeight="1">
      <c r="B301" s="9"/>
      <c r="C301" s="10"/>
    </row>
    <row r="302" spans="2:3" ht="15.75" customHeight="1">
      <c r="B302" s="9"/>
      <c r="C302" s="10"/>
    </row>
    <row r="303" spans="2:3" ht="15.75" customHeight="1">
      <c r="B303" s="9"/>
      <c r="C303" s="10"/>
    </row>
    <row r="304" spans="2:3" ht="15.75" customHeight="1">
      <c r="B304" s="9"/>
      <c r="C304" s="10"/>
    </row>
    <row r="305" spans="2:3" ht="15.75" customHeight="1">
      <c r="B305" s="9"/>
      <c r="C305" s="10"/>
    </row>
    <row r="306" spans="2:3" ht="15.75" customHeight="1">
      <c r="B306" s="9"/>
      <c r="C306" s="10"/>
    </row>
    <row r="307" spans="2:3" ht="15.75" customHeight="1">
      <c r="B307" s="9"/>
      <c r="C307" s="10"/>
    </row>
    <row r="308" spans="2:3" ht="15.75" customHeight="1">
      <c r="B308" s="9"/>
      <c r="C308" s="10"/>
    </row>
    <row r="309" spans="2:3" ht="15.75" customHeight="1">
      <c r="B309" s="9"/>
      <c r="C309" s="10"/>
    </row>
    <row r="310" spans="2:3" ht="15.75" customHeight="1">
      <c r="B310" s="9"/>
      <c r="C310" s="10"/>
    </row>
    <row r="311" spans="2:3" ht="15.75" customHeight="1">
      <c r="B311" s="9"/>
      <c r="C311" s="10"/>
    </row>
    <row r="312" spans="2:3" ht="15.75" customHeight="1">
      <c r="B312" s="9"/>
      <c r="C312" s="10"/>
    </row>
    <row r="313" spans="2:3" ht="15.75" customHeight="1">
      <c r="B313" s="9"/>
      <c r="C313" s="10"/>
    </row>
    <row r="314" spans="2:3" ht="15.75" customHeight="1">
      <c r="B314" s="9"/>
      <c r="C314" s="10"/>
    </row>
    <row r="315" spans="2:3" ht="15.75" customHeight="1">
      <c r="B315" s="9"/>
      <c r="C315" s="10"/>
    </row>
    <row r="316" spans="2:3" ht="15.75" customHeight="1">
      <c r="B316" s="9"/>
      <c r="C316" s="10"/>
    </row>
    <row r="317" spans="2:3" ht="15.75" customHeight="1">
      <c r="B317" s="9"/>
      <c r="C317" s="10"/>
    </row>
    <row r="318" spans="2:3" ht="15.75" customHeight="1">
      <c r="B318" s="9"/>
      <c r="C318" s="10"/>
    </row>
    <row r="319" spans="2:3" ht="15.75" customHeight="1">
      <c r="B319" s="9"/>
      <c r="C319" s="10"/>
    </row>
    <row r="320" spans="2:3" ht="15.75" customHeight="1">
      <c r="B320" s="9"/>
      <c r="C320" s="10"/>
    </row>
    <row r="321" spans="2:3" ht="15.75" customHeight="1">
      <c r="B321" s="9"/>
      <c r="C321" s="10"/>
    </row>
    <row r="322" spans="2:3" ht="15.75" customHeight="1">
      <c r="B322" s="9"/>
      <c r="C322" s="10"/>
    </row>
    <row r="323" spans="2:3" ht="15.75" customHeight="1">
      <c r="B323" s="9"/>
      <c r="C323" s="10"/>
    </row>
    <row r="324" spans="2:3" ht="15.75" customHeight="1">
      <c r="B324" s="9"/>
      <c r="C324" s="10"/>
    </row>
    <row r="325" spans="2:3" ht="15.75" customHeight="1">
      <c r="B325" s="9"/>
      <c r="C325" s="10"/>
    </row>
    <row r="326" spans="2:3" ht="15.75" customHeight="1">
      <c r="B326" s="9"/>
      <c r="C326" s="10"/>
    </row>
    <row r="327" spans="2:3" ht="15.75" customHeight="1">
      <c r="B327" s="9"/>
      <c r="C327" s="10"/>
    </row>
    <row r="328" spans="2:3" ht="15.75" customHeight="1">
      <c r="B328" s="9"/>
      <c r="C328" s="10"/>
    </row>
    <row r="329" spans="2:3" ht="15.75" customHeight="1">
      <c r="B329" s="9"/>
      <c r="C329" s="10"/>
    </row>
    <row r="330" spans="2:3" ht="15.75" customHeight="1">
      <c r="B330" s="9"/>
      <c r="C330" s="10"/>
    </row>
    <row r="331" spans="2:3" ht="15.75" customHeight="1">
      <c r="B331" s="9"/>
      <c r="C331" s="10"/>
    </row>
    <row r="332" spans="2:3" ht="15.75" customHeight="1">
      <c r="B332" s="9"/>
      <c r="C332" s="10"/>
    </row>
    <row r="333" spans="2:3" ht="15.75" customHeight="1">
      <c r="B333" s="9"/>
      <c r="C333" s="10"/>
    </row>
    <row r="334" spans="2:3" ht="15.75" customHeight="1">
      <c r="B334" s="9"/>
      <c r="C334" s="10"/>
    </row>
    <row r="335" spans="2:3" ht="15.75" customHeight="1">
      <c r="B335" s="9"/>
      <c r="C335" s="10"/>
    </row>
    <row r="336" spans="2:3" ht="15.75" customHeight="1">
      <c r="B336" s="9"/>
      <c r="C336" s="10"/>
    </row>
    <row r="337" spans="2:3" ht="15.75" customHeight="1">
      <c r="B337" s="9"/>
      <c r="C337" s="10"/>
    </row>
    <row r="338" spans="2:3" ht="15.75" customHeight="1">
      <c r="B338" s="9"/>
      <c r="C338" s="10"/>
    </row>
    <row r="339" spans="2:3" ht="15.75" customHeight="1">
      <c r="B339" s="9"/>
      <c r="C339" s="10"/>
    </row>
    <row r="340" spans="2:3" ht="15.75" customHeight="1">
      <c r="B340" s="9"/>
      <c r="C340" s="10"/>
    </row>
    <row r="341" spans="2:3" ht="15.75" customHeight="1">
      <c r="B341" s="9"/>
      <c r="C341" s="10"/>
    </row>
    <row r="342" spans="2:3" ht="15.75" customHeight="1">
      <c r="B342" s="9"/>
      <c r="C342" s="10"/>
    </row>
    <row r="343" spans="2:3" ht="15.75" customHeight="1">
      <c r="B343" s="9"/>
      <c r="C343" s="10"/>
    </row>
    <row r="344" spans="2:3" ht="15.75" customHeight="1">
      <c r="B344" s="9"/>
      <c r="C344" s="10"/>
    </row>
    <row r="345" spans="2:3" ht="15.75" customHeight="1">
      <c r="B345" s="9"/>
      <c r="C345" s="10"/>
    </row>
    <row r="346" spans="2:3" ht="15.75" customHeight="1">
      <c r="B346" s="9"/>
      <c r="C346" s="10"/>
    </row>
    <row r="347" spans="2:3" ht="15.75" customHeight="1">
      <c r="B347" s="9"/>
      <c r="C347" s="10"/>
    </row>
    <row r="348" spans="2:3" ht="15.75" customHeight="1">
      <c r="B348" s="9"/>
      <c r="C348" s="10"/>
    </row>
    <row r="349" spans="2:3" ht="15.75" customHeight="1">
      <c r="B349" s="9"/>
      <c r="C349" s="10"/>
    </row>
    <row r="350" spans="2:3" ht="15.75" customHeight="1">
      <c r="B350" s="9"/>
      <c r="C350" s="10"/>
    </row>
    <row r="351" spans="2:3" ht="15.75" customHeight="1">
      <c r="B351" s="9"/>
      <c r="C351" s="10"/>
    </row>
    <row r="352" spans="2:3" ht="15.75" customHeight="1">
      <c r="B352" s="9"/>
      <c r="C352" s="10"/>
    </row>
    <row r="353" spans="2:3" ht="15.75" customHeight="1">
      <c r="B353" s="9"/>
      <c r="C353" s="10"/>
    </row>
    <row r="354" spans="2:3" ht="15.75" customHeight="1">
      <c r="B354" s="9"/>
      <c r="C354" s="10"/>
    </row>
    <row r="355" spans="2:3" ht="15.75" customHeight="1">
      <c r="B355" s="9"/>
      <c r="C355" s="10"/>
    </row>
    <row r="356" spans="2:3" ht="15.75" customHeight="1">
      <c r="B356" s="9"/>
      <c r="C356" s="10"/>
    </row>
    <row r="357" spans="2:3" ht="15.75" customHeight="1">
      <c r="B357" s="9"/>
      <c r="C357" s="10"/>
    </row>
    <row r="358" spans="2:3" ht="15.75" customHeight="1">
      <c r="B358" s="9"/>
      <c r="C358" s="10"/>
    </row>
    <row r="359" spans="2:3" ht="15.75" customHeight="1">
      <c r="B359" s="9"/>
      <c r="C359" s="10"/>
    </row>
    <row r="360" spans="2:3" ht="15.75" customHeight="1">
      <c r="B360" s="9"/>
      <c r="C360" s="10"/>
    </row>
    <row r="361" spans="2:3" ht="15.75" customHeight="1">
      <c r="B361" s="9"/>
      <c r="C361" s="10"/>
    </row>
    <row r="362" spans="2:3" ht="15.75" customHeight="1">
      <c r="B362" s="9"/>
      <c r="C362" s="10"/>
    </row>
    <row r="363" spans="2:3" ht="15.75" customHeight="1">
      <c r="B363" s="9"/>
      <c r="C363" s="10"/>
    </row>
    <row r="364" spans="2:3" ht="15.75" customHeight="1">
      <c r="B364" s="9"/>
      <c r="C364" s="10"/>
    </row>
    <row r="365" spans="2:3" ht="15.75" customHeight="1">
      <c r="B365" s="9"/>
      <c r="C365" s="10"/>
    </row>
    <row r="366" spans="2:3" ht="15.75" customHeight="1">
      <c r="B366" s="9"/>
      <c r="C366" s="10"/>
    </row>
    <row r="367" spans="2:3" ht="15.75" customHeight="1">
      <c r="B367" s="9"/>
      <c r="C367" s="10"/>
    </row>
    <row r="368" spans="2:3" ht="15.75" customHeight="1">
      <c r="B368" s="9"/>
      <c r="C368" s="10"/>
    </row>
    <row r="369" spans="2:3" ht="15.75" customHeight="1">
      <c r="B369" s="9"/>
      <c r="C369" s="10"/>
    </row>
    <row r="370" spans="2:3" ht="15.75" customHeight="1">
      <c r="B370" s="9"/>
      <c r="C370" s="10"/>
    </row>
    <row r="371" spans="2:3" ht="15.75" customHeight="1">
      <c r="B371" s="9"/>
      <c r="C371" s="10"/>
    </row>
    <row r="372" spans="2:3" ht="15.75" customHeight="1">
      <c r="B372" s="9"/>
      <c r="C372" s="10"/>
    </row>
    <row r="373" spans="2:3" ht="15.75" customHeight="1">
      <c r="B373" s="9"/>
      <c r="C373" s="10"/>
    </row>
    <row r="374" spans="2:3" ht="15.75" customHeight="1">
      <c r="B374" s="9"/>
      <c r="C374" s="10"/>
    </row>
    <row r="375" spans="2:3" ht="15.75" customHeight="1">
      <c r="B375" s="9"/>
      <c r="C375" s="10"/>
    </row>
    <row r="376" spans="2:3" ht="15.75" customHeight="1">
      <c r="B376" s="9"/>
      <c r="C376" s="10"/>
    </row>
    <row r="377" spans="2:3" ht="15.75" customHeight="1">
      <c r="B377" s="9"/>
      <c r="C377" s="10"/>
    </row>
    <row r="378" spans="2:3" ht="15.75" customHeight="1">
      <c r="B378" s="9"/>
      <c r="C378" s="10"/>
    </row>
    <row r="379" spans="2:3" ht="15.75" customHeight="1">
      <c r="B379" s="9"/>
      <c r="C379" s="10"/>
    </row>
    <row r="380" spans="2:3" ht="15.75" customHeight="1">
      <c r="B380" s="9"/>
      <c r="C380" s="10"/>
    </row>
    <row r="381" spans="2:3" ht="15.75" customHeight="1">
      <c r="B381" s="9"/>
      <c r="C381" s="10"/>
    </row>
    <row r="382" spans="2:3" ht="15.75" customHeight="1">
      <c r="B382" s="9"/>
      <c r="C382" s="10"/>
    </row>
    <row r="383" spans="2:3" ht="15.75" customHeight="1">
      <c r="B383" s="9"/>
      <c r="C383" s="10"/>
    </row>
    <row r="384" spans="2:3" ht="15.75" customHeight="1">
      <c r="B384" s="9"/>
      <c r="C384" s="10"/>
    </row>
    <row r="385" spans="2:3" ht="15.75" customHeight="1">
      <c r="B385" s="9"/>
      <c r="C385" s="10"/>
    </row>
    <row r="386" spans="2:3" ht="15.75" customHeight="1">
      <c r="B386" s="9"/>
      <c r="C386" s="10"/>
    </row>
    <row r="387" spans="2:3" ht="15.75" customHeight="1">
      <c r="B387" s="9"/>
      <c r="C387" s="10"/>
    </row>
    <row r="388" spans="2:3" ht="15.75" customHeight="1">
      <c r="B388" s="9"/>
      <c r="C388" s="10"/>
    </row>
    <row r="389" spans="2:3" ht="15.75" customHeight="1">
      <c r="B389" s="9"/>
      <c r="C389" s="10"/>
    </row>
    <row r="390" spans="2:3" ht="15.75" customHeight="1">
      <c r="B390" s="9"/>
      <c r="C390" s="10"/>
    </row>
    <row r="391" spans="2:3" ht="15.75" customHeight="1">
      <c r="B391" s="9"/>
      <c r="C391" s="10"/>
    </row>
    <row r="392" spans="2:3" ht="15.75" customHeight="1">
      <c r="B392" s="9"/>
      <c r="C392" s="10"/>
    </row>
    <row r="393" spans="2:3" ht="15.75" customHeight="1">
      <c r="B393" s="9"/>
      <c r="C393" s="10"/>
    </row>
    <row r="394" spans="2:3" ht="15.75" customHeight="1">
      <c r="B394" s="9"/>
      <c r="C394" s="10"/>
    </row>
    <row r="395" spans="2:3" ht="15.75" customHeight="1">
      <c r="B395" s="9"/>
      <c r="C395" s="10"/>
    </row>
    <row r="396" spans="2:3" ht="15.75" customHeight="1">
      <c r="B396" s="9"/>
      <c r="C396" s="10"/>
    </row>
    <row r="397" spans="2:3" ht="15.75" customHeight="1">
      <c r="B397" s="9"/>
      <c r="C397" s="10"/>
    </row>
    <row r="398" spans="2:3" ht="15.75" customHeight="1">
      <c r="B398" s="9"/>
      <c r="C398" s="10"/>
    </row>
    <row r="399" spans="2:3" ht="15.75" customHeight="1">
      <c r="B399" s="9"/>
      <c r="C399" s="10"/>
    </row>
    <row r="400" spans="2:3" ht="15.75" customHeight="1">
      <c r="B400" s="9"/>
      <c r="C400" s="10"/>
    </row>
    <row r="401" spans="2:3" ht="15.75" customHeight="1">
      <c r="B401" s="9"/>
      <c r="C401" s="10"/>
    </row>
    <row r="402" spans="2:3" ht="15.75" customHeight="1">
      <c r="B402" s="9"/>
      <c r="C402" s="10"/>
    </row>
    <row r="403" spans="2:3" ht="15.75" customHeight="1">
      <c r="B403" s="9"/>
      <c r="C403" s="10"/>
    </row>
    <row r="404" spans="2:3" ht="15.75" customHeight="1">
      <c r="B404" s="9"/>
      <c r="C404" s="10"/>
    </row>
    <row r="405" spans="2:3" ht="15.75" customHeight="1">
      <c r="B405" s="9"/>
      <c r="C405" s="10"/>
    </row>
    <row r="406" spans="2:3" ht="15.75" customHeight="1">
      <c r="B406" s="9"/>
      <c r="C406" s="10"/>
    </row>
    <row r="407" spans="2:3" ht="15.75" customHeight="1">
      <c r="B407" s="9"/>
      <c r="C407" s="10"/>
    </row>
    <row r="408" spans="2:3" ht="15.75" customHeight="1">
      <c r="B408" s="9"/>
      <c r="C408" s="10"/>
    </row>
    <row r="409" spans="2:3" ht="15.75" customHeight="1">
      <c r="B409" s="9"/>
      <c r="C409" s="10"/>
    </row>
    <row r="410" spans="2:3" ht="15.75" customHeight="1">
      <c r="B410" s="9"/>
      <c r="C410" s="10"/>
    </row>
    <row r="411" spans="2:3" ht="15.75" customHeight="1">
      <c r="B411" s="9"/>
      <c r="C411" s="10"/>
    </row>
    <row r="412" spans="2:3" ht="15.75" customHeight="1">
      <c r="B412" s="9"/>
      <c r="C412" s="10"/>
    </row>
    <row r="413" spans="2:3" ht="15.75" customHeight="1">
      <c r="B413" s="9"/>
      <c r="C413" s="10"/>
    </row>
    <row r="414" spans="2:3" ht="15.75" customHeight="1">
      <c r="B414" s="9"/>
      <c r="C414" s="10"/>
    </row>
    <row r="415" spans="2:3" ht="15.75" customHeight="1">
      <c r="B415" s="9"/>
      <c r="C415" s="10"/>
    </row>
    <row r="416" spans="2:3" ht="15.75" customHeight="1">
      <c r="B416" s="9"/>
      <c r="C416" s="10"/>
    </row>
    <row r="417" spans="2:3" ht="15.75" customHeight="1">
      <c r="B417" s="9"/>
      <c r="C417" s="10"/>
    </row>
    <row r="418" spans="2:3" ht="15.75" customHeight="1">
      <c r="B418" s="9"/>
      <c r="C418" s="10"/>
    </row>
    <row r="419" spans="2:3" ht="15.75" customHeight="1">
      <c r="B419" s="9"/>
      <c r="C419" s="10"/>
    </row>
    <row r="420" spans="2:3" ht="15.75" customHeight="1">
      <c r="B420" s="9"/>
      <c r="C420" s="10"/>
    </row>
    <row r="421" spans="2:3" ht="15.75" customHeight="1">
      <c r="B421" s="9"/>
      <c r="C421" s="10"/>
    </row>
    <row r="422" spans="2:3" ht="15.75" customHeight="1">
      <c r="B422" s="9"/>
      <c r="C422" s="10"/>
    </row>
    <row r="423" spans="2:3" ht="15.75" customHeight="1">
      <c r="B423" s="9"/>
      <c r="C423" s="10"/>
    </row>
    <row r="424" spans="2:3" ht="15.75" customHeight="1">
      <c r="B424" s="9"/>
      <c r="C424" s="10"/>
    </row>
    <row r="425" spans="2:3" ht="15.75" customHeight="1">
      <c r="B425" s="9"/>
      <c r="C425" s="10"/>
    </row>
    <row r="426" spans="2:3" ht="15.75" customHeight="1">
      <c r="B426" s="9"/>
      <c r="C426" s="10"/>
    </row>
    <row r="427" spans="2:3" ht="15.75" customHeight="1">
      <c r="B427" s="9"/>
      <c r="C427" s="10"/>
    </row>
    <row r="428" spans="2:3" ht="15.75" customHeight="1">
      <c r="B428" s="9"/>
      <c r="C428" s="10"/>
    </row>
    <row r="429" spans="2:3" ht="15.75" customHeight="1">
      <c r="B429" s="9"/>
      <c r="C429" s="10"/>
    </row>
    <row r="430" spans="2:3" ht="15.75" customHeight="1">
      <c r="B430" s="9"/>
      <c r="C430" s="10"/>
    </row>
    <row r="431" spans="2:3" ht="15.75" customHeight="1">
      <c r="B431" s="9"/>
      <c r="C431" s="10"/>
    </row>
    <row r="432" spans="2:3" ht="15.75" customHeight="1">
      <c r="B432" s="9"/>
      <c r="C432" s="10"/>
    </row>
    <row r="433" spans="2:3" ht="15.75" customHeight="1">
      <c r="B433" s="9"/>
      <c r="C433" s="10"/>
    </row>
    <row r="434" spans="2:3" ht="15.75" customHeight="1">
      <c r="B434" s="9"/>
      <c r="C434" s="10"/>
    </row>
    <row r="435" spans="2:3" ht="15.75" customHeight="1">
      <c r="B435" s="9"/>
      <c r="C435" s="10"/>
    </row>
    <row r="436" spans="2:3" ht="15.75" customHeight="1">
      <c r="B436" s="9"/>
      <c r="C436" s="10"/>
    </row>
    <row r="437" spans="2:3" ht="15.75" customHeight="1">
      <c r="B437" s="9"/>
      <c r="C437" s="10"/>
    </row>
    <row r="438" spans="2:3" ht="15.75" customHeight="1">
      <c r="B438" s="9"/>
      <c r="C438" s="10"/>
    </row>
    <row r="439" spans="2:3" ht="15.75" customHeight="1">
      <c r="B439" s="9"/>
      <c r="C439" s="10"/>
    </row>
    <row r="440" spans="2:3" ht="15.75" customHeight="1">
      <c r="B440" s="9"/>
      <c r="C440" s="10"/>
    </row>
    <row r="441" spans="2:3" ht="15.75" customHeight="1">
      <c r="B441" s="9"/>
      <c r="C441" s="10"/>
    </row>
    <row r="442" spans="2:3" ht="15.75" customHeight="1">
      <c r="B442" s="9"/>
      <c r="C442" s="10"/>
    </row>
    <row r="443" spans="2:3" ht="15.75" customHeight="1">
      <c r="B443" s="9"/>
      <c r="C443" s="10"/>
    </row>
    <row r="444" spans="2:3" ht="15.75" customHeight="1">
      <c r="B444" s="9"/>
      <c r="C444" s="10"/>
    </row>
    <row r="445" spans="2:3" ht="15.75" customHeight="1">
      <c r="B445" s="9"/>
      <c r="C445" s="10"/>
    </row>
    <row r="446" spans="2:3" ht="15.75" customHeight="1">
      <c r="B446" s="9"/>
      <c r="C446" s="10"/>
    </row>
    <row r="447" spans="2:3" ht="15.75" customHeight="1">
      <c r="B447" s="9"/>
      <c r="C447" s="10"/>
    </row>
    <row r="448" spans="2:3" ht="15.75" customHeight="1">
      <c r="B448" s="9"/>
      <c r="C448" s="10"/>
    </row>
    <row r="449" spans="2:3" ht="15.75" customHeight="1">
      <c r="B449" s="9"/>
      <c r="C449" s="10"/>
    </row>
    <row r="450" spans="2:3" ht="15.75" customHeight="1">
      <c r="B450" s="9"/>
      <c r="C450" s="10"/>
    </row>
    <row r="451" spans="2:3" ht="15.75" customHeight="1">
      <c r="B451" s="9"/>
      <c r="C451" s="10"/>
    </row>
    <row r="452" spans="2:3" ht="15.75" customHeight="1">
      <c r="B452" s="9"/>
      <c r="C452" s="10"/>
    </row>
    <row r="453" spans="2:3" ht="15.75" customHeight="1">
      <c r="B453" s="9"/>
      <c r="C453" s="10"/>
    </row>
    <row r="454" spans="2:3" ht="15.75" customHeight="1">
      <c r="B454" s="9"/>
      <c r="C454" s="10"/>
    </row>
    <row r="455" spans="2:3" ht="15.75" customHeight="1">
      <c r="B455" s="9"/>
      <c r="C455" s="10"/>
    </row>
    <row r="456" spans="2:3" ht="15.75" customHeight="1">
      <c r="B456" s="9"/>
      <c r="C456" s="10"/>
    </row>
    <row r="457" spans="2:3" ht="15.75" customHeight="1">
      <c r="B457" s="9"/>
      <c r="C457" s="10"/>
    </row>
    <row r="458" spans="2:3" ht="15.75" customHeight="1">
      <c r="B458" s="9"/>
      <c r="C458" s="10"/>
    </row>
    <row r="459" spans="2:3" ht="15.75" customHeight="1">
      <c r="B459" s="9"/>
      <c r="C459" s="10"/>
    </row>
    <row r="460" spans="2:3" ht="15.75" customHeight="1">
      <c r="B460" s="9"/>
      <c r="C460" s="10"/>
    </row>
    <row r="461" spans="2:3" ht="15.75" customHeight="1">
      <c r="B461" s="9"/>
      <c r="C461" s="10"/>
    </row>
    <row r="462" spans="2:3" ht="15.75" customHeight="1">
      <c r="B462" s="9"/>
      <c r="C462" s="10"/>
    </row>
    <row r="463" spans="2:3" ht="15.75" customHeight="1">
      <c r="B463" s="9"/>
      <c r="C463" s="10"/>
    </row>
    <row r="464" spans="2:3" ht="15.75" customHeight="1">
      <c r="B464" s="9"/>
      <c r="C464" s="10"/>
    </row>
    <row r="465" spans="2:3" ht="15.75" customHeight="1">
      <c r="B465" s="9"/>
      <c r="C465" s="10"/>
    </row>
    <row r="466" spans="2:3" ht="15.75" customHeight="1">
      <c r="B466" s="9"/>
      <c r="C466" s="10"/>
    </row>
    <row r="467" spans="2:3" ht="15.75" customHeight="1">
      <c r="B467" s="9"/>
      <c r="C467" s="10"/>
    </row>
    <row r="468" spans="2:3" ht="15.75" customHeight="1">
      <c r="B468" s="9"/>
      <c r="C468" s="10"/>
    </row>
    <row r="469" spans="2:3" ht="15.75" customHeight="1">
      <c r="B469" s="9"/>
      <c r="C469" s="10"/>
    </row>
    <row r="470" spans="2:3" ht="15.75" customHeight="1">
      <c r="B470" s="9"/>
      <c r="C470" s="10"/>
    </row>
    <row r="471" spans="2:3" ht="15.75" customHeight="1">
      <c r="B471" s="9"/>
      <c r="C471" s="10"/>
    </row>
    <row r="472" spans="2:3" ht="15.75" customHeight="1">
      <c r="B472" s="9"/>
      <c r="C472" s="10"/>
    </row>
    <row r="473" spans="2:3" ht="15.75" customHeight="1">
      <c r="B473" s="9"/>
      <c r="C473" s="10"/>
    </row>
    <row r="474" spans="2:3" ht="15.75" customHeight="1">
      <c r="B474" s="9"/>
      <c r="C474" s="10"/>
    </row>
    <row r="475" spans="2:3" ht="15.75" customHeight="1">
      <c r="B475" s="9"/>
      <c r="C475" s="10"/>
    </row>
    <row r="476" spans="2:3" ht="15.75" customHeight="1">
      <c r="B476" s="9"/>
      <c r="C476" s="10"/>
    </row>
    <row r="477" spans="2:3" ht="15.75" customHeight="1">
      <c r="B477" s="9"/>
      <c r="C477" s="10"/>
    </row>
    <row r="478" spans="2:3" ht="15.75" customHeight="1">
      <c r="B478" s="9"/>
      <c r="C478" s="10"/>
    </row>
    <row r="479" spans="2:3" ht="15.75" customHeight="1">
      <c r="B479" s="9"/>
      <c r="C479" s="10"/>
    </row>
    <row r="480" spans="2:3" ht="15.75" customHeight="1">
      <c r="B480" s="9"/>
      <c r="C480" s="10"/>
    </row>
    <row r="481" spans="2:3" ht="15.75" customHeight="1">
      <c r="B481" s="9"/>
      <c r="C481" s="10"/>
    </row>
    <row r="482" spans="2:3" ht="15.75" customHeight="1">
      <c r="B482" s="9"/>
      <c r="C482" s="10"/>
    </row>
    <row r="483" spans="2:3" ht="15.75" customHeight="1">
      <c r="B483" s="9"/>
      <c r="C483" s="10"/>
    </row>
    <row r="484" spans="2:3" ht="15.75" customHeight="1">
      <c r="B484" s="9"/>
      <c r="C484" s="10"/>
    </row>
    <row r="485" spans="2:3" ht="15.75" customHeight="1">
      <c r="B485" s="9"/>
      <c r="C485" s="10"/>
    </row>
    <row r="486" spans="2:3" ht="15.75" customHeight="1">
      <c r="B486" s="9"/>
      <c r="C486" s="10"/>
    </row>
    <row r="487" spans="2:3" ht="15.75" customHeight="1">
      <c r="B487" s="9"/>
      <c r="C487" s="10"/>
    </row>
    <row r="488" spans="2:3" ht="15.75" customHeight="1">
      <c r="B488" s="9"/>
      <c r="C488" s="10"/>
    </row>
    <row r="489" spans="2:3" ht="15.75" customHeight="1">
      <c r="B489" s="9"/>
      <c r="C489" s="10"/>
    </row>
    <row r="490" spans="2:3" ht="15.75" customHeight="1">
      <c r="B490" s="9"/>
      <c r="C490" s="10"/>
    </row>
    <row r="491" spans="2:3" ht="15.75" customHeight="1">
      <c r="B491" s="9"/>
      <c r="C491" s="10"/>
    </row>
    <row r="492" spans="2:3" ht="15.75" customHeight="1">
      <c r="B492" s="9"/>
      <c r="C492" s="10"/>
    </row>
    <row r="493" spans="2:3" ht="15.75" customHeight="1">
      <c r="B493" s="9"/>
      <c r="C493" s="10"/>
    </row>
    <row r="494" spans="2:3" ht="15.75" customHeight="1">
      <c r="B494" s="9"/>
      <c r="C494" s="10"/>
    </row>
    <row r="495" spans="2:3" ht="15.75" customHeight="1">
      <c r="B495" s="9"/>
      <c r="C495" s="10"/>
    </row>
    <row r="496" spans="2:3" ht="15.75" customHeight="1">
      <c r="B496" s="9"/>
      <c r="C496" s="10"/>
    </row>
    <row r="497" spans="2:3" ht="15.75" customHeight="1">
      <c r="B497" s="9"/>
      <c r="C497" s="10"/>
    </row>
    <row r="498" spans="2:3" ht="15.75" customHeight="1">
      <c r="B498" s="9"/>
      <c r="C498" s="10"/>
    </row>
    <row r="499" spans="2:3" ht="15.75" customHeight="1">
      <c r="B499" s="9"/>
      <c r="C499" s="10"/>
    </row>
    <row r="500" spans="2:3" ht="15.75" customHeight="1">
      <c r="B500" s="9"/>
      <c r="C500" s="10"/>
    </row>
    <row r="501" spans="2:3" ht="15.75" customHeight="1">
      <c r="B501" s="9"/>
      <c r="C501" s="10"/>
    </row>
    <row r="502" spans="2:3" ht="15.75" customHeight="1">
      <c r="B502" s="9"/>
      <c r="C502" s="10"/>
    </row>
    <row r="503" spans="2:3" ht="15.75" customHeight="1">
      <c r="B503" s="9"/>
      <c r="C503" s="10"/>
    </row>
    <row r="504" spans="2:3" ht="15.75" customHeight="1">
      <c r="B504" s="9"/>
      <c r="C504" s="10"/>
    </row>
    <row r="505" spans="2:3" ht="15.75" customHeight="1">
      <c r="B505" s="9"/>
      <c r="C505" s="10"/>
    </row>
    <row r="506" spans="2:3" ht="15.75" customHeight="1">
      <c r="B506" s="9"/>
      <c r="C506" s="10"/>
    </row>
    <row r="507" spans="2:3" ht="15.75" customHeight="1">
      <c r="B507" s="9"/>
      <c r="C507" s="10"/>
    </row>
    <row r="508" spans="2:3" ht="15.75" customHeight="1">
      <c r="B508" s="9"/>
      <c r="C508" s="10"/>
    </row>
    <row r="509" spans="2:3" ht="15.75" customHeight="1">
      <c r="B509" s="9"/>
      <c r="C509" s="10"/>
    </row>
    <row r="510" spans="2:3" ht="15.75" customHeight="1">
      <c r="B510" s="9"/>
      <c r="C510" s="10"/>
    </row>
    <row r="511" spans="2:3" ht="15.75" customHeight="1">
      <c r="B511" s="9"/>
      <c r="C511" s="10"/>
    </row>
    <row r="512" spans="2:3" ht="15.75" customHeight="1">
      <c r="B512" s="9"/>
      <c r="C512" s="10"/>
    </row>
    <row r="513" spans="2:3" ht="15.75" customHeight="1">
      <c r="B513" s="9"/>
      <c r="C513" s="10"/>
    </row>
    <row r="514" spans="2:3" ht="15.75" customHeight="1">
      <c r="B514" s="9"/>
      <c r="C514" s="10"/>
    </row>
    <row r="515" spans="2:3" ht="15.75" customHeight="1">
      <c r="B515" s="9"/>
      <c r="C515" s="10"/>
    </row>
    <row r="516" spans="2:3" ht="15.75" customHeight="1">
      <c r="B516" s="9"/>
      <c r="C516" s="10"/>
    </row>
    <row r="517" spans="2:3" ht="15.75" customHeight="1">
      <c r="B517" s="9"/>
      <c r="C517" s="10"/>
    </row>
    <row r="518" spans="2:3" ht="15.75" customHeight="1">
      <c r="B518" s="9"/>
      <c r="C518" s="10"/>
    </row>
    <row r="519" spans="2:3" ht="15.75" customHeight="1">
      <c r="B519" s="9"/>
      <c r="C519" s="10"/>
    </row>
    <row r="520" spans="2:3" ht="15.75" customHeight="1">
      <c r="B520" s="9"/>
      <c r="C520" s="10"/>
    </row>
    <row r="521" spans="2:3" ht="15.75" customHeight="1">
      <c r="B521" s="9"/>
      <c r="C521" s="10"/>
    </row>
    <row r="522" spans="2:3" ht="15.75" customHeight="1">
      <c r="B522" s="9"/>
      <c r="C522" s="10"/>
    </row>
    <row r="523" spans="2:3" ht="15.75" customHeight="1">
      <c r="B523" s="9"/>
      <c r="C523" s="10"/>
    </row>
    <row r="524" spans="2:3" ht="15.75" customHeight="1">
      <c r="B524" s="9"/>
      <c r="C524" s="10"/>
    </row>
    <row r="525" spans="2:3" ht="15.75" customHeight="1">
      <c r="B525" s="9"/>
      <c r="C525" s="10"/>
    </row>
    <row r="526" spans="2:3" ht="15.75" customHeight="1">
      <c r="B526" s="9"/>
      <c r="C526" s="10"/>
    </row>
    <row r="527" spans="2:3" ht="15.75" customHeight="1">
      <c r="B527" s="9"/>
      <c r="C527" s="10"/>
    </row>
    <row r="528" spans="2:3" ht="15.75" customHeight="1">
      <c r="B528" s="9"/>
      <c r="C528" s="10"/>
    </row>
    <row r="529" spans="2:3" ht="15.75" customHeight="1">
      <c r="B529" s="9"/>
      <c r="C529" s="10"/>
    </row>
    <row r="530" spans="2:3" ht="15.75" customHeight="1">
      <c r="B530" s="9"/>
      <c r="C530" s="10"/>
    </row>
    <row r="531" spans="2:3" ht="15.75" customHeight="1">
      <c r="B531" s="9"/>
      <c r="C531" s="10"/>
    </row>
    <row r="532" spans="2:3" ht="15.75" customHeight="1">
      <c r="B532" s="9"/>
      <c r="C532" s="10"/>
    </row>
    <row r="533" spans="2:3" ht="15.75" customHeight="1">
      <c r="B533" s="9"/>
      <c r="C533" s="10"/>
    </row>
    <row r="534" spans="2:3" ht="15.75" customHeight="1">
      <c r="B534" s="9"/>
      <c r="C534" s="10"/>
    </row>
    <row r="535" spans="2:3" ht="15.75" customHeight="1">
      <c r="B535" s="9"/>
      <c r="C535" s="10"/>
    </row>
    <row r="536" spans="2:3" ht="15.75" customHeight="1">
      <c r="B536" s="9"/>
      <c r="C536" s="10"/>
    </row>
    <row r="537" spans="2:3" ht="15.75" customHeight="1">
      <c r="B537" s="9"/>
      <c r="C537" s="10"/>
    </row>
    <row r="538" spans="2:3" ht="15.75" customHeight="1">
      <c r="B538" s="9"/>
      <c r="C538" s="10"/>
    </row>
    <row r="539" spans="2:3" ht="15.75" customHeight="1">
      <c r="B539" s="9"/>
      <c r="C539" s="10"/>
    </row>
    <row r="540" spans="2:3" ht="15.75" customHeight="1">
      <c r="B540" s="9"/>
      <c r="C540" s="10"/>
    </row>
    <row r="541" spans="2:3" ht="15.75" customHeight="1">
      <c r="B541" s="9"/>
      <c r="C541" s="10"/>
    </row>
    <row r="542" spans="2:3" ht="15.75" customHeight="1">
      <c r="B542" s="9"/>
      <c r="C542" s="10"/>
    </row>
    <row r="543" spans="2:3" ht="15.75" customHeight="1">
      <c r="B543" s="9"/>
      <c r="C543" s="10"/>
    </row>
    <row r="544" spans="2:3" ht="15.75" customHeight="1">
      <c r="B544" s="9"/>
      <c r="C544" s="10"/>
    </row>
    <row r="545" spans="2:3" ht="15.75" customHeight="1">
      <c r="B545" s="9"/>
      <c r="C545" s="10"/>
    </row>
    <row r="546" spans="2:3" ht="15.75" customHeight="1">
      <c r="B546" s="9"/>
      <c r="C546" s="10"/>
    </row>
    <row r="547" spans="2:3" ht="15.75" customHeight="1">
      <c r="B547" s="9"/>
      <c r="C547" s="10"/>
    </row>
    <row r="548" spans="2:3" ht="15.75" customHeight="1">
      <c r="B548" s="9"/>
      <c r="C548" s="10"/>
    </row>
    <row r="549" spans="2:3" ht="15.75" customHeight="1">
      <c r="B549" s="9"/>
      <c r="C549" s="10"/>
    </row>
    <row r="550" spans="2:3" ht="15.75" customHeight="1">
      <c r="B550" s="9"/>
      <c r="C550" s="10"/>
    </row>
    <row r="551" spans="2:3" ht="15.75" customHeight="1">
      <c r="B551" s="9"/>
      <c r="C551" s="10"/>
    </row>
    <row r="552" spans="2:3" ht="15.75" customHeight="1">
      <c r="B552" s="9"/>
      <c r="C552" s="10"/>
    </row>
    <row r="553" spans="2:3" ht="15.75" customHeight="1">
      <c r="B553" s="9"/>
      <c r="C553" s="10"/>
    </row>
    <row r="554" spans="2:3" ht="15.75" customHeight="1">
      <c r="B554" s="9"/>
      <c r="C554" s="10"/>
    </row>
    <row r="555" spans="2:3" ht="15.75" customHeight="1">
      <c r="B555" s="9"/>
      <c r="C555" s="10"/>
    </row>
    <row r="556" spans="2:3" ht="15.75" customHeight="1">
      <c r="B556" s="9"/>
      <c r="C556" s="10"/>
    </row>
    <row r="557" spans="2:3" ht="15.75" customHeight="1">
      <c r="B557" s="9"/>
      <c r="C557" s="10"/>
    </row>
    <row r="558" spans="2:3" ht="15.75" customHeight="1">
      <c r="B558" s="9"/>
      <c r="C558" s="10"/>
    </row>
    <row r="559" spans="2:3" ht="15.75" customHeight="1">
      <c r="B559" s="9"/>
      <c r="C559" s="10"/>
    </row>
    <row r="560" spans="2:3" ht="15.75" customHeight="1">
      <c r="B560" s="9"/>
      <c r="C560" s="10"/>
    </row>
    <row r="561" spans="2:3" ht="15.75" customHeight="1">
      <c r="B561" s="9"/>
      <c r="C561" s="10"/>
    </row>
    <row r="562" spans="2:3" ht="15.75" customHeight="1">
      <c r="B562" s="9"/>
      <c r="C562" s="10"/>
    </row>
    <row r="563" spans="2:3" ht="15.75" customHeight="1">
      <c r="B563" s="9"/>
      <c r="C563" s="10"/>
    </row>
    <row r="564" spans="2:3" ht="15.75" customHeight="1">
      <c r="B564" s="9"/>
      <c r="C564" s="10"/>
    </row>
    <row r="565" spans="2:3" ht="15.75" customHeight="1">
      <c r="B565" s="9"/>
      <c r="C565" s="10"/>
    </row>
    <row r="566" spans="2:3" ht="15.75" customHeight="1">
      <c r="B566" s="9"/>
      <c r="C566" s="10"/>
    </row>
    <row r="567" spans="2:3" ht="15.75" customHeight="1">
      <c r="B567" s="9"/>
      <c r="C567" s="10"/>
    </row>
    <row r="568" spans="2:3" ht="15.75" customHeight="1">
      <c r="B568" s="9"/>
      <c r="C568" s="10"/>
    </row>
    <row r="569" spans="2:3" ht="15.75" customHeight="1">
      <c r="B569" s="9"/>
      <c r="C569" s="10"/>
    </row>
    <row r="570" spans="2:3" ht="15.75" customHeight="1">
      <c r="B570" s="9"/>
      <c r="C570" s="10"/>
    </row>
    <row r="571" spans="2:3" ht="15.75" customHeight="1">
      <c r="B571" s="9"/>
      <c r="C571" s="10"/>
    </row>
    <row r="572" spans="2:3" ht="15.75" customHeight="1">
      <c r="B572" s="9"/>
      <c r="C572" s="10"/>
    </row>
    <row r="573" spans="2:3" ht="15.75" customHeight="1">
      <c r="B573" s="9"/>
      <c r="C573" s="10"/>
    </row>
    <row r="574" spans="2:3" ht="15.75" customHeight="1">
      <c r="B574" s="9"/>
      <c r="C574" s="10"/>
    </row>
    <row r="575" spans="2:3" ht="15.75" customHeight="1">
      <c r="B575" s="9"/>
      <c r="C575" s="10"/>
    </row>
    <row r="576" spans="2:3" ht="15.75" customHeight="1">
      <c r="B576" s="9"/>
      <c r="C576" s="10"/>
    </row>
    <row r="577" spans="2:3" ht="15.75" customHeight="1">
      <c r="B577" s="9"/>
      <c r="C577" s="10"/>
    </row>
    <row r="578" spans="2:3" ht="15.75" customHeight="1">
      <c r="B578" s="9"/>
      <c r="C578" s="10"/>
    </row>
    <row r="579" spans="2:3" ht="15.75" customHeight="1">
      <c r="B579" s="9"/>
      <c r="C579" s="10"/>
    </row>
    <row r="580" spans="2:3" ht="15.75" customHeight="1">
      <c r="B580" s="9"/>
      <c r="C580" s="10"/>
    </row>
    <row r="581" spans="2:3" ht="15.75" customHeight="1">
      <c r="B581" s="9"/>
      <c r="C581" s="10"/>
    </row>
    <row r="582" spans="2:3" ht="15.75" customHeight="1">
      <c r="B582" s="9"/>
      <c r="C582" s="10"/>
    </row>
    <row r="583" spans="2:3" ht="15.75" customHeight="1">
      <c r="B583" s="9"/>
      <c r="C583" s="10"/>
    </row>
    <row r="584" spans="2:3" ht="15.75" customHeight="1">
      <c r="B584" s="9"/>
      <c r="C584" s="10"/>
    </row>
    <row r="585" spans="2:3" ht="15.75" customHeight="1">
      <c r="B585" s="9"/>
      <c r="C585" s="10"/>
    </row>
    <row r="586" spans="2:3" ht="15.75" customHeight="1">
      <c r="B586" s="9"/>
      <c r="C586" s="10"/>
    </row>
    <row r="587" spans="2:3" ht="15.75" customHeight="1">
      <c r="B587" s="9"/>
      <c r="C587" s="10"/>
    </row>
    <row r="588" spans="2:3" ht="15.75" customHeight="1">
      <c r="B588" s="9"/>
      <c r="C588" s="10"/>
    </row>
    <row r="589" spans="2:3" ht="15.75" customHeight="1">
      <c r="B589" s="9"/>
      <c r="C589" s="10"/>
    </row>
    <row r="590" spans="2:3" ht="15.75" customHeight="1">
      <c r="B590" s="9"/>
      <c r="C590" s="10"/>
    </row>
    <row r="591" spans="2:3" ht="15.75" customHeight="1">
      <c r="B591" s="9"/>
      <c r="C591" s="10"/>
    </row>
    <row r="592" spans="2:3" ht="15.75" customHeight="1">
      <c r="B592" s="9"/>
      <c r="C592" s="10"/>
    </row>
    <row r="593" spans="2:3" ht="15.75" customHeight="1">
      <c r="B593" s="9"/>
      <c r="C593" s="10"/>
    </row>
    <row r="594" spans="2:3" ht="15.75" customHeight="1">
      <c r="B594" s="9"/>
      <c r="C594" s="10"/>
    </row>
    <row r="595" spans="2:3" ht="15.75" customHeight="1">
      <c r="B595" s="9"/>
      <c r="C595" s="10"/>
    </row>
    <row r="596" spans="2:3" ht="15.75" customHeight="1">
      <c r="B596" s="9"/>
      <c r="C596" s="10"/>
    </row>
    <row r="597" spans="2:3" ht="15.75" customHeight="1">
      <c r="B597" s="9"/>
      <c r="C597" s="10"/>
    </row>
    <row r="598" spans="2:3" ht="15.75" customHeight="1">
      <c r="B598" s="9"/>
      <c r="C598" s="10"/>
    </row>
    <row r="599" spans="2:3" ht="15.75" customHeight="1">
      <c r="B599" s="9"/>
      <c r="C599" s="10"/>
    </row>
    <row r="600" spans="2:3" ht="15.75" customHeight="1">
      <c r="B600" s="9"/>
      <c r="C600" s="10"/>
    </row>
    <row r="601" spans="2:3" ht="15.75" customHeight="1">
      <c r="B601" s="9"/>
      <c r="C601" s="10"/>
    </row>
    <row r="602" spans="2:3" ht="15.75" customHeight="1">
      <c r="B602" s="9"/>
      <c r="C602" s="10"/>
    </row>
    <row r="603" spans="2:3" ht="15.75" customHeight="1">
      <c r="B603" s="9"/>
      <c r="C603" s="10"/>
    </row>
    <row r="604" spans="2:3" ht="15.75" customHeight="1">
      <c r="B604" s="9"/>
      <c r="C604" s="10"/>
    </row>
    <row r="605" spans="2:3" ht="15.75" customHeight="1">
      <c r="B605" s="9"/>
      <c r="C605" s="10"/>
    </row>
    <row r="606" spans="2:3" ht="15.75" customHeight="1">
      <c r="B606" s="9"/>
      <c r="C606" s="10"/>
    </row>
    <row r="607" spans="2:3" ht="15.75" customHeight="1">
      <c r="B607" s="9"/>
      <c r="C607" s="10"/>
    </row>
    <row r="608" spans="2:3" ht="15.75" customHeight="1">
      <c r="B608" s="9"/>
      <c r="C608" s="10"/>
    </row>
    <row r="609" spans="2:3" ht="15.75" customHeight="1">
      <c r="B609" s="9"/>
      <c r="C609" s="10"/>
    </row>
    <row r="610" spans="2:3" ht="15.75" customHeight="1">
      <c r="B610" s="9"/>
      <c r="C610" s="10"/>
    </row>
    <row r="611" spans="2:3" ht="15.75" customHeight="1">
      <c r="B611" s="9"/>
      <c r="C611" s="10"/>
    </row>
    <row r="612" spans="2:3" ht="15.75" customHeight="1">
      <c r="B612" s="9"/>
      <c r="C612" s="10"/>
    </row>
    <row r="613" spans="2:3" ht="15.75" customHeight="1">
      <c r="B613" s="9"/>
      <c r="C613" s="10"/>
    </row>
    <row r="614" spans="2:3" ht="15.75" customHeight="1">
      <c r="B614" s="9"/>
      <c r="C614" s="10"/>
    </row>
    <row r="615" spans="2:3" ht="15.75" customHeight="1">
      <c r="B615" s="9"/>
      <c r="C615" s="10"/>
    </row>
    <row r="616" spans="2:3" ht="15.75" customHeight="1">
      <c r="B616" s="9"/>
      <c r="C616" s="10"/>
    </row>
    <row r="617" spans="2:3" ht="15.75" customHeight="1">
      <c r="B617" s="9"/>
      <c r="C617" s="10"/>
    </row>
    <row r="618" spans="2:3" ht="15.75" customHeight="1">
      <c r="B618" s="9"/>
      <c r="C618" s="10"/>
    </row>
    <row r="619" spans="2:3" ht="15.75" customHeight="1">
      <c r="B619" s="9"/>
      <c r="C619" s="10"/>
    </row>
    <row r="620" spans="2:3" ht="15.75" customHeight="1">
      <c r="B620" s="9"/>
      <c r="C620" s="10"/>
    </row>
    <row r="621" spans="2:3" ht="15.75" customHeight="1">
      <c r="B621" s="9"/>
      <c r="C621" s="10"/>
    </row>
    <row r="622" spans="2:3" ht="15.75" customHeight="1">
      <c r="B622" s="9"/>
      <c r="C622" s="10"/>
    </row>
    <row r="623" spans="2:3" ht="15.75" customHeight="1">
      <c r="B623" s="9"/>
      <c r="C623" s="10"/>
    </row>
    <row r="624" spans="2:3" ht="15.75" customHeight="1">
      <c r="B624" s="9"/>
      <c r="C624" s="10"/>
    </row>
    <row r="625" spans="2:3" ht="15.75" customHeight="1">
      <c r="B625" s="9"/>
      <c r="C625" s="10"/>
    </row>
    <row r="626" spans="2:3" ht="15.75" customHeight="1">
      <c r="B626" s="9"/>
      <c r="C626" s="10"/>
    </row>
    <row r="627" spans="2:3" ht="15.75" customHeight="1">
      <c r="B627" s="9"/>
      <c r="C627" s="10"/>
    </row>
    <row r="628" spans="2:3" ht="15.75" customHeight="1">
      <c r="B628" s="9"/>
      <c r="C628" s="10"/>
    </row>
    <row r="629" spans="2:3" ht="15.75" customHeight="1">
      <c r="B629" s="9"/>
      <c r="C629" s="10"/>
    </row>
    <row r="630" spans="2:3" ht="15.75" customHeight="1">
      <c r="B630" s="9"/>
      <c r="C630" s="10"/>
    </row>
    <row r="631" spans="2:3" ht="15.75" customHeight="1">
      <c r="B631" s="9"/>
      <c r="C631" s="10"/>
    </row>
    <row r="632" spans="2:3" ht="15.75" customHeight="1">
      <c r="B632" s="9"/>
      <c r="C632" s="10"/>
    </row>
    <row r="633" spans="2:3" ht="15.75" customHeight="1">
      <c r="B633" s="9"/>
      <c r="C633" s="10"/>
    </row>
    <row r="634" spans="2:3" ht="15.75" customHeight="1">
      <c r="B634" s="9"/>
      <c r="C634" s="10"/>
    </row>
    <row r="635" spans="2:3" ht="15.75" customHeight="1">
      <c r="B635" s="9"/>
      <c r="C635" s="10"/>
    </row>
    <row r="636" spans="2:3" ht="15.75" customHeight="1">
      <c r="B636" s="9"/>
      <c r="C636" s="10"/>
    </row>
    <row r="637" spans="2:3" ht="15.75" customHeight="1">
      <c r="B637" s="9"/>
      <c r="C637" s="10"/>
    </row>
    <row r="638" spans="2:3" ht="15.75" customHeight="1">
      <c r="B638" s="9"/>
      <c r="C638" s="10"/>
    </row>
    <row r="639" spans="2:3" ht="15.75" customHeight="1">
      <c r="B639" s="9"/>
      <c r="C639" s="10"/>
    </row>
    <row r="640" spans="2:3" ht="15.75" customHeight="1">
      <c r="B640" s="9"/>
      <c r="C640" s="10"/>
    </row>
    <row r="641" spans="2:3" ht="15.75" customHeight="1">
      <c r="B641" s="9"/>
      <c r="C641" s="10"/>
    </row>
    <row r="642" spans="2:3" ht="15.75" customHeight="1">
      <c r="B642" s="9"/>
      <c r="C642" s="10"/>
    </row>
    <row r="643" spans="2:3" ht="15.75" customHeight="1">
      <c r="B643" s="9"/>
      <c r="C643" s="10"/>
    </row>
    <row r="644" spans="2:3" ht="15.75" customHeight="1">
      <c r="B644" s="9"/>
      <c r="C644" s="10"/>
    </row>
    <row r="645" spans="2:3" ht="15.75" customHeight="1">
      <c r="B645" s="9"/>
      <c r="C645" s="10"/>
    </row>
    <row r="646" spans="2:3" ht="15.75" customHeight="1">
      <c r="B646" s="9"/>
      <c r="C646" s="10"/>
    </row>
    <row r="647" spans="2:3" ht="15.75" customHeight="1">
      <c r="B647" s="9"/>
      <c r="C647" s="10"/>
    </row>
    <row r="648" spans="2:3" ht="15.75" customHeight="1">
      <c r="B648" s="9"/>
      <c r="C648" s="10"/>
    </row>
    <row r="649" spans="2:3" ht="15.75" customHeight="1">
      <c r="B649" s="9"/>
      <c r="C649" s="10"/>
    </row>
    <row r="650" spans="2:3" ht="15.75" customHeight="1">
      <c r="B650" s="9"/>
      <c r="C650" s="10"/>
    </row>
    <row r="651" spans="2:3" ht="15.75" customHeight="1">
      <c r="B651" s="9"/>
      <c r="C651" s="10"/>
    </row>
    <row r="652" spans="2:3" ht="15.75" customHeight="1">
      <c r="B652" s="9"/>
      <c r="C652" s="10"/>
    </row>
    <row r="653" spans="2:3" ht="15.75" customHeight="1">
      <c r="B653" s="9"/>
      <c r="C653" s="10"/>
    </row>
    <row r="654" spans="2:3" ht="15.75" customHeight="1">
      <c r="B654" s="9"/>
      <c r="C654" s="10"/>
    </row>
    <row r="655" spans="2:3" ht="15.75" customHeight="1">
      <c r="B655" s="9"/>
      <c r="C655" s="10"/>
    </row>
    <row r="656" spans="2:3" ht="15.75" customHeight="1">
      <c r="B656" s="9"/>
      <c r="C656" s="10"/>
    </row>
    <row r="657" spans="2:3" ht="15.75" customHeight="1">
      <c r="B657" s="9"/>
      <c r="C657" s="10"/>
    </row>
    <row r="658" spans="2:3" ht="15.75" customHeight="1">
      <c r="B658" s="9"/>
      <c r="C658" s="10"/>
    </row>
    <row r="659" spans="2:3" ht="15.75" customHeight="1">
      <c r="B659" s="9"/>
      <c r="C659" s="10"/>
    </row>
    <row r="660" spans="2:3" ht="15.75" customHeight="1">
      <c r="B660" s="9"/>
      <c r="C660" s="10"/>
    </row>
    <row r="661" spans="2:3" ht="15.75" customHeight="1">
      <c r="B661" s="9"/>
      <c r="C661" s="10"/>
    </row>
    <row r="662" spans="2:3" ht="15.75" customHeight="1">
      <c r="B662" s="9"/>
      <c r="C662" s="10"/>
    </row>
    <row r="663" spans="2:3" ht="15.75" customHeight="1">
      <c r="B663" s="9"/>
      <c r="C663" s="10"/>
    </row>
    <row r="664" spans="2:3" ht="15.75" customHeight="1">
      <c r="B664" s="9"/>
      <c r="C664" s="10"/>
    </row>
    <row r="665" spans="2:3" ht="15.75" customHeight="1">
      <c r="B665" s="9"/>
      <c r="C665" s="10"/>
    </row>
    <row r="666" spans="2:3" ht="15.75" customHeight="1">
      <c r="B666" s="9"/>
      <c r="C666" s="10"/>
    </row>
    <row r="667" spans="2:3" ht="15.75" customHeight="1">
      <c r="B667" s="9"/>
      <c r="C667" s="10"/>
    </row>
    <row r="668" spans="2:3" ht="15.75" customHeight="1">
      <c r="B668" s="9"/>
      <c r="C668" s="10"/>
    </row>
    <row r="669" spans="2:3" ht="15.75" customHeight="1">
      <c r="B669" s="9"/>
      <c r="C669" s="10"/>
    </row>
    <row r="670" spans="2:3" ht="15.75" customHeight="1">
      <c r="B670" s="9"/>
      <c r="C670" s="10"/>
    </row>
    <row r="671" spans="2:3" ht="15.75" customHeight="1">
      <c r="B671" s="9"/>
      <c r="C671" s="10"/>
    </row>
    <row r="672" spans="2:3" ht="15.75" customHeight="1">
      <c r="B672" s="9"/>
      <c r="C672" s="10"/>
    </row>
    <row r="673" spans="2:3" ht="15.75" customHeight="1">
      <c r="B673" s="9"/>
      <c r="C673" s="10"/>
    </row>
    <row r="674" spans="2:3" ht="15.75" customHeight="1">
      <c r="B674" s="9"/>
      <c r="C674" s="10"/>
    </row>
    <row r="675" spans="2:3" ht="15.75" customHeight="1">
      <c r="B675" s="9"/>
      <c r="C675" s="10"/>
    </row>
    <row r="676" spans="2:3" ht="15.75" customHeight="1">
      <c r="B676" s="9"/>
      <c r="C676" s="10"/>
    </row>
    <row r="677" spans="2:3" ht="15.75" customHeight="1">
      <c r="B677" s="9"/>
      <c r="C677" s="10"/>
    </row>
    <row r="678" spans="2:3" ht="15.75" customHeight="1">
      <c r="B678" s="9"/>
      <c r="C678" s="10"/>
    </row>
    <row r="679" spans="2:3" ht="15.75" customHeight="1">
      <c r="B679" s="9"/>
      <c r="C679" s="10"/>
    </row>
    <row r="680" spans="2:3" ht="15.75" customHeight="1">
      <c r="B680" s="9"/>
      <c r="C680" s="10"/>
    </row>
    <row r="681" spans="2:3" ht="15.75" customHeight="1">
      <c r="B681" s="9"/>
      <c r="C681" s="10"/>
    </row>
    <row r="682" spans="2:3" ht="15.75" customHeight="1">
      <c r="B682" s="9"/>
      <c r="C682" s="10"/>
    </row>
    <row r="683" spans="2:3" ht="15.75" customHeight="1">
      <c r="B683" s="9"/>
      <c r="C683" s="10"/>
    </row>
    <row r="684" spans="2:3" ht="15.75" customHeight="1">
      <c r="B684" s="9"/>
      <c r="C684" s="10"/>
    </row>
    <row r="685" spans="2:3" ht="15.75" customHeight="1">
      <c r="B685" s="9"/>
      <c r="C685" s="10"/>
    </row>
    <row r="686" spans="2:3" ht="15.75" customHeight="1">
      <c r="B686" s="9"/>
      <c r="C686" s="10"/>
    </row>
    <row r="687" spans="2:3" ht="15.75" customHeight="1">
      <c r="B687" s="9"/>
      <c r="C687" s="10"/>
    </row>
    <row r="688" spans="2:3" ht="15.75" customHeight="1">
      <c r="B688" s="9"/>
      <c r="C688" s="10"/>
    </row>
    <row r="689" spans="2:3" ht="15.75" customHeight="1">
      <c r="B689" s="9"/>
      <c r="C689" s="10"/>
    </row>
    <row r="690" spans="2:3" ht="15.75" customHeight="1">
      <c r="B690" s="9"/>
      <c r="C690" s="10"/>
    </row>
    <row r="691" spans="2:3" ht="15.75" customHeight="1">
      <c r="B691" s="9"/>
      <c r="C691" s="10"/>
    </row>
    <row r="692" spans="2:3" ht="15.75" customHeight="1">
      <c r="B692" s="9"/>
      <c r="C692" s="10"/>
    </row>
    <row r="693" spans="2:3" ht="15.75" customHeight="1">
      <c r="B693" s="9"/>
      <c r="C693" s="10"/>
    </row>
    <row r="694" spans="2:3" ht="15.75" customHeight="1">
      <c r="B694" s="9"/>
      <c r="C694" s="10"/>
    </row>
    <row r="695" spans="2:3" ht="15.75" customHeight="1">
      <c r="B695" s="9"/>
      <c r="C695" s="10"/>
    </row>
    <row r="696" spans="2:3" ht="15.75" customHeight="1">
      <c r="B696" s="9"/>
      <c r="C696" s="10"/>
    </row>
    <row r="697" spans="2:3" ht="15.75" customHeight="1">
      <c r="B697" s="9"/>
      <c r="C697" s="10"/>
    </row>
    <row r="698" spans="2:3" ht="15.75" customHeight="1">
      <c r="B698" s="9"/>
      <c r="C698" s="10"/>
    </row>
    <row r="699" spans="2:3" ht="15.75" customHeight="1">
      <c r="B699" s="9"/>
      <c r="C699" s="10"/>
    </row>
    <row r="700" spans="2:3" ht="15.75" customHeight="1">
      <c r="B700" s="9"/>
      <c r="C700" s="10"/>
    </row>
    <row r="701" spans="2:3" ht="15.75" customHeight="1">
      <c r="B701" s="9"/>
      <c r="C701" s="10"/>
    </row>
    <row r="702" spans="2:3" ht="15.75" customHeight="1">
      <c r="B702" s="9"/>
      <c r="C702" s="10"/>
    </row>
    <row r="703" spans="2:3" ht="15.75" customHeight="1">
      <c r="B703" s="9"/>
      <c r="C703" s="10"/>
    </row>
    <row r="704" spans="2:3" ht="15.75" customHeight="1">
      <c r="B704" s="9"/>
      <c r="C704" s="10"/>
    </row>
    <row r="705" spans="2:3" ht="15.75" customHeight="1">
      <c r="B705" s="9"/>
      <c r="C705" s="10"/>
    </row>
    <row r="706" spans="2:3" ht="15.75" customHeight="1">
      <c r="B706" s="9"/>
      <c r="C706" s="10"/>
    </row>
    <row r="707" spans="2:3" ht="15.75" customHeight="1">
      <c r="B707" s="9"/>
      <c r="C707" s="10"/>
    </row>
    <row r="708" spans="2:3" ht="15.75" customHeight="1">
      <c r="B708" s="9"/>
      <c r="C708" s="10"/>
    </row>
    <row r="709" spans="2:3" ht="15.75" customHeight="1">
      <c r="B709" s="9"/>
      <c r="C709" s="10"/>
    </row>
    <row r="710" spans="2:3" ht="15.75" customHeight="1">
      <c r="B710" s="9"/>
      <c r="C710" s="10"/>
    </row>
    <row r="711" spans="2:3" ht="15.75" customHeight="1">
      <c r="B711" s="9"/>
      <c r="C711" s="10"/>
    </row>
    <row r="712" spans="2:3" ht="15.75" customHeight="1">
      <c r="B712" s="9"/>
      <c r="C712" s="10"/>
    </row>
    <row r="713" spans="2:3" ht="15.75" customHeight="1">
      <c r="B713" s="9"/>
      <c r="C713" s="10"/>
    </row>
    <row r="714" spans="2:3" ht="15.75" customHeight="1">
      <c r="B714" s="9"/>
      <c r="C714" s="10"/>
    </row>
    <row r="715" spans="2:3" ht="15.75" customHeight="1">
      <c r="B715" s="9"/>
      <c r="C715" s="10"/>
    </row>
    <row r="716" spans="2:3" ht="15.75" customHeight="1">
      <c r="B716" s="9"/>
      <c r="C716" s="10"/>
    </row>
    <row r="717" spans="2:3" ht="15.75" customHeight="1">
      <c r="B717" s="9"/>
      <c r="C717" s="10"/>
    </row>
    <row r="718" spans="2:3" ht="15.75" customHeight="1">
      <c r="B718" s="9"/>
      <c r="C718" s="10"/>
    </row>
    <row r="719" spans="2:3" ht="15.75" customHeight="1">
      <c r="B719" s="9"/>
      <c r="C719" s="10"/>
    </row>
    <row r="720" spans="2:3" ht="15.75" customHeight="1">
      <c r="B720" s="9"/>
      <c r="C720" s="10"/>
    </row>
    <row r="721" spans="2:3" ht="15.75" customHeight="1">
      <c r="B721" s="9"/>
      <c r="C721" s="10"/>
    </row>
    <row r="722" spans="2:3" ht="15.75" customHeight="1">
      <c r="B722" s="9"/>
      <c r="C722" s="10"/>
    </row>
    <row r="723" spans="2:3" ht="15.75" customHeight="1">
      <c r="B723" s="9"/>
      <c r="C723" s="10"/>
    </row>
    <row r="724" spans="2:3" ht="15.75" customHeight="1">
      <c r="B724" s="9"/>
      <c r="C724" s="10"/>
    </row>
    <row r="725" spans="2:3" ht="15.75" customHeight="1">
      <c r="B725" s="9"/>
      <c r="C725" s="10"/>
    </row>
    <row r="726" spans="2:3" ht="15.75" customHeight="1">
      <c r="B726" s="9"/>
      <c r="C726" s="10"/>
    </row>
    <row r="727" spans="2:3" ht="15.75" customHeight="1">
      <c r="B727" s="9"/>
      <c r="C727" s="10"/>
    </row>
    <row r="728" spans="2:3" ht="15.75" customHeight="1">
      <c r="B728" s="9"/>
      <c r="C728" s="10"/>
    </row>
    <row r="729" spans="2:3" ht="15.75" customHeight="1">
      <c r="B729" s="9"/>
      <c r="C729" s="10"/>
    </row>
    <row r="730" spans="2:3" ht="15.75" customHeight="1">
      <c r="B730" s="9"/>
      <c r="C730" s="10"/>
    </row>
    <row r="731" spans="2:3" ht="15.75" customHeight="1">
      <c r="B731" s="9"/>
      <c r="C731" s="10"/>
    </row>
    <row r="732" spans="2:3" ht="15.75" customHeight="1">
      <c r="B732" s="9"/>
      <c r="C732" s="10"/>
    </row>
    <row r="733" spans="2:3" ht="15.75" customHeight="1">
      <c r="B733" s="9"/>
      <c r="C733" s="10"/>
    </row>
    <row r="734" spans="2:3" ht="15.75" customHeight="1">
      <c r="B734" s="9"/>
      <c r="C734" s="10"/>
    </row>
    <row r="735" spans="2:3" ht="15.75" customHeight="1">
      <c r="B735" s="9"/>
      <c r="C735" s="10"/>
    </row>
    <row r="736" spans="2:3" ht="15.75" customHeight="1">
      <c r="B736" s="9"/>
      <c r="C736" s="10"/>
    </row>
    <row r="737" spans="2:3" ht="15.75" customHeight="1">
      <c r="B737" s="9"/>
      <c r="C737" s="10"/>
    </row>
    <row r="738" spans="2:3" ht="15.75" customHeight="1">
      <c r="B738" s="9"/>
      <c r="C738" s="10"/>
    </row>
    <row r="739" spans="2:3" ht="15.75" customHeight="1">
      <c r="B739" s="9"/>
      <c r="C739" s="10"/>
    </row>
    <row r="740" spans="2:3" ht="15.75" customHeight="1">
      <c r="B740" s="9"/>
      <c r="C740" s="10"/>
    </row>
    <row r="741" spans="2:3" ht="15.75" customHeight="1">
      <c r="B741" s="9"/>
      <c r="C741" s="10"/>
    </row>
    <row r="742" spans="2:3" ht="15.75" customHeight="1">
      <c r="B742" s="9"/>
      <c r="C742" s="10"/>
    </row>
    <row r="743" spans="2:3" ht="15.75" customHeight="1">
      <c r="B743" s="9"/>
      <c r="C743" s="10"/>
    </row>
    <row r="744" spans="2:3" ht="15.75" customHeight="1">
      <c r="B744" s="9"/>
      <c r="C744" s="10"/>
    </row>
    <row r="745" spans="2:3" ht="15.75" customHeight="1">
      <c r="B745" s="9"/>
      <c r="C745" s="10"/>
    </row>
    <row r="746" spans="2:3" ht="15.75" customHeight="1">
      <c r="B746" s="9"/>
      <c r="C746" s="10"/>
    </row>
    <row r="747" spans="2:3" ht="15.75" customHeight="1">
      <c r="B747" s="9"/>
      <c r="C747" s="10"/>
    </row>
    <row r="748" spans="2:3" ht="15.75" customHeight="1">
      <c r="B748" s="9"/>
      <c r="C748" s="10"/>
    </row>
    <row r="749" spans="2:3" ht="15.75" customHeight="1">
      <c r="B749" s="9"/>
      <c r="C749" s="10"/>
    </row>
    <row r="750" spans="2:3" ht="15.75" customHeight="1">
      <c r="B750" s="9"/>
      <c r="C750" s="10"/>
    </row>
    <row r="751" spans="2:3" ht="15.75" customHeight="1">
      <c r="B751" s="9"/>
      <c r="C751" s="10"/>
    </row>
    <row r="752" spans="2:3" ht="15.75" customHeight="1">
      <c r="B752" s="9"/>
      <c r="C752" s="10"/>
    </row>
    <row r="753" spans="2:3" ht="15.75" customHeight="1">
      <c r="B753" s="9"/>
      <c r="C753" s="10"/>
    </row>
    <row r="754" spans="2:3" ht="15.75" customHeight="1">
      <c r="B754" s="9"/>
      <c r="C754" s="10"/>
    </row>
    <row r="755" spans="2:3" ht="15.75" customHeight="1">
      <c r="B755" s="9"/>
      <c r="C755" s="10"/>
    </row>
    <row r="756" spans="2:3" ht="15.75" customHeight="1">
      <c r="B756" s="9"/>
      <c r="C756" s="10"/>
    </row>
    <row r="757" spans="2:3" ht="15.75" customHeight="1">
      <c r="B757" s="9"/>
      <c r="C757" s="10"/>
    </row>
    <row r="758" spans="2:3" ht="15.75" customHeight="1">
      <c r="B758" s="9"/>
      <c r="C758" s="10"/>
    </row>
    <row r="759" spans="2:3" ht="15.75" customHeight="1">
      <c r="B759" s="9"/>
      <c r="C759" s="10"/>
    </row>
    <row r="760" spans="2:3" ht="15.75" customHeight="1">
      <c r="B760" s="9"/>
      <c r="C760" s="10"/>
    </row>
    <row r="761" spans="2:3" ht="15.75" customHeight="1">
      <c r="B761" s="9"/>
      <c r="C761" s="10"/>
    </row>
    <row r="762" spans="2:3" ht="15.75" customHeight="1">
      <c r="B762" s="9"/>
      <c r="C762" s="10"/>
    </row>
    <row r="763" spans="2:3" ht="15.75" customHeight="1">
      <c r="B763" s="9"/>
      <c r="C763" s="10"/>
    </row>
    <row r="764" spans="2:3" ht="15.75" customHeight="1">
      <c r="B764" s="9"/>
      <c r="C764" s="10"/>
    </row>
    <row r="765" spans="2:3" ht="15.75" customHeight="1">
      <c r="B765" s="9"/>
      <c r="C765" s="10"/>
    </row>
    <row r="766" spans="2:3" ht="15.75" customHeight="1">
      <c r="B766" s="9"/>
      <c r="C766" s="10"/>
    </row>
    <row r="767" spans="2:3" ht="15.75" customHeight="1">
      <c r="B767" s="9"/>
      <c r="C767" s="10"/>
    </row>
    <row r="768" spans="2:3" ht="15.75" customHeight="1">
      <c r="B768" s="9"/>
      <c r="C768" s="10"/>
    </row>
    <row r="769" spans="2:3" ht="15.75" customHeight="1">
      <c r="B769" s="9"/>
      <c r="C769" s="10"/>
    </row>
    <row r="770" spans="2:3" ht="15.75" customHeight="1">
      <c r="B770" s="9"/>
      <c r="C770" s="10"/>
    </row>
    <row r="771" spans="2:3" ht="15.75" customHeight="1">
      <c r="B771" s="9"/>
      <c r="C771" s="10"/>
    </row>
    <row r="772" spans="2:3" ht="15.75" customHeight="1">
      <c r="B772" s="9"/>
      <c r="C772" s="10"/>
    </row>
    <row r="773" spans="2:3" ht="15.75" customHeight="1">
      <c r="B773" s="9"/>
      <c r="C773" s="10"/>
    </row>
    <row r="774" spans="2:3" ht="15.75" customHeight="1">
      <c r="B774" s="9"/>
      <c r="C774" s="10"/>
    </row>
    <row r="775" spans="2:3" ht="15.75" customHeight="1">
      <c r="B775" s="9"/>
      <c r="C775" s="10"/>
    </row>
    <row r="776" spans="2:3" ht="15.75" customHeight="1">
      <c r="B776" s="9"/>
      <c r="C776" s="10"/>
    </row>
    <row r="777" spans="2:3" ht="15.75" customHeight="1">
      <c r="B777" s="9"/>
      <c r="C777" s="10"/>
    </row>
    <row r="778" spans="2:3" ht="15.75" customHeight="1">
      <c r="B778" s="9"/>
      <c r="C778" s="10"/>
    </row>
    <row r="779" spans="2:3" ht="15.75" customHeight="1">
      <c r="B779" s="9"/>
      <c r="C779" s="10"/>
    </row>
    <row r="780" spans="2:3" ht="15.75" customHeight="1">
      <c r="B780" s="9"/>
      <c r="C780" s="10"/>
    </row>
    <row r="781" spans="2:3" ht="15.75" customHeight="1">
      <c r="B781" s="9"/>
      <c r="C781" s="10"/>
    </row>
    <row r="782" spans="2:3" ht="15.75" customHeight="1">
      <c r="B782" s="9"/>
      <c r="C782" s="10"/>
    </row>
    <row r="783" spans="2:3" ht="15.75" customHeight="1">
      <c r="B783" s="9"/>
      <c r="C783" s="10"/>
    </row>
    <row r="784" spans="2:3" ht="15.75" customHeight="1">
      <c r="B784" s="9"/>
      <c r="C784" s="10"/>
    </row>
    <row r="785" spans="2:3" ht="15.75" customHeight="1">
      <c r="B785" s="9"/>
      <c r="C785" s="10"/>
    </row>
    <row r="786" spans="2:3" ht="15.75" customHeight="1">
      <c r="B786" s="9"/>
      <c r="C786" s="10"/>
    </row>
    <row r="787" spans="2:3" ht="15.75" customHeight="1">
      <c r="B787" s="9"/>
      <c r="C787" s="10"/>
    </row>
    <row r="788" spans="2:3" ht="15.75" customHeight="1">
      <c r="B788" s="9"/>
      <c r="C788" s="10"/>
    </row>
    <row r="789" spans="2:3" ht="15.75" customHeight="1">
      <c r="B789" s="9"/>
      <c r="C789" s="10"/>
    </row>
    <row r="790" spans="2:3" ht="15.75" customHeight="1">
      <c r="B790" s="9"/>
      <c r="C790" s="10"/>
    </row>
    <row r="791" spans="2:3" ht="15.75" customHeight="1">
      <c r="B791" s="9"/>
      <c r="C791" s="10"/>
    </row>
    <row r="792" spans="2:3" ht="15.75" customHeight="1">
      <c r="B792" s="9"/>
      <c r="C792" s="10"/>
    </row>
    <row r="793" spans="2:3" ht="15.75" customHeight="1">
      <c r="B793" s="9"/>
      <c r="C793" s="10"/>
    </row>
    <row r="794" spans="2:3" ht="15.75" customHeight="1">
      <c r="B794" s="9"/>
      <c r="C794" s="10"/>
    </row>
    <row r="795" spans="2:3" ht="15.75" customHeight="1">
      <c r="B795" s="9"/>
      <c r="C795" s="10"/>
    </row>
    <row r="796" spans="2:3" ht="15.75" customHeight="1">
      <c r="B796" s="9"/>
      <c r="C796" s="10"/>
    </row>
    <row r="797" spans="2:3" ht="15.75" customHeight="1">
      <c r="B797" s="9"/>
      <c r="C797" s="10"/>
    </row>
    <row r="798" spans="2:3" ht="15.75" customHeight="1">
      <c r="B798" s="9"/>
      <c r="C798" s="10"/>
    </row>
    <row r="799" spans="2:3" ht="15.75" customHeight="1">
      <c r="B799" s="9"/>
      <c r="C799" s="10"/>
    </row>
    <row r="800" spans="2:3" ht="15.75" customHeight="1">
      <c r="B800" s="9"/>
      <c r="C800" s="10"/>
    </row>
    <row r="801" spans="2:3" ht="15.75" customHeight="1">
      <c r="B801" s="9"/>
      <c r="C801" s="10"/>
    </row>
    <row r="802" spans="2:3" ht="15.75" customHeight="1">
      <c r="B802" s="9"/>
      <c r="C802" s="10"/>
    </row>
    <row r="803" spans="2:3" ht="15.75" customHeight="1">
      <c r="B803" s="9"/>
      <c r="C803" s="10"/>
    </row>
    <row r="804" spans="2:3" ht="15.75" customHeight="1">
      <c r="B804" s="9"/>
      <c r="C804" s="10"/>
    </row>
    <row r="805" spans="2:3" ht="15.75" customHeight="1">
      <c r="B805" s="9"/>
      <c r="C805" s="10"/>
    </row>
    <row r="806" spans="2:3" ht="15.75" customHeight="1">
      <c r="B806" s="9"/>
      <c r="C806" s="10"/>
    </row>
    <row r="807" spans="2:3" ht="15.75" customHeight="1">
      <c r="B807" s="9"/>
      <c r="C807" s="10"/>
    </row>
    <row r="808" spans="2:3" ht="15.75" customHeight="1">
      <c r="B808" s="9"/>
      <c r="C808" s="10"/>
    </row>
    <row r="809" spans="2:3" ht="15.75" customHeight="1">
      <c r="B809" s="9"/>
      <c r="C809" s="10"/>
    </row>
    <row r="810" spans="2:3" ht="15.75" customHeight="1">
      <c r="B810" s="9"/>
      <c r="C810" s="10"/>
    </row>
    <row r="811" spans="2:3" ht="15.75" customHeight="1">
      <c r="B811" s="9"/>
      <c r="C811" s="10"/>
    </row>
    <row r="812" spans="2:3" ht="15.75" customHeight="1">
      <c r="B812" s="9"/>
      <c r="C812" s="10"/>
    </row>
    <row r="813" spans="2:3" ht="15.75" customHeight="1">
      <c r="B813" s="9"/>
      <c r="C813" s="10"/>
    </row>
    <row r="814" spans="2:3" ht="15.75" customHeight="1">
      <c r="B814" s="9"/>
      <c r="C814" s="10"/>
    </row>
    <row r="815" spans="2:3" ht="15.75" customHeight="1">
      <c r="B815" s="9"/>
      <c r="C815" s="10"/>
    </row>
    <row r="816" spans="2:3" ht="15.75" customHeight="1">
      <c r="B816" s="9"/>
      <c r="C816" s="10"/>
    </row>
    <row r="817" spans="2:3" ht="15.75" customHeight="1">
      <c r="B817" s="9"/>
      <c r="C817" s="10"/>
    </row>
    <row r="818" spans="2:3" ht="15.75" customHeight="1">
      <c r="B818" s="9"/>
      <c r="C818" s="10"/>
    </row>
    <row r="819" spans="2:3" ht="15.75" customHeight="1">
      <c r="B819" s="9"/>
      <c r="C819" s="10"/>
    </row>
    <row r="820" spans="2:3" ht="15.75" customHeight="1">
      <c r="B820" s="9"/>
      <c r="C820" s="10"/>
    </row>
    <row r="821" spans="2:3" ht="15.75" customHeight="1">
      <c r="B821" s="9"/>
      <c r="C821" s="10"/>
    </row>
    <row r="822" spans="2:3" ht="15.75" customHeight="1">
      <c r="B822" s="9"/>
      <c r="C822" s="10"/>
    </row>
    <row r="823" spans="2:3" ht="15.75" customHeight="1">
      <c r="B823" s="9"/>
      <c r="C823" s="10"/>
    </row>
    <row r="824" spans="2:3" ht="15.75" customHeight="1">
      <c r="B824" s="9"/>
      <c r="C824" s="10"/>
    </row>
    <row r="825" spans="2:3" ht="15.75" customHeight="1">
      <c r="B825" s="9"/>
      <c r="C825" s="10"/>
    </row>
    <row r="826" spans="2:3" ht="15.75" customHeight="1">
      <c r="B826" s="9"/>
      <c r="C826" s="10"/>
    </row>
    <row r="827" spans="2:3" ht="15.75" customHeight="1">
      <c r="B827" s="9"/>
      <c r="C827" s="10"/>
    </row>
    <row r="828" spans="2:3" ht="15.75" customHeight="1">
      <c r="B828" s="9"/>
      <c r="C828" s="10"/>
    </row>
    <row r="829" spans="2:3" ht="15.75" customHeight="1">
      <c r="B829" s="9"/>
      <c r="C829" s="10"/>
    </row>
    <row r="830" spans="2:3" ht="15.75" customHeight="1">
      <c r="B830" s="9"/>
      <c r="C830" s="10"/>
    </row>
    <row r="831" spans="2:3" ht="15.75" customHeight="1">
      <c r="B831" s="9"/>
      <c r="C831" s="10"/>
    </row>
    <row r="832" spans="2:3" ht="15.75" customHeight="1">
      <c r="B832" s="9"/>
      <c r="C832" s="10"/>
    </row>
    <row r="833" spans="2:3" ht="15.75" customHeight="1">
      <c r="B833" s="9"/>
      <c r="C833" s="10"/>
    </row>
    <row r="834" spans="2:3" ht="15.75" customHeight="1">
      <c r="B834" s="9"/>
      <c r="C834" s="10"/>
    </row>
    <row r="835" spans="2:3" ht="15.75" customHeight="1">
      <c r="B835" s="9"/>
      <c r="C835" s="10"/>
    </row>
    <row r="836" spans="2:3" ht="15.75" customHeight="1">
      <c r="B836" s="9"/>
      <c r="C836" s="10"/>
    </row>
    <row r="837" spans="2:3" ht="15.75" customHeight="1">
      <c r="B837" s="9"/>
      <c r="C837" s="10"/>
    </row>
    <row r="838" spans="2:3" ht="15.75" customHeight="1">
      <c r="B838" s="9"/>
      <c r="C838" s="10"/>
    </row>
    <row r="839" spans="2:3" ht="15.75" customHeight="1">
      <c r="B839" s="9"/>
      <c r="C839" s="10"/>
    </row>
    <row r="840" spans="2:3" ht="15.75" customHeight="1">
      <c r="B840" s="9"/>
      <c r="C840" s="10"/>
    </row>
    <row r="841" spans="2:3" ht="15.75" customHeight="1">
      <c r="B841" s="9"/>
      <c r="C841" s="10"/>
    </row>
    <row r="842" spans="2:3" ht="15.75" customHeight="1">
      <c r="B842" s="9"/>
      <c r="C842" s="10"/>
    </row>
    <row r="843" spans="2:3" ht="15.75" customHeight="1">
      <c r="B843" s="9"/>
      <c r="C843" s="10"/>
    </row>
    <row r="844" spans="2:3" ht="15.75" customHeight="1">
      <c r="B844" s="9"/>
      <c r="C844" s="10"/>
    </row>
    <row r="845" spans="2:3" ht="15.75" customHeight="1">
      <c r="B845" s="9"/>
      <c r="C845" s="10"/>
    </row>
    <row r="846" spans="2:3" ht="15.75" customHeight="1">
      <c r="B846" s="9"/>
      <c r="C846" s="10"/>
    </row>
    <row r="847" spans="2:3" ht="15.75" customHeight="1">
      <c r="B847" s="9"/>
      <c r="C847" s="10"/>
    </row>
    <row r="848" spans="2:3" ht="15.75" customHeight="1">
      <c r="B848" s="9"/>
      <c r="C848" s="10"/>
    </row>
    <row r="849" spans="2:3" ht="15.75" customHeight="1">
      <c r="B849" s="9"/>
      <c r="C849" s="10"/>
    </row>
    <row r="850" spans="2:3" ht="15.75" customHeight="1">
      <c r="B850" s="9"/>
      <c r="C850" s="10"/>
    </row>
    <row r="851" spans="2:3" ht="15.75" customHeight="1">
      <c r="B851" s="9"/>
      <c r="C851" s="10"/>
    </row>
    <row r="852" spans="2:3" ht="15.75" customHeight="1">
      <c r="B852" s="9"/>
      <c r="C852" s="10"/>
    </row>
    <row r="853" spans="2:3" ht="15.75" customHeight="1">
      <c r="B853" s="9"/>
      <c r="C853" s="10"/>
    </row>
    <row r="854" spans="2:3" ht="15.75" customHeight="1">
      <c r="B854" s="9"/>
      <c r="C854" s="10"/>
    </row>
    <row r="855" spans="2:3" ht="15.75" customHeight="1">
      <c r="B855" s="9"/>
      <c r="C855" s="10"/>
    </row>
    <row r="856" spans="2:3" ht="15.75" customHeight="1">
      <c r="B856" s="9"/>
      <c r="C856" s="10"/>
    </row>
    <row r="857" spans="2:3" ht="15.75" customHeight="1">
      <c r="B857" s="9"/>
      <c r="C857" s="10"/>
    </row>
    <row r="858" spans="2:3" ht="15.75" customHeight="1">
      <c r="B858" s="9"/>
      <c r="C858" s="10"/>
    </row>
    <row r="859" spans="2:3" ht="15.75" customHeight="1">
      <c r="B859" s="9"/>
      <c r="C859" s="10"/>
    </row>
    <row r="860" spans="2:3" ht="15.75" customHeight="1">
      <c r="B860" s="9"/>
      <c r="C860" s="10"/>
    </row>
    <row r="861" spans="2:3" ht="15.75" customHeight="1">
      <c r="B861" s="9"/>
      <c r="C861" s="10"/>
    </row>
    <row r="862" spans="2:3" ht="15.75" customHeight="1">
      <c r="B862" s="9"/>
      <c r="C862" s="10"/>
    </row>
    <row r="863" spans="2:3" ht="15.75" customHeight="1">
      <c r="B863" s="9"/>
      <c r="C863" s="10"/>
    </row>
    <row r="864" spans="2:3" ht="15.75" customHeight="1">
      <c r="B864" s="9"/>
      <c r="C864" s="10"/>
    </row>
    <row r="865" spans="2:3" ht="15.75" customHeight="1">
      <c r="B865" s="9"/>
      <c r="C865" s="10"/>
    </row>
    <row r="866" spans="2:3" ht="15.75" customHeight="1">
      <c r="B866" s="9"/>
      <c r="C866" s="10"/>
    </row>
    <row r="867" spans="2:3" ht="15.75" customHeight="1">
      <c r="B867" s="9"/>
      <c r="C867" s="10"/>
    </row>
    <row r="868" spans="2:3" ht="15.75" customHeight="1">
      <c r="B868" s="9"/>
      <c r="C868" s="10"/>
    </row>
    <row r="869" spans="2:3" ht="15.75" customHeight="1">
      <c r="B869" s="9"/>
      <c r="C869" s="10"/>
    </row>
    <row r="870" spans="2:3" ht="15.75" customHeight="1">
      <c r="B870" s="9"/>
      <c r="C870" s="10"/>
    </row>
    <row r="871" spans="2:3" ht="15.75" customHeight="1">
      <c r="B871" s="9"/>
      <c r="C871" s="10"/>
    </row>
    <row r="872" spans="2:3" ht="15.75" customHeight="1">
      <c r="B872" s="9"/>
      <c r="C872" s="10"/>
    </row>
    <row r="873" spans="2:3" ht="15.75" customHeight="1">
      <c r="B873" s="9"/>
      <c r="C873" s="10"/>
    </row>
    <row r="874" spans="2:3" ht="15.75" customHeight="1">
      <c r="B874" s="9"/>
      <c r="C874" s="10"/>
    </row>
    <row r="875" spans="2:3" ht="15.75" customHeight="1">
      <c r="B875" s="9"/>
      <c r="C875" s="10"/>
    </row>
    <row r="876" spans="2:3" ht="15.75" customHeight="1">
      <c r="B876" s="9"/>
      <c r="C876" s="10"/>
    </row>
    <row r="877" spans="2:3" ht="15.75" customHeight="1">
      <c r="B877" s="9"/>
      <c r="C877" s="10"/>
    </row>
    <row r="878" spans="2:3" ht="15.75" customHeight="1">
      <c r="B878" s="9"/>
      <c r="C878" s="10"/>
    </row>
    <row r="879" spans="2:3" ht="15.75" customHeight="1">
      <c r="B879" s="9"/>
      <c r="C879" s="10"/>
    </row>
    <row r="880" spans="2:3" ht="15.75" customHeight="1">
      <c r="B880" s="9"/>
      <c r="C880" s="10"/>
    </row>
    <row r="881" spans="2:3" ht="15.75" customHeight="1">
      <c r="B881" s="9"/>
      <c r="C881" s="10"/>
    </row>
    <row r="882" spans="2:3" ht="15.75" customHeight="1">
      <c r="B882" s="9"/>
      <c r="C882" s="10"/>
    </row>
    <row r="883" spans="2:3" ht="15.75" customHeight="1">
      <c r="B883" s="9"/>
      <c r="C883" s="10"/>
    </row>
    <row r="884" spans="2:3" ht="15.75" customHeight="1">
      <c r="B884" s="9"/>
      <c r="C884" s="10"/>
    </row>
    <row r="885" spans="2:3" ht="15.75" customHeight="1">
      <c r="B885" s="9"/>
      <c r="C885" s="10"/>
    </row>
    <row r="886" spans="2:3" ht="15.75" customHeight="1">
      <c r="B886" s="9"/>
      <c r="C886" s="10"/>
    </row>
    <row r="887" spans="2:3" ht="15.75" customHeight="1">
      <c r="B887" s="9"/>
      <c r="C887" s="10"/>
    </row>
    <row r="888" spans="2:3" ht="15.75" customHeight="1">
      <c r="B888" s="9"/>
      <c r="C888" s="10"/>
    </row>
    <row r="889" spans="2:3" ht="15.75" customHeight="1">
      <c r="B889" s="9"/>
      <c r="C889" s="10"/>
    </row>
    <row r="890" spans="2:3" ht="15.75" customHeight="1">
      <c r="B890" s="9"/>
      <c r="C890" s="10"/>
    </row>
    <row r="891" spans="2:3" ht="15.75" customHeight="1">
      <c r="B891" s="9"/>
      <c r="C891" s="10"/>
    </row>
    <row r="892" spans="2:3" ht="15.75" customHeight="1">
      <c r="B892" s="9"/>
      <c r="C892" s="10"/>
    </row>
    <row r="893" spans="2:3" ht="15.75" customHeight="1">
      <c r="B893" s="9"/>
      <c r="C893" s="10"/>
    </row>
    <row r="894" spans="2:3" ht="15.75" customHeight="1">
      <c r="B894" s="9"/>
      <c r="C894" s="10"/>
    </row>
    <row r="895" spans="2:3" ht="15.75" customHeight="1">
      <c r="B895" s="9"/>
      <c r="C895" s="10"/>
    </row>
    <row r="896" spans="2:3" ht="15.75" customHeight="1">
      <c r="B896" s="9"/>
      <c r="C896" s="10"/>
    </row>
    <row r="897" spans="2:3" ht="15.75" customHeight="1">
      <c r="B897" s="9"/>
      <c r="C897" s="10"/>
    </row>
    <row r="898" spans="2:3" ht="15.75" customHeight="1">
      <c r="B898" s="9"/>
      <c r="C898" s="10"/>
    </row>
    <row r="899" spans="2:3" ht="15.75" customHeight="1">
      <c r="B899" s="9"/>
      <c r="C899" s="10"/>
    </row>
    <row r="900" spans="2:3" ht="15.75" customHeight="1">
      <c r="B900" s="9"/>
      <c r="C900" s="10"/>
    </row>
    <row r="901" spans="2:3" ht="15.75" customHeight="1">
      <c r="B901" s="9"/>
      <c r="C901" s="10"/>
    </row>
    <row r="902" spans="2:3" ht="15.75" customHeight="1">
      <c r="B902" s="9"/>
      <c r="C902" s="10"/>
    </row>
    <row r="903" spans="2:3" ht="15.75" customHeight="1">
      <c r="B903" s="9"/>
      <c r="C903" s="10"/>
    </row>
    <row r="904" spans="2:3" ht="15.75" customHeight="1">
      <c r="B904" s="9"/>
      <c r="C904" s="10"/>
    </row>
    <row r="905" spans="2:3" ht="15.75" customHeight="1">
      <c r="B905" s="9"/>
      <c r="C905" s="10"/>
    </row>
    <row r="906" spans="2:3" ht="15.75" customHeight="1">
      <c r="B906" s="9"/>
      <c r="C906" s="10"/>
    </row>
    <row r="907" spans="2:3" ht="15.75" customHeight="1">
      <c r="B907" s="9"/>
      <c r="C907" s="10"/>
    </row>
    <row r="908" spans="2:3" ht="15.75" customHeight="1">
      <c r="B908" s="9"/>
      <c r="C908" s="10"/>
    </row>
    <row r="909" spans="2:3" ht="15.75" customHeight="1">
      <c r="B909" s="9"/>
      <c r="C909" s="10"/>
    </row>
    <row r="910" spans="2:3" ht="15.75" customHeight="1">
      <c r="B910" s="9"/>
      <c r="C910" s="10"/>
    </row>
    <row r="911" spans="2:3" ht="15.75" customHeight="1">
      <c r="B911" s="9"/>
      <c r="C911" s="10"/>
    </row>
    <row r="912" spans="2:3" ht="15.75" customHeight="1">
      <c r="B912" s="9"/>
      <c r="C912" s="10"/>
    </row>
    <row r="913" spans="2:3" ht="15.75" customHeight="1">
      <c r="B913" s="9"/>
      <c r="C913" s="10"/>
    </row>
    <row r="914" spans="2:3" ht="15.75" customHeight="1">
      <c r="B914" s="9"/>
      <c r="C914" s="10"/>
    </row>
    <row r="915" spans="2:3" ht="15.75" customHeight="1">
      <c r="B915" s="9"/>
      <c r="C915" s="10"/>
    </row>
    <row r="916" spans="2:3" ht="15.75" customHeight="1">
      <c r="B916" s="9"/>
      <c r="C916" s="10"/>
    </row>
    <row r="917" spans="2:3" ht="15.75" customHeight="1">
      <c r="B917" s="9"/>
      <c r="C917" s="10"/>
    </row>
    <row r="918" spans="2:3" ht="15.75" customHeight="1">
      <c r="B918" s="9"/>
      <c r="C918" s="10"/>
    </row>
    <row r="919" spans="2:3" ht="15.75" customHeight="1">
      <c r="B919" s="9"/>
      <c r="C919" s="10"/>
    </row>
    <row r="920" spans="2:3" ht="15.75" customHeight="1">
      <c r="B920" s="9"/>
      <c r="C920" s="10"/>
    </row>
    <row r="921" spans="2:3" ht="15.75" customHeight="1">
      <c r="B921" s="9"/>
      <c r="C921" s="10"/>
    </row>
    <row r="922" spans="2:3" ht="15.75" customHeight="1">
      <c r="B922" s="9"/>
      <c r="C922" s="10"/>
    </row>
    <row r="923" spans="2:3" ht="15.75" customHeight="1">
      <c r="B923" s="9"/>
      <c r="C923" s="10"/>
    </row>
    <row r="924" spans="2:3" ht="15.75" customHeight="1">
      <c r="B924" s="9"/>
      <c r="C924" s="10"/>
    </row>
    <row r="925" spans="2:3" ht="15.75" customHeight="1">
      <c r="B925" s="9"/>
      <c r="C925" s="10"/>
    </row>
    <row r="926" spans="2:3" ht="15.75" customHeight="1">
      <c r="B926" s="9"/>
      <c r="C926" s="10"/>
    </row>
    <row r="927" spans="2:3" ht="15.75" customHeight="1">
      <c r="B927" s="9"/>
      <c r="C927" s="10"/>
    </row>
    <row r="928" spans="2:3" ht="15.75" customHeight="1">
      <c r="B928" s="9"/>
      <c r="C928" s="10"/>
    </row>
    <row r="929" spans="2:3" ht="15.75" customHeight="1">
      <c r="B929" s="9"/>
      <c r="C929" s="10"/>
    </row>
    <row r="930" spans="2:3" ht="15.75" customHeight="1">
      <c r="B930" s="9"/>
      <c r="C930" s="10"/>
    </row>
    <row r="931" spans="2:3" ht="15.75" customHeight="1">
      <c r="B931" s="9"/>
      <c r="C931" s="10"/>
    </row>
    <row r="932" spans="2:3" ht="15.75" customHeight="1">
      <c r="B932" s="9"/>
      <c r="C932" s="10"/>
    </row>
    <row r="933" spans="2:3" ht="15.75" customHeight="1">
      <c r="B933" s="9"/>
      <c r="C933" s="10"/>
    </row>
    <row r="934" spans="2:3" ht="15.75" customHeight="1">
      <c r="B934" s="9"/>
      <c r="C934" s="10"/>
    </row>
    <row r="935" spans="2:3" ht="15.75" customHeight="1">
      <c r="B935" s="9"/>
      <c r="C935" s="10"/>
    </row>
    <row r="936" spans="2:3" ht="15.75" customHeight="1">
      <c r="B936" s="9"/>
      <c r="C936" s="10"/>
    </row>
    <row r="937" spans="2:3" ht="15.75" customHeight="1">
      <c r="B937" s="9"/>
      <c r="C937" s="10"/>
    </row>
    <row r="938" spans="2:3" ht="15.75" customHeight="1">
      <c r="B938" s="9"/>
      <c r="C938" s="10"/>
    </row>
    <row r="939" spans="2:3" ht="15.75" customHeight="1">
      <c r="B939" s="9"/>
      <c r="C939" s="10"/>
    </row>
    <row r="940" spans="2:3" ht="15.75" customHeight="1">
      <c r="B940" s="9"/>
      <c r="C940" s="10"/>
    </row>
    <row r="941" spans="2:3" ht="15.75" customHeight="1">
      <c r="B941" s="9"/>
      <c r="C941" s="10"/>
    </row>
    <row r="942" spans="2:3" ht="15.75" customHeight="1">
      <c r="B942" s="9"/>
      <c r="C942" s="10"/>
    </row>
    <row r="943" spans="2:3" ht="15.75" customHeight="1">
      <c r="B943" s="9"/>
      <c r="C943" s="10"/>
    </row>
    <row r="944" spans="2:3" ht="15.75" customHeight="1">
      <c r="B944" s="9"/>
      <c r="C944" s="10"/>
    </row>
    <row r="945" spans="2:3" ht="15.75" customHeight="1">
      <c r="B945" s="9"/>
      <c r="C945" s="10"/>
    </row>
    <row r="946" spans="2:3" ht="15.75" customHeight="1">
      <c r="B946" s="9"/>
      <c r="C946" s="10"/>
    </row>
    <row r="947" spans="2:3" ht="15.75" customHeight="1">
      <c r="B947" s="9"/>
      <c r="C947" s="10"/>
    </row>
    <row r="948" spans="2:3" ht="15.75" customHeight="1">
      <c r="B948" s="9"/>
      <c r="C948" s="10"/>
    </row>
    <row r="949" spans="2:3" ht="15.75" customHeight="1">
      <c r="B949" s="9"/>
      <c r="C949" s="10"/>
    </row>
    <row r="950" spans="2:3" ht="15.75" customHeight="1">
      <c r="B950" s="9"/>
      <c r="C950" s="10"/>
    </row>
    <row r="951" spans="2:3" ht="15.75" customHeight="1">
      <c r="B951" s="9"/>
      <c r="C951" s="10"/>
    </row>
    <row r="952" spans="2:3" ht="15.75" customHeight="1">
      <c r="B952" s="9"/>
      <c r="C952" s="10"/>
    </row>
    <row r="953" spans="2:3" ht="15.75" customHeight="1">
      <c r="B953" s="9"/>
      <c r="C953" s="10"/>
    </row>
    <row r="954" spans="2:3" ht="15.75" customHeight="1">
      <c r="B954" s="9"/>
      <c r="C954" s="10"/>
    </row>
    <row r="955" spans="2:3" ht="15.75" customHeight="1">
      <c r="B955" s="9"/>
      <c r="C955" s="10"/>
    </row>
    <row r="956" spans="2:3" ht="15.75" customHeight="1">
      <c r="B956" s="9"/>
      <c r="C956" s="10"/>
    </row>
    <row r="957" spans="2:3" ht="15.75" customHeight="1">
      <c r="B957" s="9"/>
      <c r="C957" s="10"/>
    </row>
    <row r="958" spans="2:3" ht="15.75" customHeight="1">
      <c r="B958" s="9"/>
      <c r="C958" s="10"/>
    </row>
    <row r="959" spans="2:3" ht="15.75" customHeight="1">
      <c r="B959" s="9"/>
      <c r="C959" s="10"/>
    </row>
    <row r="960" spans="2:3" ht="15.75" customHeight="1">
      <c r="B960" s="9"/>
      <c r="C960" s="10"/>
    </row>
    <row r="961" spans="2:3" ht="15.75" customHeight="1">
      <c r="B961" s="9"/>
      <c r="C961" s="10"/>
    </row>
    <row r="962" spans="2:3" ht="15.75" customHeight="1">
      <c r="B962" s="9"/>
      <c r="C962" s="10"/>
    </row>
    <row r="963" spans="2:3" ht="15.75" customHeight="1">
      <c r="B963" s="9"/>
      <c r="C963" s="10"/>
    </row>
    <row r="964" spans="2:3" ht="15.75" customHeight="1">
      <c r="B964" s="9"/>
      <c r="C964" s="10"/>
    </row>
    <row r="965" spans="2:3" ht="15.75" customHeight="1">
      <c r="B965" s="9"/>
      <c r="C965" s="10"/>
    </row>
    <row r="966" spans="2:3" ht="15.75" customHeight="1">
      <c r="B966" s="9"/>
      <c r="C966" s="10"/>
    </row>
    <row r="967" spans="2:3" ht="15.75" customHeight="1">
      <c r="B967" s="9"/>
      <c r="C967" s="10"/>
    </row>
    <row r="968" spans="2:3" ht="15.75" customHeight="1">
      <c r="B968" s="9"/>
      <c r="C968" s="10"/>
    </row>
    <row r="969" spans="2:3" ht="15.75" customHeight="1">
      <c r="B969" s="9"/>
      <c r="C969" s="10"/>
    </row>
    <row r="970" spans="2:3" ht="15.75" customHeight="1">
      <c r="B970" s="9"/>
      <c r="C970" s="10"/>
    </row>
    <row r="971" spans="2:3" ht="15.75" customHeight="1">
      <c r="B971" s="9"/>
      <c r="C971" s="10"/>
    </row>
    <row r="972" spans="2:3" ht="15.75" customHeight="1">
      <c r="B972" s="9"/>
      <c r="C972" s="10"/>
    </row>
    <row r="973" spans="2:3" ht="15.75" customHeight="1">
      <c r="B973" s="9"/>
      <c r="C973" s="10"/>
    </row>
    <row r="974" spans="2:3" ht="15.75" customHeight="1">
      <c r="B974" s="9"/>
      <c r="C974" s="10"/>
    </row>
    <row r="975" spans="2:3" ht="15.75" customHeight="1">
      <c r="B975" s="9"/>
      <c r="C975" s="10"/>
    </row>
    <row r="976" spans="2:3" ht="15.75" customHeight="1">
      <c r="B976" s="9"/>
      <c r="C976" s="10"/>
    </row>
    <row r="977" spans="2:3" ht="15.75" customHeight="1">
      <c r="B977" s="9"/>
      <c r="C977" s="10"/>
    </row>
    <row r="978" spans="2:3" ht="15.75" customHeight="1">
      <c r="B978" s="9"/>
      <c r="C978" s="10"/>
    </row>
    <row r="979" spans="2:3" ht="15.75" customHeight="1">
      <c r="B979" s="9"/>
      <c r="C979" s="10"/>
    </row>
    <row r="980" spans="2:3" ht="15.75" customHeight="1">
      <c r="B980" s="9"/>
      <c r="C980" s="10"/>
    </row>
    <row r="981" spans="2:3" ht="15.75" customHeight="1">
      <c r="B981" s="9"/>
      <c r="C981" s="10"/>
    </row>
    <row r="982" spans="2:3" ht="15.75" customHeight="1">
      <c r="B982" s="9"/>
      <c r="C982" s="10"/>
    </row>
    <row r="983" spans="2:3" ht="15.75" customHeight="1">
      <c r="B983" s="9"/>
      <c r="C983" s="10"/>
    </row>
    <row r="984" spans="2:3" ht="15.75" customHeight="1">
      <c r="B984" s="9"/>
      <c r="C984" s="10"/>
    </row>
    <row r="985" spans="2:3" ht="15.75" customHeight="1">
      <c r="B985" s="9"/>
      <c r="C985" s="10"/>
    </row>
    <row r="986" spans="2:3" ht="15.75" customHeight="1">
      <c r="B986" s="9"/>
      <c r="C986" s="10"/>
    </row>
    <row r="987" spans="2:3" ht="15.75" customHeight="1">
      <c r="B987" s="9"/>
      <c r="C987" s="10"/>
    </row>
    <row r="988" spans="2:3" ht="15.75" customHeight="1">
      <c r="B988" s="9"/>
      <c r="C988" s="10"/>
    </row>
    <row r="989" spans="2:3" ht="15.75" customHeight="1">
      <c r="B989" s="9"/>
      <c r="C989" s="10"/>
    </row>
    <row r="990" spans="2:3" ht="15.75" customHeight="1">
      <c r="B990" s="9"/>
      <c r="C990" s="10"/>
    </row>
    <row r="991" spans="2:3" ht="15.75" customHeight="1">
      <c r="B991" s="9"/>
      <c r="C991" s="10"/>
    </row>
    <row r="992" spans="2:3" ht="15.75" customHeight="1">
      <c r="B992" s="9"/>
      <c r="C992" s="10"/>
    </row>
    <row r="993" spans="2:3" ht="15.75" customHeight="1">
      <c r="B993" s="9"/>
      <c r="C993" s="10"/>
    </row>
    <row r="994" spans="2:3" ht="15.75" customHeight="1">
      <c r="B994" s="9"/>
      <c r="C994" s="10"/>
    </row>
    <row r="995" spans="2:3" ht="15.75" customHeight="1">
      <c r="B995" s="9"/>
      <c r="C995" s="10"/>
    </row>
    <row r="996" spans="2:3" ht="15.75" customHeight="1">
      <c r="B996" s="9"/>
      <c r="C996" s="10"/>
    </row>
    <row r="997" spans="2:3" ht="15.75" customHeight="1">
      <c r="B997" s="9"/>
      <c r="C997" s="10"/>
    </row>
    <row r="998" spans="2:3" ht="15.75" customHeight="1">
      <c r="B998" s="9"/>
      <c r="C998" s="10"/>
    </row>
    <row r="999" spans="2:3" ht="15.75" customHeight="1">
      <c r="B999" s="9"/>
      <c r="C999" s="10"/>
    </row>
    <row r="1000" spans="2:3" ht="15.75" customHeight="1">
      <c r="B1000" s="9"/>
      <c r="C1000" s="10"/>
    </row>
    <row r="1001" spans="2:3" ht="15.75" customHeight="1">
      <c r="B1001" s="9"/>
      <c r="C1001" s="10"/>
    </row>
    <row r="1002" spans="2:3" ht="15.75" customHeight="1">
      <c r="B1002" s="9"/>
      <c r="C1002" s="10"/>
    </row>
  </sheetData>
  <mergeCells count="8">
    <mergeCell ref="B66:C66"/>
    <mergeCell ref="B67:C67"/>
    <mergeCell ref="B68:C68"/>
    <mergeCell ref="H2:J2"/>
    <mergeCell ref="H3:J3"/>
    <mergeCell ref="H4:J4"/>
    <mergeCell ref="H5:J5"/>
    <mergeCell ref="A7:M7"/>
  </mergeCells>
  <pageMargins left="0.60938967136150235" right="0.85727699530516432" top="1" bottom="1" header="0" footer="0"/>
  <pageSetup scale="7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"/>
  <sheetViews>
    <sheetView workbookViewId="0"/>
  </sheetViews>
  <sheetFormatPr defaultColWidth="14.42578125" defaultRowHeight="15" customHeight="1"/>
  <cols>
    <col min="1" max="1" width="18.7109375" customWidth="1"/>
    <col min="2" max="2" width="16.42578125" customWidth="1"/>
    <col min="3" max="3" width="16.7109375" customWidth="1"/>
    <col min="4" max="23" width="9.140625" customWidth="1"/>
  </cols>
  <sheetData>
    <row r="1" spans="1:23" ht="15.75" customHeight="1">
      <c r="A1" s="47" t="s">
        <v>22</v>
      </c>
      <c r="B1" s="48" t="s">
        <v>61</v>
      </c>
      <c r="C1" s="47" t="s">
        <v>23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5.75" customHeight="1">
      <c r="A2" s="49" t="s">
        <v>52</v>
      </c>
      <c r="B2" s="50">
        <v>0</v>
      </c>
      <c r="C2" s="50" t="s">
        <v>62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51" t="s">
        <v>50</v>
      </c>
      <c r="B3" s="52">
        <v>50</v>
      </c>
      <c r="C3" s="52" t="s">
        <v>63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51" t="s">
        <v>48</v>
      </c>
      <c r="B4" s="52">
        <v>55</v>
      </c>
      <c r="C4" s="52" t="s">
        <v>64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51" t="s">
        <v>45</v>
      </c>
      <c r="B5" s="52">
        <v>60</v>
      </c>
      <c r="C5" s="52" t="s">
        <v>65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51" t="s">
        <v>42</v>
      </c>
      <c r="B6" s="52">
        <v>65</v>
      </c>
      <c r="C6" s="52" t="s">
        <v>66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51" t="s">
        <v>39</v>
      </c>
      <c r="B7" s="52">
        <v>70</v>
      </c>
      <c r="C7" s="52" t="s">
        <v>67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51" t="s">
        <v>36</v>
      </c>
      <c r="B8" s="52">
        <v>75</v>
      </c>
      <c r="C8" s="52" t="s">
        <v>68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51" t="s">
        <v>33</v>
      </c>
      <c r="B9" s="52">
        <v>80</v>
      </c>
      <c r="C9" s="52" t="s">
        <v>69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53" t="s">
        <v>29</v>
      </c>
      <c r="B10" s="52">
        <v>85</v>
      </c>
      <c r="C10" s="52" t="s">
        <v>70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>
      <c r="A11" s="54" t="s">
        <v>26</v>
      </c>
      <c r="B11" s="55">
        <v>95</v>
      </c>
      <c r="C11" s="56" t="s">
        <v>71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/>
    <row r="222" spans="1:23" ht="15.75" customHeight="1"/>
    <row r="223" spans="1:23" ht="15.75" customHeight="1"/>
    <row r="224" spans="1:2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1000"/>
  <sheetViews>
    <sheetView showGridLines="0" workbookViewId="0"/>
  </sheetViews>
  <sheetFormatPr defaultColWidth="14.42578125" defaultRowHeight="15" customHeight="1"/>
  <cols>
    <col min="1" max="1" width="2.85546875" customWidth="1"/>
    <col min="2" max="2" width="4.7109375" customWidth="1"/>
    <col min="3" max="3" width="5.85546875" customWidth="1"/>
    <col min="4" max="4" width="6.140625" customWidth="1"/>
    <col min="5" max="5" width="6.28515625" customWidth="1"/>
    <col min="6" max="6" width="7.140625" customWidth="1"/>
    <col min="7" max="7" width="6.28515625" customWidth="1"/>
    <col min="8" max="8" width="11.140625" customWidth="1"/>
    <col min="9" max="12" width="6.85546875" customWidth="1"/>
    <col min="13" max="13" width="6" customWidth="1"/>
    <col min="14" max="14" width="3.85546875" customWidth="1"/>
    <col min="15" max="15" width="3" customWidth="1"/>
    <col min="16" max="16" width="4.7109375" customWidth="1"/>
    <col min="17" max="17" width="9.28515625" customWidth="1"/>
    <col min="18" max="18" width="7.7109375" customWidth="1"/>
    <col min="19" max="22" width="4.28515625" customWidth="1"/>
    <col min="23" max="31" width="3.5703125" customWidth="1"/>
    <col min="32" max="32" width="1" customWidth="1"/>
    <col min="33" max="36" width="3.5703125" customWidth="1"/>
    <col min="37" max="37" width="6.7109375" customWidth="1"/>
    <col min="38" max="44" width="3.5703125" customWidth="1"/>
  </cols>
  <sheetData>
    <row r="1" spans="1:44" ht="16.5" customHeight="1">
      <c r="A1" s="57"/>
      <c r="B1" s="57"/>
      <c r="C1" s="57"/>
      <c r="D1" s="57"/>
      <c r="E1" s="57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</row>
    <row r="2" spans="1:44" ht="16.5" customHeight="1">
      <c r="A2" s="58"/>
      <c r="B2" s="257" t="s">
        <v>0</v>
      </c>
      <c r="C2" s="241"/>
      <c r="D2" s="242"/>
      <c r="E2" s="258" t="str">
        <f>GradeSheet!$H$2</f>
        <v>CSE</v>
      </c>
      <c r="F2" s="241"/>
      <c r="G2" s="241"/>
      <c r="H2" s="241"/>
      <c r="I2" s="241"/>
      <c r="J2" s="241"/>
      <c r="K2" s="241"/>
      <c r="L2" s="241"/>
      <c r="M2" s="241"/>
      <c r="N2" s="242"/>
      <c r="O2" s="257" t="str">
        <f>CONCATENATE("Section ", GradeSheet!$L$2,)</f>
        <v>Section 1</v>
      </c>
      <c r="P2" s="241"/>
      <c r="Q2" s="242"/>
      <c r="R2" s="59"/>
      <c r="S2" s="58"/>
      <c r="T2" s="247" t="s">
        <v>72</v>
      </c>
      <c r="U2" s="241"/>
      <c r="V2" s="241"/>
      <c r="W2" s="241"/>
      <c r="X2" s="241"/>
      <c r="Y2" s="241"/>
      <c r="Z2" s="241"/>
      <c r="AA2" s="241"/>
      <c r="AB2" s="241"/>
      <c r="AC2" s="241"/>
      <c r="AD2" s="241"/>
      <c r="AE2" s="241"/>
      <c r="AF2" s="241"/>
      <c r="AG2" s="241"/>
      <c r="AH2" s="241"/>
      <c r="AI2" s="241"/>
      <c r="AJ2" s="241"/>
      <c r="AK2" s="241"/>
      <c r="AL2" s="241"/>
      <c r="AM2" s="241"/>
      <c r="AN2" s="242"/>
      <c r="AO2" s="60"/>
      <c r="AP2" s="60"/>
      <c r="AQ2" s="60"/>
      <c r="AR2" s="58"/>
    </row>
    <row r="3" spans="1:44" ht="16.5" customHeight="1">
      <c r="A3" s="58"/>
      <c r="B3" s="259" t="s">
        <v>3</v>
      </c>
      <c r="C3" s="241"/>
      <c r="D3" s="242"/>
      <c r="E3" s="260" t="str">
        <f>GradeSheet!$H$3</f>
        <v>Operating Systems</v>
      </c>
      <c r="F3" s="241"/>
      <c r="G3" s="241"/>
      <c r="H3" s="241"/>
      <c r="I3" s="241"/>
      <c r="J3" s="241"/>
      <c r="K3" s="241"/>
      <c r="L3" s="241"/>
      <c r="M3" s="241"/>
      <c r="N3" s="242"/>
      <c r="O3" s="259" t="str">
        <f>CONCATENATE(GradeSheet!$H$67," students")</f>
        <v>42 students</v>
      </c>
      <c r="P3" s="241"/>
      <c r="Q3" s="242"/>
      <c r="R3" s="59"/>
      <c r="S3" s="58"/>
      <c r="T3" s="244" t="s">
        <v>73</v>
      </c>
      <c r="U3" s="241"/>
      <c r="V3" s="241"/>
      <c r="W3" s="241"/>
      <c r="X3" s="241"/>
      <c r="Y3" s="241"/>
      <c r="Z3" s="241"/>
      <c r="AA3" s="241"/>
      <c r="AB3" s="241"/>
      <c r="AC3" s="241"/>
      <c r="AD3" s="241"/>
      <c r="AE3" s="241"/>
      <c r="AF3" s="242"/>
      <c r="AG3" s="244" t="s">
        <v>74</v>
      </c>
      <c r="AH3" s="241"/>
      <c r="AI3" s="241"/>
      <c r="AJ3" s="241"/>
      <c r="AK3" s="241"/>
      <c r="AL3" s="241"/>
      <c r="AM3" s="241"/>
      <c r="AN3" s="242"/>
      <c r="AO3" s="60"/>
      <c r="AP3" s="60"/>
      <c r="AQ3" s="60"/>
      <c r="AR3" s="58"/>
    </row>
    <row r="4" spans="1:44" ht="16.5" customHeight="1">
      <c r="A4" s="58"/>
      <c r="B4" s="261" t="s">
        <v>7</v>
      </c>
      <c r="C4" s="241"/>
      <c r="D4" s="242"/>
      <c r="E4" s="251">
        <f>GradeSheet!$H$4</f>
        <v>3</v>
      </c>
      <c r="F4" s="241"/>
      <c r="G4" s="241"/>
      <c r="H4" s="241"/>
      <c r="I4" s="241"/>
      <c r="J4" s="241"/>
      <c r="K4" s="241"/>
      <c r="L4" s="241"/>
      <c r="M4" s="241"/>
      <c r="N4" s="242"/>
      <c r="O4" s="251" t="str">
        <f>GradeSheet!$L$3</f>
        <v>Spring 2025</v>
      </c>
      <c r="P4" s="241"/>
      <c r="Q4" s="242"/>
      <c r="R4" s="59"/>
      <c r="S4" s="58"/>
      <c r="T4" s="279">
        <v>1</v>
      </c>
      <c r="U4" s="241"/>
      <c r="V4" s="241"/>
      <c r="W4" s="241"/>
      <c r="X4" s="241"/>
      <c r="Y4" s="241"/>
      <c r="Z4" s="241"/>
      <c r="AA4" s="241"/>
      <c r="AB4" s="241"/>
      <c r="AC4" s="241"/>
      <c r="AD4" s="241"/>
      <c r="AE4" s="241"/>
      <c r="AF4" s="242"/>
      <c r="AG4" s="245">
        <v>4</v>
      </c>
      <c r="AH4" s="241"/>
      <c r="AI4" s="241"/>
      <c r="AJ4" s="241"/>
      <c r="AK4" s="241"/>
      <c r="AL4" s="241"/>
      <c r="AM4" s="241"/>
      <c r="AN4" s="242"/>
      <c r="AO4" s="60"/>
      <c r="AP4" s="60"/>
      <c r="AQ4" s="60"/>
      <c r="AR4" s="58"/>
    </row>
    <row r="5" spans="1:44" ht="16.5" customHeight="1">
      <c r="A5" s="58"/>
      <c r="B5" s="57"/>
      <c r="C5" s="57"/>
      <c r="D5" s="57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59"/>
      <c r="S5" s="58"/>
      <c r="T5" s="279">
        <v>2</v>
      </c>
      <c r="U5" s="241"/>
      <c r="V5" s="241"/>
      <c r="W5" s="241"/>
      <c r="X5" s="241"/>
      <c r="Y5" s="241"/>
      <c r="Z5" s="241"/>
      <c r="AA5" s="241"/>
      <c r="AB5" s="241"/>
      <c r="AC5" s="241"/>
      <c r="AD5" s="241"/>
      <c r="AE5" s="241"/>
      <c r="AF5" s="242"/>
      <c r="AG5" s="245">
        <v>4</v>
      </c>
      <c r="AH5" s="241"/>
      <c r="AI5" s="241"/>
      <c r="AJ5" s="241"/>
      <c r="AK5" s="241"/>
      <c r="AL5" s="241"/>
      <c r="AM5" s="241"/>
      <c r="AN5" s="242"/>
      <c r="AO5" s="60"/>
      <c r="AP5" s="60"/>
      <c r="AQ5" s="60"/>
      <c r="AR5" s="58"/>
    </row>
    <row r="6" spans="1:44" ht="16.5" customHeight="1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245">
        <v>3</v>
      </c>
      <c r="U6" s="241"/>
      <c r="V6" s="241"/>
      <c r="W6" s="241"/>
      <c r="X6" s="241"/>
      <c r="Y6" s="241"/>
      <c r="Z6" s="241"/>
      <c r="AA6" s="241"/>
      <c r="AB6" s="241"/>
      <c r="AC6" s="241"/>
      <c r="AD6" s="241"/>
      <c r="AE6" s="241"/>
      <c r="AF6" s="242"/>
      <c r="AG6" s="245">
        <v>5</v>
      </c>
      <c r="AH6" s="241"/>
      <c r="AI6" s="241"/>
      <c r="AJ6" s="241"/>
      <c r="AK6" s="241"/>
      <c r="AL6" s="241"/>
      <c r="AM6" s="241"/>
      <c r="AN6" s="242"/>
      <c r="AO6" s="63"/>
      <c r="AP6" s="63"/>
      <c r="AQ6" s="63"/>
      <c r="AR6" s="62"/>
    </row>
    <row r="7" spans="1:44" ht="12.75" customHeight="1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45">
        <v>4</v>
      </c>
      <c r="U7" s="241"/>
      <c r="V7" s="241"/>
      <c r="W7" s="241"/>
      <c r="X7" s="241"/>
      <c r="Y7" s="241"/>
      <c r="Z7" s="241"/>
      <c r="AA7" s="241"/>
      <c r="AB7" s="241"/>
      <c r="AC7" s="241"/>
      <c r="AD7" s="241"/>
      <c r="AE7" s="241"/>
      <c r="AF7" s="242"/>
      <c r="AG7" s="245">
        <v>5</v>
      </c>
      <c r="AH7" s="241"/>
      <c r="AI7" s="241"/>
      <c r="AJ7" s="241"/>
      <c r="AK7" s="241"/>
      <c r="AL7" s="241"/>
      <c r="AM7" s="241"/>
      <c r="AN7" s="242"/>
      <c r="AO7" s="64"/>
      <c r="AP7" s="64"/>
      <c r="AQ7" s="64"/>
      <c r="AR7" s="62"/>
    </row>
    <row r="8" spans="1:44" ht="16.5" customHeight="1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245">
        <v>5</v>
      </c>
      <c r="U8" s="241"/>
      <c r="V8" s="241"/>
      <c r="W8" s="241"/>
      <c r="X8" s="241"/>
      <c r="Y8" s="241"/>
      <c r="Z8" s="241"/>
      <c r="AA8" s="241"/>
      <c r="AB8" s="241"/>
      <c r="AC8" s="241"/>
      <c r="AD8" s="241"/>
      <c r="AE8" s="241"/>
      <c r="AF8" s="242"/>
      <c r="AG8" s="245">
        <v>6</v>
      </c>
      <c r="AH8" s="241"/>
      <c r="AI8" s="241"/>
      <c r="AJ8" s="241"/>
      <c r="AK8" s="241"/>
      <c r="AL8" s="241"/>
      <c r="AM8" s="241"/>
      <c r="AN8" s="242"/>
      <c r="AO8" s="64"/>
      <c r="AP8" s="64"/>
      <c r="AQ8" s="64"/>
      <c r="AR8" s="62"/>
    </row>
    <row r="9" spans="1:44" ht="16.5" customHeight="1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245"/>
      <c r="U9" s="241"/>
      <c r="V9" s="241"/>
      <c r="W9" s="241"/>
      <c r="X9" s="241"/>
      <c r="Y9" s="241"/>
      <c r="Z9" s="241"/>
      <c r="AA9" s="241"/>
      <c r="AB9" s="241"/>
      <c r="AC9" s="241"/>
      <c r="AD9" s="241"/>
      <c r="AE9" s="241"/>
      <c r="AF9" s="242"/>
      <c r="AG9" s="245"/>
      <c r="AH9" s="241"/>
      <c r="AI9" s="241"/>
      <c r="AJ9" s="241"/>
      <c r="AK9" s="241"/>
      <c r="AL9" s="241"/>
      <c r="AM9" s="241"/>
      <c r="AN9" s="242"/>
      <c r="AO9" s="64"/>
      <c r="AP9" s="64"/>
      <c r="AQ9" s="64"/>
      <c r="AR9" s="62"/>
    </row>
    <row r="10" spans="1:44" ht="16.5" customHeight="1">
      <c r="A10" s="62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245"/>
      <c r="U10" s="241"/>
      <c r="V10" s="241"/>
      <c r="W10" s="241"/>
      <c r="X10" s="241"/>
      <c r="Y10" s="241"/>
      <c r="Z10" s="241"/>
      <c r="AA10" s="241"/>
      <c r="AB10" s="241"/>
      <c r="AC10" s="241"/>
      <c r="AD10" s="241"/>
      <c r="AE10" s="241"/>
      <c r="AF10" s="242"/>
      <c r="AG10" s="245"/>
      <c r="AH10" s="241"/>
      <c r="AI10" s="241"/>
      <c r="AJ10" s="241"/>
      <c r="AK10" s="241"/>
      <c r="AL10" s="241"/>
      <c r="AM10" s="241"/>
      <c r="AN10" s="242"/>
      <c r="AO10" s="64"/>
      <c r="AP10" s="64"/>
      <c r="AQ10" s="64"/>
      <c r="AR10" s="62"/>
    </row>
    <row r="11" spans="1:44" ht="16.5" customHeight="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245"/>
      <c r="U11" s="241"/>
      <c r="V11" s="241"/>
      <c r="W11" s="241"/>
      <c r="X11" s="241"/>
      <c r="Y11" s="241"/>
      <c r="Z11" s="241"/>
      <c r="AA11" s="241"/>
      <c r="AB11" s="241"/>
      <c r="AC11" s="241"/>
      <c r="AD11" s="241"/>
      <c r="AE11" s="241"/>
      <c r="AF11" s="242"/>
      <c r="AG11" s="245"/>
      <c r="AH11" s="241"/>
      <c r="AI11" s="241"/>
      <c r="AJ11" s="241"/>
      <c r="AK11" s="241"/>
      <c r="AL11" s="241"/>
      <c r="AM11" s="241"/>
      <c r="AN11" s="242"/>
      <c r="AO11" s="64"/>
      <c r="AP11" s="64"/>
      <c r="AQ11" s="64"/>
      <c r="AR11" s="62"/>
    </row>
    <row r="12" spans="1:44" ht="16.5" customHeight="1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245"/>
      <c r="U12" s="241"/>
      <c r="V12" s="241"/>
      <c r="W12" s="241"/>
      <c r="X12" s="241"/>
      <c r="Y12" s="241"/>
      <c r="Z12" s="241"/>
      <c r="AA12" s="241"/>
      <c r="AB12" s="241"/>
      <c r="AC12" s="241"/>
      <c r="AD12" s="241"/>
      <c r="AE12" s="241"/>
      <c r="AF12" s="242"/>
      <c r="AG12" s="245"/>
      <c r="AH12" s="241"/>
      <c r="AI12" s="241"/>
      <c r="AJ12" s="241"/>
      <c r="AK12" s="241"/>
      <c r="AL12" s="241"/>
      <c r="AM12" s="241"/>
      <c r="AN12" s="242"/>
      <c r="AO12" s="64"/>
      <c r="AP12" s="64"/>
      <c r="AQ12" s="64"/>
      <c r="AR12" s="62"/>
    </row>
    <row r="13" spans="1:44" ht="16.5" customHeight="1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4"/>
      <c r="AP13" s="64"/>
      <c r="AQ13" s="64"/>
      <c r="AR13" s="62"/>
    </row>
    <row r="14" spans="1:44" ht="16.5" customHeight="1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277" t="s">
        <v>75</v>
      </c>
      <c r="U14" s="217"/>
      <c r="V14" s="217"/>
      <c r="W14" s="217"/>
      <c r="X14" s="217"/>
      <c r="Y14" s="217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64"/>
      <c r="AP14" s="64"/>
      <c r="AQ14" s="64"/>
      <c r="AR14" s="62"/>
    </row>
    <row r="15" spans="1:44" ht="16.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4"/>
      <c r="U15" s="64" t="s">
        <v>76</v>
      </c>
      <c r="V15" s="277" t="s">
        <v>77</v>
      </c>
      <c r="W15" s="217"/>
      <c r="X15" s="217"/>
      <c r="Y15" s="278" t="s">
        <v>78</v>
      </c>
      <c r="Z15" s="242"/>
      <c r="AA15" s="64"/>
      <c r="AB15" s="64" t="s">
        <v>79</v>
      </c>
      <c r="AC15" s="277" t="s">
        <v>80</v>
      </c>
      <c r="AD15" s="217"/>
      <c r="AE15" s="217"/>
      <c r="AF15" s="244"/>
      <c r="AG15" s="241"/>
      <c r="AH15" s="242"/>
      <c r="AI15" s="62"/>
      <c r="AJ15" s="64" t="s">
        <v>81</v>
      </c>
      <c r="AK15" s="65" t="s">
        <v>82</v>
      </c>
      <c r="AL15" s="244"/>
      <c r="AM15" s="242"/>
      <c r="AN15" s="63"/>
      <c r="AO15" s="64"/>
      <c r="AP15" s="64"/>
      <c r="AQ15" s="64"/>
      <c r="AR15" s="62"/>
    </row>
    <row r="16" spans="1:44" ht="16.5" customHeight="1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277" t="s">
        <v>83</v>
      </c>
      <c r="U16" s="217"/>
      <c r="V16" s="217"/>
      <c r="W16" s="217"/>
      <c r="X16" s="217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64"/>
      <c r="AP16" s="64"/>
      <c r="AQ16" s="64"/>
      <c r="AR16" s="62"/>
    </row>
    <row r="17" spans="1:44" ht="16.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262"/>
      <c r="U17" s="263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3"/>
      <c r="AO17" s="263"/>
      <c r="AP17" s="263"/>
      <c r="AQ17" s="264"/>
      <c r="AR17" s="62"/>
    </row>
    <row r="18" spans="1:44" ht="16.5" customHeight="1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265"/>
      <c r="U18" s="217"/>
      <c r="V18" s="217"/>
      <c r="W18" s="217"/>
      <c r="X18" s="217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66"/>
      <c r="AR18" s="62"/>
    </row>
    <row r="19" spans="1:44" ht="16.5" customHeight="1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267"/>
      <c r="U19" s="268"/>
      <c r="V19" s="268"/>
      <c r="W19" s="268"/>
      <c r="X19" s="268"/>
      <c r="Y19" s="268"/>
      <c r="Z19" s="268"/>
      <c r="AA19" s="268"/>
      <c r="AB19" s="268"/>
      <c r="AC19" s="268"/>
      <c r="AD19" s="268"/>
      <c r="AE19" s="268"/>
      <c r="AF19" s="268"/>
      <c r="AG19" s="268"/>
      <c r="AH19" s="268"/>
      <c r="AI19" s="268"/>
      <c r="AJ19" s="268"/>
      <c r="AK19" s="268"/>
      <c r="AL19" s="268"/>
      <c r="AM19" s="268"/>
      <c r="AN19" s="268"/>
      <c r="AO19" s="268"/>
      <c r="AP19" s="268"/>
      <c r="AQ19" s="269"/>
      <c r="AR19" s="62"/>
    </row>
    <row r="20" spans="1:44" ht="16.5" customHeight="1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2"/>
    </row>
    <row r="21" spans="1:44" ht="16.5" customHeight="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247" t="s">
        <v>84</v>
      </c>
      <c r="U21" s="241"/>
      <c r="V21" s="241"/>
      <c r="W21" s="241"/>
      <c r="X21" s="241"/>
      <c r="Y21" s="241"/>
      <c r="Z21" s="241"/>
      <c r="AA21" s="241"/>
      <c r="AB21" s="241"/>
      <c r="AC21" s="241"/>
      <c r="AD21" s="241"/>
      <c r="AE21" s="241"/>
      <c r="AF21" s="241"/>
      <c r="AG21" s="241"/>
      <c r="AH21" s="241"/>
      <c r="AI21" s="241"/>
      <c r="AJ21" s="241"/>
      <c r="AK21" s="241"/>
      <c r="AL21" s="241"/>
      <c r="AM21" s="241"/>
      <c r="AN21" s="241"/>
      <c r="AO21" s="241"/>
      <c r="AP21" s="241"/>
      <c r="AQ21" s="242"/>
      <c r="AR21" s="62"/>
    </row>
    <row r="22" spans="1:44" ht="16.5" customHeight="1">
      <c r="A22" s="62"/>
      <c r="B22" s="270" t="s">
        <v>85</v>
      </c>
      <c r="C22" s="241"/>
      <c r="D22" s="241"/>
      <c r="E22" s="241"/>
      <c r="F22" s="241"/>
      <c r="G22" s="241"/>
      <c r="H22" s="241"/>
      <c r="I22" s="241"/>
      <c r="J22" s="241"/>
      <c r="K22" s="241"/>
      <c r="L22" s="241"/>
      <c r="M22" s="241"/>
      <c r="N22" s="241"/>
      <c r="O22" s="242"/>
      <c r="P22" s="62"/>
      <c r="Q22" s="62"/>
      <c r="R22" s="62"/>
      <c r="S22" s="62"/>
      <c r="T22" s="244" t="s">
        <v>86</v>
      </c>
      <c r="U22" s="241"/>
      <c r="V22" s="241"/>
      <c r="W22" s="241"/>
      <c r="X22" s="241"/>
      <c r="Y22" s="241"/>
      <c r="Z22" s="241"/>
      <c r="AA22" s="241"/>
      <c r="AB22" s="241"/>
      <c r="AC22" s="241"/>
      <c r="AD22" s="241"/>
      <c r="AE22" s="241"/>
      <c r="AF22" s="242"/>
      <c r="AG22" s="244" t="s">
        <v>74</v>
      </c>
      <c r="AH22" s="241"/>
      <c r="AI22" s="241"/>
      <c r="AJ22" s="241"/>
      <c r="AK22" s="242"/>
      <c r="AL22" s="244" t="s">
        <v>87</v>
      </c>
      <c r="AM22" s="241"/>
      <c r="AN22" s="241"/>
      <c r="AO22" s="241"/>
      <c r="AP22" s="241"/>
      <c r="AQ22" s="242"/>
      <c r="AR22" s="62"/>
    </row>
    <row r="23" spans="1:44" ht="16.5" customHeight="1">
      <c r="A23" s="62"/>
      <c r="B23" s="66" t="s">
        <v>27</v>
      </c>
      <c r="C23" s="66" t="s">
        <v>30</v>
      </c>
      <c r="D23" s="66" t="s">
        <v>34</v>
      </c>
      <c r="E23" s="66" t="s">
        <v>37</v>
      </c>
      <c r="F23" s="66" t="s">
        <v>40</v>
      </c>
      <c r="G23" s="66" t="s">
        <v>43</v>
      </c>
      <c r="H23" s="66" t="s">
        <v>46</v>
      </c>
      <c r="I23" s="66" t="s">
        <v>49</v>
      </c>
      <c r="J23" s="66" t="s">
        <v>51</v>
      </c>
      <c r="K23" s="66" t="s">
        <v>53</v>
      </c>
      <c r="L23" s="66" t="s">
        <v>55</v>
      </c>
      <c r="M23" s="66" t="s">
        <v>57</v>
      </c>
      <c r="N23" s="271" t="s">
        <v>47</v>
      </c>
      <c r="O23" s="242"/>
      <c r="P23" s="62"/>
      <c r="Q23" s="62"/>
      <c r="R23" s="62"/>
      <c r="S23" s="62"/>
      <c r="T23" s="245" t="s">
        <v>88</v>
      </c>
      <c r="U23" s="241"/>
      <c r="V23" s="241"/>
      <c r="W23" s="241"/>
      <c r="X23" s="241"/>
      <c r="Y23" s="241"/>
      <c r="Z23" s="241"/>
      <c r="AA23" s="241"/>
      <c r="AB23" s="241"/>
      <c r="AC23" s="241"/>
      <c r="AD23" s="241"/>
      <c r="AE23" s="241"/>
      <c r="AF23" s="242"/>
      <c r="AG23" s="245">
        <v>20</v>
      </c>
      <c r="AH23" s="241"/>
      <c r="AI23" s="241"/>
      <c r="AJ23" s="241"/>
      <c r="AK23" s="242"/>
      <c r="AL23" s="246">
        <f>AG23/P33</f>
        <v>1.0526315789473684</v>
      </c>
      <c r="AM23" s="241"/>
      <c r="AN23" s="241"/>
      <c r="AO23" s="241"/>
      <c r="AP23" s="241"/>
      <c r="AQ23" s="242"/>
      <c r="AR23" s="59"/>
    </row>
    <row r="24" spans="1:44" ht="16.5" customHeight="1">
      <c r="A24" s="62"/>
      <c r="B24" s="67">
        <f>GradeSheet!$H$55</f>
        <v>0</v>
      </c>
      <c r="C24" s="67">
        <f>GradeSheet!$H$56</f>
        <v>0</v>
      </c>
      <c r="D24" s="67">
        <f>GradeSheet!$H$57</f>
        <v>0</v>
      </c>
      <c r="E24" s="67">
        <f>GradeSheet!$H$58</f>
        <v>0</v>
      </c>
      <c r="F24" s="67">
        <f>GradeSheet!$H$59</f>
        <v>0</v>
      </c>
      <c r="G24" s="67">
        <f>GradeSheet!$H$60</f>
        <v>0</v>
      </c>
      <c r="H24" s="67">
        <f>GradeSheet!$H$61</f>
        <v>0</v>
      </c>
      <c r="I24" s="67">
        <f>GradeSheet!$H$62</f>
        <v>0</v>
      </c>
      <c r="J24" s="67">
        <f>GradeSheet!$H$63</f>
        <v>0</v>
      </c>
      <c r="K24" s="67">
        <f>GradeSheet!$H$64</f>
        <v>42</v>
      </c>
      <c r="L24" s="67">
        <f>GradeSheet!$H$65</f>
        <v>0</v>
      </c>
      <c r="M24" s="67">
        <f>GradeSheet!$H$66</f>
        <v>0</v>
      </c>
      <c r="N24" s="276">
        <f t="shared" ref="N24:N25" si="0">SUM(B24:M24)</f>
        <v>42</v>
      </c>
      <c r="O24" s="242"/>
      <c r="P24" s="62"/>
      <c r="Q24" s="62"/>
      <c r="R24" s="62"/>
      <c r="S24" s="62"/>
      <c r="T24" s="245" t="s">
        <v>89</v>
      </c>
      <c r="U24" s="241"/>
      <c r="V24" s="241"/>
      <c r="W24" s="241"/>
      <c r="X24" s="241"/>
      <c r="Y24" s="241"/>
      <c r="Z24" s="241"/>
      <c r="AA24" s="241"/>
      <c r="AB24" s="241"/>
      <c r="AC24" s="241"/>
      <c r="AD24" s="241"/>
      <c r="AE24" s="241"/>
      <c r="AF24" s="242"/>
      <c r="AG24" s="245">
        <v>10</v>
      </c>
      <c r="AH24" s="241"/>
      <c r="AI24" s="241"/>
      <c r="AJ24" s="241"/>
      <c r="AK24" s="242"/>
      <c r="AL24" s="246">
        <f>AG24/P33</f>
        <v>0.52631578947368418</v>
      </c>
      <c r="AM24" s="241"/>
      <c r="AN24" s="241"/>
      <c r="AO24" s="241"/>
      <c r="AP24" s="241"/>
      <c r="AQ24" s="242"/>
      <c r="AR24" s="62"/>
    </row>
    <row r="25" spans="1:44" ht="16.5" customHeight="1">
      <c r="A25" s="62"/>
      <c r="B25" s="68">
        <f>B24/GradeSheet!$H$67</f>
        <v>0</v>
      </c>
      <c r="C25" s="68">
        <f>C24/GradeSheet!$H$67</f>
        <v>0</v>
      </c>
      <c r="D25" s="68">
        <f>D24/GradeSheet!$H$67</f>
        <v>0</v>
      </c>
      <c r="E25" s="68">
        <f>E24/GradeSheet!$H$67</f>
        <v>0</v>
      </c>
      <c r="F25" s="68">
        <f>F24/GradeSheet!$H$67</f>
        <v>0</v>
      </c>
      <c r="G25" s="68">
        <f>G24/GradeSheet!$H$67</f>
        <v>0</v>
      </c>
      <c r="H25" s="68">
        <f>H24/GradeSheet!$H$67</f>
        <v>0</v>
      </c>
      <c r="I25" s="68">
        <f>I24/GradeSheet!$H$67</f>
        <v>0</v>
      </c>
      <c r="J25" s="68">
        <f>J24/GradeSheet!$H$67</f>
        <v>0</v>
      </c>
      <c r="K25" s="68">
        <f>K24/GradeSheet!$H$67</f>
        <v>1</v>
      </c>
      <c r="L25" s="68">
        <f>L24/GradeSheet!$H$67</f>
        <v>0</v>
      </c>
      <c r="M25" s="68">
        <f>M24/GradeSheet!$H$67</f>
        <v>0</v>
      </c>
      <c r="N25" s="249">
        <f t="shared" si="0"/>
        <v>1</v>
      </c>
      <c r="O25" s="242"/>
      <c r="P25" s="62"/>
      <c r="Q25" s="62"/>
      <c r="R25" s="62"/>
      <c r="S25" s="62"/>
      <c r="T25" s="245" t="s">
        <v>90</v>
      </c>
      <c r="U25" s="241"/>
      <c r="V25" s="241"/>
      <c r="W25" s="241"/>
      <c r="X25" s="241"/>
      <c r="Y25" s="241"/>
      <c r="Z25" s="241"/>
      <c r="AA25" s="241"/>
      <c r="AB25" s="241"/>
      <c r="AC25" s="241"/>
      <c r="AD25" s="241"/>
      <c r="AE25" s="241"/>
      <c r="AF25" s="242"/>
      <c r="AG25" s="245">
        <v>0</v>
      </c>
      <c r="AH25" s="241"/>
      <c r="AI25" s="241"/>
      <c r="AJ25" s="241"/>
      <c r="AK25" s="242"/>
      <c r="AL25" s="246">
        <f>AG25/P33</f>
        <v>0</v>
      </c>
      <c r="AM25" s="241"/>
      <c r="AN25" s="241"/>
      <c r="AO25" s="241"/>
      <c r="AP25" s="241"/>
      <c r="AQ25" s="242"/>
      <c r="AR25" s="62"/>
    </row>
    <row r="26" spans="1:44" ht="16.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245" t="s">
        <v>91</v>
      </c>
      <c r="U26" s="241"/>
      <c r="V26" s="241"/>
      <c r="W26" s="241"/>
      <c r="X26" s="241"/>
      <c r="Y26" s="241"/>
      <c r="Z26" s="241"/>
      <c r="AA26" s="241"/>
      <c r="AB26" s="241"/>
      <c r="AC26" s="241"/>
      <c r="AD26" s="241"/>
      <c r="AE26" s="241"/>
      <c r="AF26" s="242"/>
      <c r="AG26" s="245">
        <v>8</v>
      </c>
      <c r="AH26" s="241"/>
      <c r="AI26" s="241"/>
      <c r="AJ26" s="241"/>
      <c r="AK26" s="242"/>
      <c r="AL26" s="246">
        <f>AG26/P33</f>
        <v>0.42105263157894735</v>
      </c>
      <c r="AM26" s="241"/>
      <c r="AN26" s="241"/>
      <c r="AO26" s="241"/>
      <c r="AP26" s="241"/>
      <c r="AQ26" s="242"/>
      <c r="AR26" s="62"/>
    </row>
    <row r="27" spans="1:44" ht="16.5" customHeight="1">
      <c r="A27" s="62"/>
      <c r="B27" s="69" t="s">
        <v>92</v>
      </c>
      <c r="C27" s="69"/>
      <c r="D27" s="69"/>
      <c r="E27" s="69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245"/>
      <c r="U27" s="241"/>
      <c r="V27" s="241"/>
      <c r="W27" s="241"/>
      <c r="X27" s="241"/>
      <c r="Y27" s="241"/>
      <c r="Z27" s="241"/>
      <c r="AA27" s="241"/>
      <c r="AB27" s="241"/>
      <c r="AC27" s="241"/>
      <c r="AD27" s="241"/>
      <c r="AE27" s="241"/>
      <c r="AF27" s="242"/>
      <c r="AG27" s="245"/>
      <c r="AH27" s="241"/>
      <c r="AI27" s="241"/>
      <c r="AJ27" s="241"/>
      <c r="AK27" s="242"/>
      <c r="AL27" s="246"/>
      <c r="AM27" s="241"/>
      <c r="AN27" s="241"/>
      <c r="AO27" s="241"/>
      <c r="AP27" s="241"/>
      <c r="AQ27" s="242"/>
      <c r="AR27" s="62"/>
    </row>
    <row r="28" spans="1:44" ht="16.5" customHeight="1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248"/>
      <c r="U28" s="217"/>
      <c r="V28" s="217"/>
      <c r="W28" s="217"/>
      <c r="X28" s="217"/>
      <c r="Y28" s="217"/>
      <c r="Z28" s="217"/>
      <c r="AA28" s="217"/>
      <c r="AB28" s="217"/>
      <c r="AC28" s="217"/>
      <c r="AD28" s="217"/>
      <c r="AE28" s="217"/>
      <c r="AF28" s="217"/>
      <c r="AG28" s="248"/>
      <c r="AH28" s="217"/>
      <c r="AI28" s="217"/>
      <c r="AJ28" s="217"/>
      <c r="AK28" s="217"/>
      <c r="AL28" s="248"/>
      <c r="AM28" s="217"/>
      <c r="AN28" s="217"/>
      <c r="AO28" s="217"/>
      <c r="AP28" s="217"/>
      <c r="AQ28" s="217"/>
      <c r="AR28" s="62"/>
    </row>
    <row r="29" spans="1:44" ht="16.5" customHeight="1">
      <c r="A29" s="62"/>
      <c r="B29" s="244"/>
      <c r="C29" s="241"/>
      <c r="D29" s="241"/>
      <c r="E29" s="241"/>
      <c r="F29" s="242"/>
      <c r="G29" s="70" t="s">
        <v>14</v>
      </c>
      <c r="H29" s="70" t="s">
        <v>93</v>
      </c>
      <c r="I29" s="62"/>
      <c r="J29" s="244"/>
      <c r="K29" s="241"/>
      <c r="L29" s="241"/>
      <c r="M29" s="241"/>
      <c r="N29" s="241"/>
      <c r="O29" s="242"/>
      <c r="P29" s="70" t="s">
        <v>94</v>
      </c>
      <c r="Q29" s="70" t="s">
        <v>93</v>
      </c>
      <c r="R29" s="62"/>
      <c r="S29" s="62"/>
      <c r="T29" s="248"/>
      <c r="U29" s="217"/>
      <c r="V29" s="217"/>
      <c r="W29" s="217"/>
      <c r="X29" s="217"/>
      <c r="Y29" s="217"/>
      <c r="Z29" s="217"/>
      <c r="AA29" s="217"/>
      <c r="AB29" s="217"/>
      <c r="AC29" s="217"/>
      <c r="AD29" s="217"/>
      <c r="AE29" s="217"/>
      <c r="AF29" s="217"/>
      <c r="AG29" s="248"/>
      <c r="AH29" s="217"/>
      <c r="AI29" s="217"/>
      <c r="AJ29" s="217"/>
      <c r="AK29" s="217"/>
      <c r="AL29" s="248"/>
      <c r="AM29" s="217"/>
      <c r="AN29" s="217"/>
      <c r="AO29" s="217"/>
      <c r="AP29" s="217"/>
      <c r="AQ29" s="217"/>
      <c r="AR29" s="62"/>
    </row>
    <row r="30" spans="1:44" ht="16.5" customHeight="1">
      <c r="A30" s="62"/>
      <c r="B30" s="244" t="s">
        <v>95</v>
      </c>
      <c r="C30" s="241"/>
      <c r="D30" s="241"/>
      <c r="E30" s="241"/>
      <c r="F30" s="242"/>
      <c r="G30" s="71">
        <f>GradeSheet!$H$67</f>
        <v>42</v>
      </c>
      <c r="H30" s="72">
        <f>G30/G30</f>
        <v>1</v>
      </c>
      <c r="I30" s="62"/>
      <c r="J30" s="244" t="s">
        <v>96</v>
      </c>
      <c r="K30" s="241"/>
      <c r="L30" s="241"/>
      <c r="M30" s="241"/>
      <c r="N30" s="241"/>
      <c r="O30" s="242"/>
      <c r="P30" s="73">
        <v>20</v>
      </c>
      <c r="Q30" s="72">
        <f>P30/P30</f>
        <v>1</v>
      </c>
      <c r="R30" s="62"/>
      <c r="S30" s="62"/>
      <c r="T30" s="247" t="s">
        <v>97</v>
      </c>
      <c r="U30" s="241"/>
      <c r="V30" s="241"/>
      <c r="W30" s="241"/>
      <c r="X30" s="241"/>
      <c r="Y30" s="241"/>
      <c r="Z30" s="241"/>
      <c r="AA30" s="241"/>
      <c r="AB30" s="241"/>
      <c r="AC30" s="241"/>
      <c r="AD30" s="241"/>
      <c r="AE30" s="241"/>
      <c r="AF30" s="242"/>
      <c r="AG30" s="244" t="s">
        <v>74</v>
      </c>
      <c r="AH30" s="241"/>
      <c r="AI30" s="241"/>
      <c r="AJ30" s="241"/>
      <c r="AK30" s="242"/>
      <c r="AL30" s="244" t="s">
        <v>87</v>
      </c>
      <c r="AM30" s="241"/>
      <c r="AN30" s="241"/>
      <c r="AO30" s="241"/>
      <c r="AP30" s="241"/>
      <c r="AQ30" s="242"/>
      <c r="AR30" s="62"/>
    </row>
    <row r="31" spans="1:44" ht="16.5" customHeight="1">
      <c r="A31" s="62"/>
      <c r="B31" s="244" t="s">
        <v>98</v>
      </c>
      <c r="C31" s="241"/>
      <c r="D31" s="241"/>
      <c r="E31" s="241"/>
      <c r="F31" s="242"/>
      <c r="G31" s="71">
        <f>GradeSheet!$H$66</f>
        <v>0</v>
      </c>
      <c r="H31" s="72">
        <f>G31/G30</f>
        <v>0</v>
      </c>
      <c r="I31" s="62"/>
      <c r="J31" s="244" t="s">
        <v>99</v>
      </c>
      <c r="K31" s="241"/>
      <c r="L31" s="241"/>
      <c r="M31" s="241"/>
      <c r="N31" s="241"/>
      <c r="O31" s="242"/>
      <c r="P31" s="73">
        <v>0</v>
      </c>
      <c r="Q31" s="72">
        <f>P31/P30</f>
        <v>0</v>
      </c>
      <c r="R31" s="62"/>
      <c r="S31" s="62"/>
      <c r="T31" s="245" t="s">
        <v>91</v>
      </c>
      <c r="U31" s="241"/>
      <c r="V31" s="241"/>
      <c r="W31" s="241"/>
      <c r="X31" s="241"/>
      <c r="Y31" s="241"/>
      <c r="Z31" s="241"/>
      <c r="AA31" s="241"/>
      <c r="AB31" s="241"/>
      <c r="AC31" s="241"/>
      <c r="AD31" s="241"/>
      <c r="AE31" s="241"/>
      <c r="AF31" s="242"/>
      <c r="AG31" s="245">
        <v>8</v>
      </c>
      <c r="AH31" s="241"/>
      <c r="AI31" s="241"/>
      <c r="AJ31" s="241"/>
      <c r="AK31" s="242"/>
      <c r="AL31" s="246">
        <f>AG31/P33</f>
        <v>0.42105263157894735</v>
      </c>
      <c r="AM31" s="241"/>
      <c r="AN31" s="241"/>
      <c r="AO31" s="241"/>
      <c r="AP31" s="241"/>
      <c r="AQ31" s="242"/>
      <c r="AR31" s="62"/>
    </row>
    <row r="32" spans="1:44" ht="16.5" customHeight="1">
      <c r="A32" s="74"/>
      <c r="B32" s="244" t="s">
        <v>100</v>
      </c>
      <c r="C32" s="241"/>
      <c r="D32" s="241"/>
      <c r="E32" s="241"/>
      <c r="F32" s="242"/>
      <c r="G32" s="73">
        <v>41</v>
      </c>
      <c r="H32" s="72">
        <f>G32/G30</f>
        <v>0.97619047619047616</v>
      </c>
      <c r="I32" s="62"/>
      <c r="J32" s="244" t="s">
        <v>101</v>
      </c>
      <c r="K32" s="241"/>
      <c r="L32" s="241"/>
      <c r="M32" s="241"/>
      <c r="N32" s="241"/>
      <c r="O32" s="242"/>
      <c r="P32" s="73">
        <v>0</v>
      </c>
      <c r="Q32" s="72">
        <f>P32/P30</f>
        <v>0</v>
      </c>
      <c r="R32" s="62"/>
      <c r="S32" s="62"/>
      <c r="T32" s="245" t="s">
        <v>89</v>
      </c>
      <c r="U32" s="241"/>
      <c r="V32" s="241"/>
      <c r="W32" s="241"/>
      <c r="X32" s="241"/>
      <c r="Y32" s="241"/>
      <c r="Z32" s="241"/>
      <c r="AA32" s="241"/>
      <c r="AB32" s="241"/>
      <c r="AC32" s="241"/>
      <c r="AD32" s="241"/>
      <c r="AE32" s="241"/>
      <c r="AF32" s="242"/>
      <c r="AG32" s="245">
        <v>10</v>
      </c>
      <c r="AH32" s="241"/>
      <c r="AI32" s="241"/>
      <c r="AJ32" s="241"/>
      <c r="AK32" s="242"/>
      <c r="AL32" s="246">
        <f>AG32/P33</f>
        <v>0.52631578947368418</v>
      </c>
      <c r="AM32" s="241"/>
      <c r="AN32" s="241"/>
      <c r="AO32" s="241"/>
      <c r="AP32" s="241"/>
      <c r="AQ32" s="242"/>
      <c r="AR32" s="62"/>
    </row>
    <row r="33" spans="1:44" ht="17.25" customHeight="1">
      <c r="A33" s="62"/>
      <c r="B33" s="244" t="s">
        <v>102</v>
      </c>
      <c r="C33" s="241"/>
      <c r="D33" s="241"/>
      <c r="E33" s="241"/>
      <c r="F33" s="242"/>
      <c r="G33" s="71">
        <f>GradeSheet!$H$67-(GradeSheet!$H$64+GradeSheet!$H$65+GradeSheet!$H$66)</f>
        <v>0</v>
      </c>
      <c r="H33" s="72">
        <f>G33/G30</f>
        <v>0</v>
      </c>
      <c r="I33" s="62"/>
      <c r="J33" s="262" t="s">
        <v>103</v>
      </c>
      <c r="K33" s="263"/>
      <c r="L33" s="263"/>
      <c r="M33" s="263"/>
      <c r="N33" s="263"/>
      <c r="O33" s="264"/>
      <c r="P33" s="272">
        <v>19</v>
      </c>
      <c r="Q33" s="275">
        <f>P33/P30</f>
        <v>0.95</v>
      </c>
      <c r="R33" s="62"/>
      <c r="S33" s="62"/>
      <c r="T33" s="244"/>
      <c r="U33" s="241"/>
      <c r="V33" s="241"/>
      <c r="W33" s="241"/>
      <c r="X33" s="241"/>
      <c r="Y33" s="241"/>
      <c r="Z33" s="241"/>
      <c r="AA33" s="241"/>
      <c r="AB33" s="241"/>
      <c r="AC33" s="241"/>
      <c r="AD33" s="241"/>
      <c r="AE33" s="241"/>
      <c r="AF33" s="242"/>
      <c r="AG33" s="244"/>
      <c r="AH33" s="241"/>
      <c r="AI33" s="241"/>
      <c r="AJ33" s="241"/>
      <c r="AK33" s="242"/>
      <c r="AL33" s="244"/>
      <c r="AM33" s="241"/>
      <c r="AN33" s="241"/>
      <c r="AO33" s="241"/>
      <c r="AP33" s="241"/>
      <c r="AQ33" s="242"/>
      <c r="AR33" s="62"/>
    </row>
    <row r="34" spans="1:44" ht="16.5" customHeight="1">
      <c r="A34" s="62"/>
      <c r="B34" s="64"/>
      <c r="C34" s="64"/>
      <c r="D34" s="64"/>
      <c r="E34" s="64"/>
      <c r="F34" s="64"/>
      <c r="G34" s="64"/>
      <c r="H34" s="64"/>
      <c r="I34" s="62"/>
      <c r="J34" s="265"/>
      <c r="K34" s="217"/>
      <c r="L34" s="217"/>
      <c r="M34" s="217"/>
      <c r="N34" s="217"/>
      <c r="O34" s="266"/>
      <c r="P34" s="273"/>
      <c r="Q34" s="273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</row>
    <row r="35" spans="1:44" ht="16.5" customHeight="1">
      <c r="A35" s="62"/>
      <c r="B35" s="64"/>
      <c r="C35" s="64"/>
      <c r="D35" s="64"/>
      <c r="E35" s="64"/>
      <c r="F35" s="64"/>
      <c r="G35" s="64"/>
      <c r="H35" s="64"/>
      <c r="I35" s="62"/>
      <c r="J35" s="267"/>
      <c r="K35" s="268"/>
      <c r="L35" s="268"/>
      <c r="M35" s="268"/>
      <c r="N35" s="268"/>
      <c r="O35" s="269"/>
      <c r="P35" s="274"/>
      <c r="Q35" s="274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</row>
    <row r="36" spans="1:44" ht="16.5" customHeight="1">
      <c r="A36" s="62"/>
      <c r="B36" s="62"/>
      <c r="C36" s="62"/>
      <c r="D36" s="62"/>
      <c r="E36" s="62"/>
      <c r="F36" s="62"/>
      <c r="G36" s="62"/>
      <c r="H36" s="62"/>
      <c r="I36" s="62"/>
      <c r="J36" s="64"/>
      <c r="K36" s="64"/>
      <c r="L36" s="64"/>
      <c r="M36" s="64"/>
      <c r="N36" s="64"/>
      <c r="O36" s="64"/>
      <c r="P36" s="64"/>
      <c r="Q36" s="64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</row>
    <row r="37" spans="1:44" ht="16.5" customHeight="1">
      <c r="A37" s="62"/>
      <c r="B37" s="244" t="s">
        <v>104</v>
      </c>
      <c r="C37" s="241"/>
      <c r="D37" s="241"/>
      <c r="E37" s="241"/>
      <c r="F37" s="241"/>
      <c r="G37" s="242"/>
      <c r="H37" s="62"/>
      <c r="I37" s="62"/>
      <c r="J37" s="244"/>
      <c r="K37" s="241"/>
      <c r="L37" s="241"/>
      <c r="M37" s="241"/>
      <c r="N37" s="241"/>
      <c r="O37" s="242"/>
      <c r="P37" s="250" t="s">
        <v>94</v>
      </c>
      <c r="Q37" s="242"/>
      <c r="R37" s="62"/>
      <c r="S37" s="62"/>
      <c r="T37" s="247" t="s">
        <v>105</v>
      </c>
      <c r="U37" s="241"/>
      <c r="V37" s="241"/>
      <c r="W37" s="241"/>
      <c r="X37" s="241"/>
      <c r="Y37" s="241"/>
      <c r="Z37" s="241"/>
      <c r="AA37" s="241"/>
      <c r="AB37" s="241"/>
      <c r="AC37" s="241"/>
      <c r="AD37" s="241"/>
      <c r="AE37" s="241"/>
      <c r="AF37" s="242"/>
      <c r="AG37" s="244" t="s">
        <v>74</v>
      </c>
      <c r="AH37" s="241"/>
      <c r="AI37" s="241"/>
      <c r="AJ37" s="241"/>
      <c r="AK37" s="242"/>
      <c r="AL37" s="244" t="s">
        <v>87</v>
      </c>
      <c r="AM37" s="241"/>
      <c r="AN37" s="241"/>
      <c r="AO37" s="241"/>
      <c r="AP37" s="241"/>
      <c r="AQ37" s="242"/>
      <c r="AR37" s="62"/>
    </row>
    <row r="38" spans="1:44" ht="16.5" customHeight="1">
      <c r="A38" s="62"/>
      <c r="B38" s="244" t="s">
        <v>106</v>
      </c>
      <c r="C38" s="241"/>
      <c r="D38" s="241"/>
      <c r="E38" s="241"/>
      <c r="F38" s="242"/>
      <c r="G38" s="73">
        <v>2</v>
      </c>
      <c r="H38" s="62"/>
      <c r="I38" s="62"/>
      <c r="J38" s="244" t="s">
        <v>107</v>
      </c>
      <c r="K38" s="241"/>
      <c r="L38" s="241"/>
      <c r="M38" s="241"/>
      <c r="N38" s="241"/>
      <c r="O38" s="242"/>
      <c r="P38" s="245" t="s">
        <v>108</v>
      </c>
      <c r="Q38" s="242"/>
      <c r="R38" s="62"/>
      <c r="S38" s="62"/>
      <c r="T38" s="245" t="s">
        <v>109</v>
      </c>
      <c r="U38" s="241"/>
      <c r="V38" s="241"/>
      <c r="W38" s="241"/>
      <c r="X38" s="241"/>
      <c r="Y38" s="241"/>
      <c r="Z38" s="241"/>
      <c r="AA38" s="241"/>
      <c r="AB38" s="241"/>
      <c r="AC38" s="241"/>
      <c r="AD38" s="241"/>
      <c r="AE38" s="241"/>
      <c r="AF38" s="242"/>
      <c r="AG38" s="245">
        <v>0</v>
      </c>
      <c r="AH38" s="241"/>
      <c r="AI38" s="241"/>
      <c r="AJ38" s="241"/>
      <c r="AK38" s="242"/>
      <c r="AL38" s="246">
        <f>AG38/P33</f>
        <v>0</v>
      </c>
      <c r="AM38" s="241"/>
      <c r="AN38" s="241"/>
      <c r="AO38" s="241"/>
      <c r="AP38" s="241"/>
      <c r="AQ38" s="242"/>
      <c r="AR38" s="62"/>
    </row>
    <row r="39" spans="1:44" ht="16.5" customHeight="1">
      <c r="A39" s="62"/>
      <c r="B39" s="244" t="s">
        <v>110</v>
      </c>
      <c r="C39" s="241"/>
      <c r="D39" s="241"/>
      <c r="E39" s="241"/>
      <c r="F39" s="242"/>
      <c r="G39" s="73">
        <v>3</v>
      </c>
      <c r="H39" s="62"/>
      <c r="I39" s="62"/>
      <c r="J39" s="244" t="s">
        <v>111</v>
      </c>
      <c r="K39" s="241"/>
      <c r="L39" s="241"/>
      <c r="M39" s="241"/>
      <c r="N39" s="241"/>
      <c r="O39" s="242"/>
      <c r="P39" s="245" t="s">
        <v>108</v>
      </c>
      <c r="Q39" s="242"/>
      <c r="R39" s="62"/>
      <c r="S39" s="62"/>
      <c r="T39" s="245" t="s">
        <v>112</v>
      </c>
      <c r="U39" s="241"/>
      <c r="V39" s="241"/>
      <c r="W39" s="241"/>
      <c r="X39" s="241"/>
      <c r="Y39" s="241"/>
      <c r="Z39" s="241"/>
      <c r="AA39" s="241"/>
      <c r="AB39" s="241"/>
      <c r="AC39" s="241"/>
      <c r="AD39" s="241"/>
      <c r="AE39" s="241"/>
      <c r="AF39" s="242"/>
      <c r="AG39" s="245">
        <v>20</v>
      </c>
      <c r="AH39" s="241"/>
      <c r="AI39" s="241"/>
      <c r="AJ39" s="241"/>
      <c r="AK39" s="242"/>
      <c r="AL39" s="246">
        <f>AG39/P33</f>
        <v>1.0526315789473684</v>
      </c>
      <c r="AM39" s="241"/>
      <c r="AN39" s="241"/>
      <c r="AO39" s="241"/>
      <c r="AP39" s="241"/>
      <c r="AQ39" s="242"/>
      <c r="AR39" s="62"/>
    </row>
    <row r="40" spans="1:44" ht="16.5" customHeight="1">
      <c r="A40" s="62"/>
      <c r="B40" s="64"/>
      <c r="C40" s="64"/>
      <c r="D40" s="64"/>
      <c r="E40" s="64"/>
      <c r="F40" s="64"/>
      <c r="G40" s="64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245" t="s">
        <v>113</v>
      </c>
      <c r="U40" s="241"/>
      <c r="V40" s="241"/>
      <c r="W40" s="241"/>
      <c r="X40" s="241"/>
      <c r="Y40" s="241"/>
      <c r="Z40" s="241"/>
      <c r="AA40" s="241"/>
      <c r="AB40" s="241"/>
      <c r="AC40" s="241"/>
      <c r="AD40" s="241"/>
      <c r="AE40" s="241"/>
      <c r="AF40" s="242"/>
      <c r="AG40" s="245">
        <v>12</v>
      </c>
      <c r="AH40" s="241"/>
      <c r="AI40" s="241"/>
      <c r="AJ40" s="241"/>
      <c r="AK40" s="242"/>
      <c r="AL40" s="246">
        <f>AG40/P33</f>
        <v>0.63157894736842102</v>
      </c>
      <c r="AM40" s="241"/>
      <c r="AN40" s="241"/>
      <c r="AO40" s="241"/>
      <c r="AP40" s="241"/>
      <c r="AQ40" s="242"/>
      <c r="AR40" s="62"/>
    </row>
    <row r="41" spans="1:44" ht="16.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245" t="s">
        <v>114</v>
      </c>
      <c r="U41" s="241"/>
      <c r="V41" s="241"/>
      <c r="W41" s="241"/>
      <c r="X41" s="241"/>
      <c r="Y41" s="241"/>
      <c r="Z41" s="241"/>
      <c r="AA41" s="241"/>
      <c r="AB41" s="241"/>
      <c r="AC41" s="241"/>
      <c r="AD41" s="241"/>
      <c r="AE41" s="241"/>
      <c r="AF41" s="242"/>
      <c r="AG41" s="245">
        <v>0</v>
      </c>
      <c r="AH41" s="241"/>
      <c r="AI41" s="241"/>
      <c r="AJ41" s="241"/>
      <c r="AK41" s="242"/>
      <c r="AL41" s="246">
        <f>AG41/P33</f>
        <v>0</v>
      </c>
      <c r="AM41" s="241"/>
      <c r="AN41" s="241"/>
      <c r="AO41" s="241"/>
      <c r="AP41" s="241"/>
      <c r="AQ41" s="242"/>
      <c r="AR41" s="62"/>
    </row>
    <row r="42" spans="1:44" ht="16.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245"/>
      <c r="U42" s="241"/>
      <c r="V42" s="241"/>
      <c r="W42" s="241"/>
      <c r="X42" s="241"/>
      <c r="Y42" s="241"/>
      <c r="Z42" s="241"/>
      <c r="AA42" s="241"/>
      <c r="AB42" s="241"/>
      <c r="AC42" s="241"/>
      <c r="AD42" s="241"/>
      <c r="AE42" s="241"/>
      <c r="AF42" s="242"/>
      <c r="AG42" s="245"/>
      <c r="AH42" s="241"/>
      <c r="AI42" s="241"/>
      <c r="AJ42" s="241"/>
      <c r="AK42" s="242"/>
      <c r="AL42" s="246"/>
      <c r="AM42" s="241"/>
      <c r="AN42" s="241"/>
      <c r="AO42" s="241"/>
      <c r="AP42" s="241"/>
      <c r="AQ42" s="242"/>
      <c r="AR42" s="62"/>
    </row>
    <row r="43" spans="1:44" ht="16.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</row>
    <row r="44" spans="1:44" ht="16.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</row>
    <row r="45" spans="1:44" ht="16.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</row>
    <row r="46" spans="1:44" ht="16.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</row>
    <row r="47" spans="1:44" ht="16.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76" t="s">
        <v>115</v>
      </c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</row>
    <row r="48" spans="1:44" ht="16.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</row>
    <row r="49" spans="1:44" ht="16.5" customHeight="1">
      <c r="A49" s="62"/>
      <c r="B49" s="62"/>
      <c r="C49" s="76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</row>
    <row r="50" spans="1:44" ht="16.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</row>
    <row r="51" spans="1:44" ht="16.5" customHeight="1">
      <c r="A51" s="62"/>
      <c r="B51" s="257" t="s">
        <v>0</v>
      </c>
      <c r="C51" s="241"/>
      <c r="D51" s="242"/>
      <c r="E51" s="258" t="str">
        <f>GradeSheet!$H$2</f>
        <v>CSE</v>
      </c>
      <c r="F51" s="241"/>
      <c r="G51" s="241"/>
      <c r="H51" s="241"/>
      <c r="I51" s="241"/>
      <c r="J51" s="241"/>
      <c r="K51" s="241"/>
      <c r="L51" s="241"/>
      <c r="M51" s="241"/>
      <c r="N51" s="242"/>
      <c r="O51" s="257" t="str">
        <f>CONCATENATE("Section ", GradeSheet!$L$2,)</f>
        <v>Section 1</v>
      </c>
      <c r="P51" s="241"/>
      <c r="Q51" s="24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</row>
    <row r="52" spans="1:44" ht="16.5" customHeight="1">
      <c r="A52" s="62"/>
      <c r="B52" s="259" t="s">
        <v>3</v>
      </c>
      <c r="C52" s="241"/>
      <c r="D52" s="242"/>
      <c r="E52" s="260" t="str">
        <f>GradeSheet!$H$3</f>
        <v>Operating Systems</v>
      </c>
      <c r="F52" s="241"/>
      <c r="G52" s="241"/>
      <c r="H52" s="241"/>
      <c r="I52" s="241"/>
      <c r="J52" s="241"/>
      <c r="K52" s="241"/>
      <c r="L52" s="241"/>
      <c r="M52" s="241"/>
      <c r="N52" s="242"/>
      <c r="O52" s="259" t="str">
        <f>CONCATENATE(GradeSheet!$H$67," students")</f>
        <v>42 students</v>
      </c>
      <c r="P52" s="241"/>
      <c r="Q52" s="242"/>
      <c r="R52" s="59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</row>
    <row r="53" spans="1:44" ht="16.5" customHeight="1">
      <c r="A53" s="62"/>
      <c r="B53" s="261" t="s">
        <v>7</v>
      </c>
      <c r="C53" s="241"/>
      <c r="D53" s="242"/>
      <c r="E53" s="251">
        <f>GradeSheet!$H$4</f>
        <v>3</v>
      </c>
      <c r="F53" s="241"/>
      <c r="G53" s="241"/>
      <c r="H53" s="241"/>
      <c r="I53" s="241"/>
      <c r="J53" s="241"/>
      <c r="K53" s="241"/>
      <c r="L53" s="241"/>
      <c r="M53" s="241"/>
      <c r="N53" s="242"/>
      <c r="O53" s="251" t="str">
        <f>GradeSheet!$L$3</f>
        <v>Spring 2025</v>
      </c>
      <c r="P53" s="241"/>
      <c r="Q53" s="242"/>
      <c r="R53" s="59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</row>
    <row r="54" spans="1:44" ht="16.5" customHeight="1">
      <c r="A54" s="62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</row>
    <row r="55" spans="1:44" ht="16.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</row>
    <row r="56" spans="1:44" ht="16.5" customHeight="1">
      <c r="A56" s="62"/>
      <c r="B56" s="62"/>
      <c r="C56" s="62"/>
      <c r="D56" s="62"/>
      <c r="E56" s="62"/>
      <c r="F56" s="62"/>
      <c r="G56" s="62"/>
      <c r="H56" s="62"/>
      <c r="I56" s="62"/>
      <c r="J56" s="77"/>
      <c r="K56" s="77"/>
      <c r="L56" s="77"/>
      <c r="M56" s="77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</row>
    <row r="57" spans="1:44" ht="16.5" customHeight="1">
      <c r="A57" s="62"/>
      <c r="B57" s="62"/>
      <c r="C57" s="62"/>
      <c r="D57" s="62"/>
      <c r="E57" s="252" t="s">
        <v>116</v>
      </c>
      <c r="F57" s="253"/>
      <c r="G57" s="253"/>
      <c r="H57" s="253"/>
      <c r="I57" s="253"/>
      <c r="J57" s="253"/>
      <c r="K57" s="253"/>
      <c r="L57" s="253"/>
      <c r="M57" s="254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</row>
    <row r="58" spans="1:44" ht="16.5" customHeight="1">
      <c r="A58" s="62"/>
      <c r="B58" s="62"/>
      <c r="C58" s="62"/>
      <c r="D58" s="62"/>
      <c r="E58" s="255"/>
      <c r="F58" s="241"/>
      <c r="G58" s="242"/>
      <c r="H58" s="66" t="s">
        <v>117</v>
      </c>
      <c r="I58" s="66" t="s">
        <v>118</v>
      </c>
      <c r="J58" s="66" t="s">
        <v>119</v>
      </c>
      <c r="K58" s="66" t="s">
        <v>120</v>
      </c>
      <c r="L58" s="66" t="s">
        <v>121</v>
      </c>
      <c r="M58" s="66" t="s">
        <v>122</v>
      </c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</row>
    <row r="59" spans="1:44" ht="16.5" customHeight="1">
      <c r="A59" s="62"/>
      <c r="B59" s="62"/>
      <c r="C59" s="62"/>
      <c r="D59" s="62"/>
      <c r="E59" s="256" t="s">
        <v>123</v>
      </c>
      <c r="F59" s="241"/>
      <c r="G59" s="242"/>
      <c r="H59" s="67">
        <f>CO_PO_AttainmentAnalysis!AN58</f>
        <v>4</v>
      </c>
      <c r="I59" s="67">
        <f>CO_PO_AttainmentAnalysis!AO58</f>
        <v>0</v>
      </c>
      <c r="J59" s="67">
        <f>CO_PO_AttainmentAnalysis!AP58</f>
        <v>0</v>
      </c>
      <c r="K59" s="67">
        <f>CO_PO_AttainmentAnalysis!AQ58</f>
        <v>0</v>
      </c>
      <c r="L59" s="67">
        <f>CO_PO_AttainmentAnalysis!AR58</f>
        <v>0</v>
      </c>
      <c r="M59" s="67">
        <f>CO_PO_AttainmentAnalysis!AS58</f>
        <v>0</v>
      </c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</row>
    <row r="60" spans="1:44" ht="16.5" customHeight="1">
      <c r="A60" s="62"/>
      <c r="B60" s="62"/>
      <c r="C60" s="62"/>
      <c r="D60" s="62"/>
      <c r="E60" s="256" t="s">
        <v>124</v>
      </c>
      <c r="F60" s="241"/>
      <c r="G60" s="242"/>
      <c r="H60" s="68">
        <f>CO_PO_AttainmentAnalysis!AH58</f>
        <v>0</v>
      </c>
      <c r="I60" s="68">
        <f>CO_PO_AttainmentAnalysis!AI58</f>
        <v>0</v>
      </c>
      <c r="J60" s="68">
        <f>CO_PO_AttainmentAnalysis!AJ58</f>
        <v>0</v>
      </c>
      <c r="K60" s="68">
        <f>CO_PO_AttainmentAnalysis!AK58</f>
        <v>0</v>
      </c>
      <c r="L60" s="68">
        <f>CO_PO_AttainmentAnalysis!AL58</f>
        <v>0</v>
      </c>
      <c r="M60" s="68">
        <f>CO_PO_AttainmentAnalysis!AM58</f>
        <v>0</v>
      </c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</row>
    <row r="61" spans="1:44" ht="16.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</row>
    <row r="62" spans="1:44" ht="16.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62"/>
      <c r="AR62" s="62"/>
    </row>
    <row r="63" spans="1:44" ht="16.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</row>
    <row r="64" spans="1:44" ht="16.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</row>
    <row r="65" spans="1:44" ht="16.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</row>
    <row r="66" spans="1:44" ht="16.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</row>
    <row r="67" spans="1:44" ht="16.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62"/>
      <c r="AR67" s="62"/>
    </row>
    <row r="68" spans="1:44" ht="16.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2"/>
    </row>
    <row r="69" spans="1:44" ht="16.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62"/>
      <c r="AR69" s="62"/>
    </row>
    <row r="70" spans="1:44" ht="16.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</row>
    <row r="71" spans="1:44" ht="16.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62"/>
      <c r="AE71" s="62"/>
      <c r="AF71" s="62"/>
      <c r="AG71" s="62"/>
      <c r="AH71" s="62"/>
      <c r="AI71" s="62"/>
      <c r="AJ71" s="62"/>
      <c r="AK71" s="62"/>
      <c r="AL71" s="62"/>
      <c r="AM71" s="62"/>
      <c r="AN71" s="62"/>
      <c r="AO71" s="62"/>
      <c r="AP71" s="62"/>
      <c r="AQ71" s="62"/>
      <c r="AR71" s="62"/>
    </row>
    <row r="72" spans="1:44" ht="16.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62"/>
      <c r="AE72" s="62"/>
      <c r="AF72" s="62"/>
      <c r="AG72" s="62"/>
      <c r="AH72" s="62"/>
      <c r="AI72" s="62"/>
      <c r="AJ72" s="62"/>
      <c r="AK72" s="62"/>
      <c r="AL72" s="62"/>
      <c r="AM72" s="62"/>
      <c r="AN72" s="62"/>
      <c r="AO72" s="62"/>
      <c r="AP72" s="62"/>
      <c r="AQ72" s="62"/>
      <c r="AR72" s="62"/>
    </row>
    <row r="73" spans="1:44" ht="16.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2"/>
      <c r="AG73" s="62"/>
      <c r="AH73" s="62"/>
      <c r="AI73" s="62"/>
      <c r="AJ73" s="62"/>
      <c r="AK73" s="62"/>
      <c r="AL73" s="62"/>
      <c r="AM73" s="62"/>
      <c r="AN73" s="62"/>
      <c r="AO73" s="62"/>
      <c r="AP73" s="62"/>
      <c r="AQ73" s="62"/>
      <c r="AR73" s="62"/>
    </row>
    <row r="74" spans="1:44" ht="16.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  <c r="AI74" s="62"/>
      <c r="AJ74" s="62"/>
      <c r="AK74" s="62"/>
      <c r="AL74" s="62"/>
      <c r="AM74" s="62"/>
      <c r="AN74" s="62"/>
      <c r="AO74" s="62"/>
      <c r="AP74" s="62"/>
      <c r="AQ74" s="62"/>
      <c r="AR74" s="62"/>
    </row>
    <row r="75" spans="1:44" ht="16.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  <c r="AE75" s="62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62"/>
      <c r="AR75" s="62"/>
    </row>
    <row r="76" spans="1:44" ht="16.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2"/>
      <c r="AP76" s="62"/>
      <c r="AQ76" s="62"/>
      <c r="AR76" s="62"/>
    </row>
    <row r="77" spans="1:44" ht="16.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  <c r="AE77" s="62"/>
      <c r="AF77" s="62"/>
      <c r="AG77" s="62"/>
      <c r="AH77" s="62"/>
      <c r="AI77" s="62"/>
      <c r="AJ77" s="62"/>
      <c r="AK77" s="62"/>
      <c r="AL77" s="62"/>
      <c r="AM77" s="62"/>
      <c r="AN77" s="62"/>
      <c r="AO77" s="62"/>
      <c r="AP77" s="62"/>
      <c r="AQ77" s="62"/>
      <c r="AR77" s="62"/>
    </row>
    <row r="78" spans="1:44" ht="16.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62"/>
      <c r="AR78" s="62"/>
    </row>
    <row r="79" spans="1:44" ht="16.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  <c r="AM79" s="62"/>
      <c r="AN79" s="62"/>
      <c r="AO79" s="62"/>
      <c r="AP79" s="62"/>
      <c r="AQ79" s="62"/>
      <c r="AR79" s="62"/>
    </row>
    <row r="80" spans="1:44" ht="16.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  <c r="AO80" s="62"/>
      <c r="AP80" s="62"/>
      <c r="AQ80" s="62"/>
      <c r="AR80" s="62"/>
    </row>
    <row r="81" spans="1:44" ht="16.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62"/>
      <c r="AB81" s="62"/>
      <c r="AC81" s="62"/>
      <c r="AD81" s="62"/>
      <c r="AE81" s="62"/>
      <c r="AF81" s="62"/>
      <c r="AG81" s="62"/>
      <c r="AH81" s="62"/>
      <c r="AI81" s="62"/>
      <c r="AJ81" s="62"/>
      <c r="AK81" s="62"/>
      <c r="AL81" s="62"/>
      <c r="AM81" s="62"/>
      <c r="AN81" s="62"/>
      <c r="AO81" s="62"/>
      <c r="AP81" s="62"/>
      <c r="AQ81" s="62"/>
      <c r="AR81" s="62"/>
    </row>
    <row r="82" spans="1:44" ht="16.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  <c r="AB82" s="62"/>
      <c r="AC82" s="62"/>
      <c r="AD82" s="62"/>
      <c r="AE82" s="62"/>
      <c r="AF82" s="62"/>
      <c r="AG82" s="62"/>
      <c r="AH82" s="62"/>
      <c r="AI82" s="62"/>
      <c r="AJ82" s="62"/>
      <c r="AK82" s="62"/>
      <c r="AL82" s="62"/>
      <c r="AM82" s="62"/>
      <c r="AN82" s="62"/>
      <c r="AO82" s="62"/>
      <c r="AP82" s="62"/>
      <c r="AQ82" s="62"/>
      <c r="AR82" s="62"/>
    </row>
    <row r="83" spans="1:44" ht="16.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  <c r="AB83" s="62"/>
      <c r="AC83" s="62"/>
      <c r="AD83" s="62"/>
      <c r="AE83" s="62"/>
      <c r="AF83" s="6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62"/>
      <c r="AR83" s="62"/>
    </row>
    <row r="84" spans="1:44" ht="16.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62"/>
      <c r="AE84" s="62"/>
      <c r="AF84" s="62"/>
      <c r="AG84" s="62"/>
      <c r="AH84" s="62"/>
      <c r="AI84" s="62"/>
      <c r="AJ84" s="62"/>
      <c r="AK84" s="62"/>
      <c r="AL84" s="62"/>
      <c r="AM84" s="62"/>
      <c r="AN84" s="62"/>
      <c r="AO84" s="62"/>
      <c r="AP84" s="62"/>
      <c r="AQ84" s="62"/>
      <c r="AR84" s="62"/>
    </row>
    <row r="85" spans="1:44" ht="16.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62"/>
      <c r="AJ85" s="62"/>
      <c r="AK85" s="62"/>
      <c r="AL85" s="62"/>
      <c r="AM85" s="62"/>
      <c r="AN85" s="62"/>
      <c r="AO85" s="62"/>
      <c r="AP85" s="62"/>
      <c r="AQ85" s="62"/>
      <c r="AR85" s="62"/>
    </row>
    <row r="86" spans="1:44" ht="16.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  <c r="AB86" s="62"/>
      <c r="AC86" s="62"/>
      <c r="AD86" s="62"/>
      <c r="AE86" s="62"/>
      <c r="AF86" s="62"/>
      <c r="AG86" s="62"/>
      <c r="AH86" s="62"/>
      <c r="AI86" s="62"/>
      <c r="AJ86" s="62"/>
      <c r="AK86" s="62"/>
      <c r="AL86" s="62"/>
      <c r="AM86" s="62"/>
      <c r="AN86" s="62"/>
      <c r="AO86" s="62"/>
      <c r="AP86" s="62"/>
      <c r="AQ86" s="62"/>
      <c r="AR86" s="62"/>
    </row>
    <row r="87" spans="1:44" ht="16.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  <c r="AR87" s="62"/>
    </row>
    <row r="88" spans="1:44" ht="16.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62"/>
      <c r="AR88" s="62"/>
    </row>
    <row r="89" spans="1:44" ht="16.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  <c r="AR89" s="62"/>
    </row>
    <row r="90" spans="1:44" ht="16.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62"/>
      <c r="AR90" s="62"/>
    </row>
    <row r="91" spans="1:44" ht="16.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2"/>
    </row>
    <row r="92" spans="1:44" ht="16.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</row>
    <row r="93" spans="1:44" ht="16.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  <c r="AB93" s="62"/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  <c r="AR93" s="62"/>
    </row>
    <row r="94" spans="1:44" ht="16.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62"/>
      <c r="AR94" s="62"/>
    </row>
    <row r="95" spans="1:44" ht="16.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  <c r="AR95" s="62"/>
    </row>
    <row r="96" spans="1:44" ht="16.5" customHeight="1">
      <c r="A96" s="62"/>
      <c r="B96" s="62"/>
      <c r="C96" s="76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  <c r="AR96" s="62"/>
    </row>
    <row r="97" spans="1:44" ht="16.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</row>
    <row r="98" spans="1:44" ht="16.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  <c r="AR98" s="62"/>
    </row>
    <row r="99" spans="1:44" ht="16.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  <c r="AR99" s="62"/>
    </row>
    <row r="100" spans="1:44" ht="16.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  <c r="AR100" s="62"/>
    </row>
    <row r="101" spans="1:44" ht="16.5" customHeight="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spans="1:44" ht="16.5" customHeight="1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</row>
    <row r="103" spans="1:44" ht="16.5" customHeight="1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  <c r="AR103" s="62"/>
    </row>
    <row r="104" spans="1:44" ht="16.5" customHeight="1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</row>
    <row r="105" spans="1:44" ht="16.5" customHeight="1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  <c r="AR105" s="62"/>
    </row>
    <row r="106" spans="1:44" ht="16.5" customHeight="1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  <c r="AR106" s="62"/>
    </row>
    <row r="107" spans="1:44" ht="16.5" customHeight="1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  <c r="AR107" s="62"/>
    </row>
    <row r="108" spans="1:44" ht="16.5" customHeight="1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62"/>
      <c r="AR108" s="62"/>
    </row>
    <row r="109" spans="1:44" ht="16.5" customHeight="1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</row>
    <row r="110" spans="1:44" ht="16.5" customHeight="1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</row>
    <row r="111" spans="1:44" ht="16.5" customHeight="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62"/>
      <c r="AR111" s="62"/>
    </row>
    <row r="112" spans="1:44" ht="16.5" customHeight="1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2"/>
    </row>
    <row r="113" spans="1:44" ht="16.5" customHeight="1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62"/>
      <c r="AR113" s="62"/>
    </row>
    <row r="114" spans="1:44" ht="16.5" customHeight="1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</row>
    <row r="115" spans="1:44" ht="16.5" customHeight="1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</row>
    <row r="116" spans="1:44" ht="16.5" customHeight="1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</row>
    <row r="117" spans="1:44" ht="16.5" customHeight="1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</row>
    <row r="118" spans="1:44" ht="16.5" customHeight="1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</row>
    <row r="119" spans="1:44" ht="16.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</row>
    <row r="120" spans="1:44" ht="16.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2"/>
    </row>
    <row r="121" spans="1:44" ht="16.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</row>
    <row r="122" spans="1:44" ht="16.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</row>
    <row r="123" spans="1:44" ht="16.5" customHeight="1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</row>
    <row r="124" spans="1:44" ht="16.5" customHeight="1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2"/>
    </row>
    <row r="125" spans="1:44" ht="16.5" customHeight="1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62"/>
      <c r="AB125" s="62"/>
      <c r="AC125" s="62"/>
      <c r="AD125" s="62"/>
      <c r="AE125" s="62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62"/>
      <c r="AR125" s="62"/>
    </row>
    <row r="126" spans="1:44" ht="16.5" customHeight="1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62"/>
      <c r="AB126" s="62"/>
      <c r="AC126" s="62"/>
      <c r="AD126" s="62"/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</row>
    <row r="127" spans="1:44" ht="16.5" customHeight="1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62"/>
      <c r="AB127" s="62"/>
      <c r="AC127" s="62"/>
      <c r="AD127" s="62"/>
      <c r="AE127" s="62"/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</row>
    <row r="128" spans="1:44" ht="16.5" customHeight="1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62"/>
      <c r="AB128" s="62"/>
      <c r="AC128" s="62"/>
      <c r="AD128" s="62"/>
      <c r="AE128" s="62"/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</row>
    <row r="129" spans="1:44" ht="16.5" customHeight="1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</row>
    <row r="130" spans="1:44" ht="16.5" customHeight="1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62"/>
      <c r="AR130" s="62"/>
    </row>
    <row r="131" spans="1:44" ht="16.5" customHeight="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62"/>
      <c r="AB131" s="62"/>
      <c r="AC131" s="62"/>
      <c r="AD131" s="62"/>
      <c r="AE131" s="62"/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62"/>
      <c r="AR131" s="62"/>
    </row>
    <row r="132" spans="1:44" ht="16.5" customHeight="1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62"/>
      <c r="AR132" s="62"/>
    </row>
    <row r="133" spans="1:44" ht="16.5" customHeight="1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62"/>
      <c r="AB133" s="62"/>
      <c r="AC133" s="62"/>
      <c r="AD133" s="62"/>
      <c r="AE133" s="62"/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62"/>
      <c r="AR133" s="62"/>
    </row>
    <row r="134" spans="1:44" ht="16.5" customHeight="1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2"/>
    </row>
    <row r="135" spans="1:44" ht="16.5" customHeight="1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62"/>
      <c r="AB135" s="62"/>
      <c r="AC135" s="62"/>
      <c r="AD135" s="62"/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</row>
    <row r="136" spans="1:44" ht="16.5" customHeight="1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</row>
    <row r="137" spans="1:44" ht="16.5" customHeight="1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</row>
    <row r="138" spans="1:44" ht="16.5" customHeight="1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</row>
    <row r="139" spans="1:44" ht="16.5" customHeight="1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</row>
    <row r="140" spans="1:44" ht="16.5" customHeight="1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62"/>
      <c r="AB140" s="62"/>
      <c r="AC140" s="62"/>
      <c r="AD140" s="62"/>
      <c r="AE140" s="62"/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62"/>
      <c r="AR140" s="62"/>
    </row>
    <row r="141" spans="1:44" ht="16.5" customHeight="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62"/>
      <c r="AB141" s="62"/>
      <c r="AC141" s="62"/>
      <c r="AD141" s="62"/>
      <c r="AE141" s="62"/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</row>
    <row r="142" spans="1:44" ht="16.5" customHeight="1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</row>
    <row r="143" spans="1:44" ht="16.5" customHeight="1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</row>
    <row r="144" spans="1:44" ht="16.5" customHeight="1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62"/>
      <c r="AB144" s="62"/>
      <c r="AC144" s="62"/>
      <c r="AD144" s="62"/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</row>
    <row r="145" spans="1:44" ht="16.5" customHeight="1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62"/>
      <c r="AB145" s="62"/>
      <c r="AC145" s="62"/>
      <c r="AD145" s="62"/>
      <c r="AE145" s="62"/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</row>
    <row r="146" spans="1:44" ht="16.5" customHeight="1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  <c r="AB146" s="62"/>
      <c r="AC146" s="62"/>
      <c r="AD146" s="62"/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</row>
    <row r="147" spans="1:44" ht="16.5" customHeight="1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62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</row>
    <row r="148" spans="1:44" ht="16.5" customHeight="1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62"/>
      <c r="AR148" s="62"/>
    </row>
    <row r="149" spans="1:44" ht="16.5" customHeight="1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62"/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62"/>
      <c r="AR149" s="62"/>
    </row>
    <row r="150" spans="1:44" ht="16.5" customHeight="1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62"/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62"/>
      <c r="AR150" s="62"/>
    </row>
    <row r="151" spans="1:44" ht="16.5" customHeight="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</row>
    <row r="152" spans="1:44" ht="16.5" customHeight="1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62"/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</row>
    <row r="153" spans="1:44" ht="16.5" customHeight="1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62"/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62"/>
    </row>
    <row r="154" spans="1:44" ht="16.5" customHeight="1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62"/>
      <c r="AR154" s="62"/>
    </row>
    <row r="155" spans="1:44" ht="16.5" customHeight="1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62"/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</row>
    <row r="156" spans="1:44" ht="16.5" customHeight="1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62"/>
      <c r="AR156" s="62"/>
    </row>
    <row r="157" spans="1:44" ht="16.5" customHeight="1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62"/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</row>
    <row r="158" spans="1:44" ht="16.5" customHeight="1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62"/>
      <c r="AR158" s="62"/>
    </row>
    <row r="159" spans="1:44" ht="16.5" customHeight="1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62"/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62"/>
      <c r="AR159" s="62"/>
    </row>
    <row r="160" spans="1:44" ht="16.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62"/>
      <c r="AR160" s="62"/>
    </row>
    <row r="161" spans="1:44" ht="16.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62"/>
      <c r="AE161" s="62"/>
      <c r="AF161" s="62"/>
      <c r="AG161" s="62"/>
      <c r="AH161" s="62"/>
      <c r="AI161" s="62"/>
      <c r="AJ161" s="62"/>
      <c r="AK161" s="62"/>
      <c r="AL161" s="62"/>
      <c r="AM161" s="62"/>
      <c r="AN161" s="62"/>
      <c r="AO161" s="62"/>
      <c r="AP161" s="62"/>
      <c r="AQ161" s="62"/>
      <c r="AR161" s="62"/>
    </row>
    <row r="162" spans="1:44" ht="16.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62"/>
      <c r="AE162" s="62"/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62"/>
      <c r="AR162" s="62"/>
    </row>
    <row r="163" spans="1:44" ht="16.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62"/>
      <c r="AE163" s="62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62"/>
      <c r="AR163" s="62"/>
    </row>
    <row r="164" spans="1:44" ht="16.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62"/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</row>
    <row r="165" spans="1:44" ht="16.5" customHeight="1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62"/>
      <c r="AE165" s="62"/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</row>
    <row r="166" spans="1:44" ht="16.5" customHeight="1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</row>
    <row r="167" spans="1:44" ht="16.5" customHeight="1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62"/>
      <c r="AE167" s="62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</row>
    <row r="168" spans="1:44" ht="16.5" customHeight="1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</row>
    <row r="169" spans="1:44" ht="16.5" customHeight="1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</row>
    <row r="170" spans="1:44" ht="16.5" customHeight="1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</row>
    <row r="171" spans="1:44" ht="16.5" customHeight="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62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</row>
    <row r="172" spans="1:44" ht="16.5" customHeight="1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</row>
    <row r="173" spans="1:44" ht="16.5" customHeight="1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62"/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62"/>
      <c r="AR173" s="62"/>
    </row>
    <row r="174" spans="1:44" ht="16.5" customHeight="1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62"/>
      <c r="AR174" s="62"/>
    </row>
    <row r="175" spans="1:44" ht="16.5" customHeight="1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62"/>
      <c r="AE175" s="62"/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62"/>
      <c r="AR175" s="62"/>
    </row>
    <row r="176" spans="1:44" ht="16.5" customHeight="1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</row>
    <row r="177" spans="1:44" ht="16.5" customHeight="1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62"/>
      <c r="AE177" s="62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</row>
    <row r="178" spans="1:44" ht="16.5" customHeight="1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</row>
    <row r="179" spans="1:44" ht="16.5" customHeight="1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62"/>
      <c r="AE179" s="62"/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62"/>
      <c r="AR179" s="62"/>
    </row>
    <row r="180" spans="1:44" ht="16.5" customHeight="1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62"/>
      <c r="AE180" s="62"/>
      <c r="AF180" s="62"/>
      <c r="AG180" s="62"/>
      <c r="AH180" s="62"/>
      <c r="AI180" s="62"/>
      <c r="AJ180" s="62"/>
      <c r="AK180" s="62"/>
      <c r="AL180" s="62"/>
      <c r="AM180" s="62"/>
      <c r="AN180" s="62"/>
      <c r="AO180" s="62"/>
      <c r="AP180" s="62"/>
      <c r="AQ180" s="62"/>
      <c r="AR180" s="62"/>
    </row>
    <row r="181" spans="1:44" ht="16.5" customHeight="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62"/>
      <c r="AE181" s="62"/>
      <c r="AF181" s="62"/>
      <c r="AG181" s="62"/>
      <c r="AH181" s="62"/>
      <c r="AI181" s="62"/>
      <c r="AJ181" s="62"/>
      <c r="AK181" s="62"/>
      <c r="AL181" s="62"/>
      <c r="AM181" s="62"/>
      <c r="AN181" s="62"/>
      <c r="AO181" s="62"/>
      <c r="AP181" s="62"/>
      <c r="AQ181" s="62"/>
      <c r="AR181" s="62"/>
    </row>
    <row r="182" spans="1:44" ht="16.5" customHeight="1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  <c r="AN182" s="62"/>
      <c r="AO182" s="62"/>
      <c r="AP182" s="62"/>
      <c r="AQ182" s="62"/>
      <c r="AR182" s="62"/>
    </row>
    <row r="183" spans="1:44" ht="16.5" customHeight="1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62"/>
      <c r="AE183" s="62"/>
      <c r="AF183" s="62"/>
      <c r="AG183" s="62"/>
      <c r="AH183" s="62"/>
      <c r="AI183" s="62"/>
      <c r="AJ183" s="62"/>
      <c r="AK183" s="62"/>
      <c r="AL183" s="62"/>
      <c r="AM183" s="62"/>
      <c r="AN183" s="62"/>
      <c r="AO183" s="62"/>
      <c r="AP183" s="62"/>
      <c r="AQ183" s="62"/>
      <c r="AR183" s="62"/>
    </row>
    <row r="184" spans="1:44" ht="16.5" customHeight="1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62"/>
      <c r="AE184" s="62"/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62"/>
      <c r="AR184" s="62"/>
    </row>
    <row r="185" spans="1:44" ht="16.5" customHeight="1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62"/>
      <c r="AE185" s="62"/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62"/>
      <c r="AR185" s="62"/>
    </row>
    <row r="186" spans="1:44" ht="16.5" customHeight="1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62"/>
      <c r="AE186" s="62"/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62"/>
      <c r="AR186" s="62"/>
    </row>
    <row r="187" spans="1:44" ht="16.5" customHeight="1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62"/>
      <c r="AE187" s="62"/>
      <c r="AF187" s="62"/>
      <c r="AG187" s="62"/>
      <c r="AH187" s="62"/>
      <c r="AI187" s="62"/>
      <c r="AJ187" s="62"/>
      <c r="AK187" s="62"/>
      <c r="AL187" s="62"/>
      <c r="AM187" s="62"/>
      <c r="AN187" s="62"/>
      <c r="AO187" s="62"/>
      <c r="AP187" s="62"/>
      <c r="AQ187" s="62"/>
      <c r="AR187" s="62"/>
    </row>
    <row r="188" spans="1:44" ht="16.5" customHeight="1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62"/>
      <c r="AE188" s="62"/>
      <c r="AF188" s="62"/>
      <c r="AG188" s="62"/>
      <c r="AH188" s="62"/>
      <c r="AI188" s="62"/>
      <c r="AJ188" s="62"/>
      <c r="AK188" s="62"/>
      <c r="AL188" s="62"/>
      <c r="AM188" s="62"/>
      <c r="AN188" s="62"/>
      <c r="AO188" s="62"/>
      <c r="AP188" s="62"/>
      <c r="AQ188" s="62"/>
      <c r="AR188" s="62"/>
    </row>
    <row r="189" spans="1:44" ht="16.5" customHeight="1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62"/>
      <c r="AE189" s="62"/>
      <c r="AF189" s="62"/>
      <c r="AG189" s="62"/>
      <c r="AH189" s="62"/>
      <c r="AI189" s="62"/>
      <c r="AJ189" s="62"/>
      <c r="AK189" s="62"/>
      <c r="AL189" s="62"/>
      <c r="AM189" s="62"/>
      <c r="AN189" s="62"/>
      <c r="AO189" s="62"/>
      <c r="AP189" s="62"/>
      <c r="AQ189" s="62"/>
      <c r="AR189" s="62"/>
    </row>
    <row r="190" spans="1:44" ht="16.5" customHeight="1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62"/>
      <c r="AE190" s="62"/>
      <c r="AF190" s="62"/>
      <c r="AG190" s="62"/>
      <c r="AH190" s="62"/>
      <c r="AI190" s="62"/>
      <c r="AJ190" s="62"/>
      <c r="AK190" s="62"/>
      <c r="AL190" s="62"/>
      <c r="AM190" s="62"/>
      <c r="AN190" s="62"/>
      <c r="AO190" s="62"/>
      <c r="AP190" s="62"/>
      <c r="AQ190" s="62"/>
      <c r="AR190" s="62"/>
    </row>
    <row r="191" spans="1:44" ht="16.5" customHeight="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62"/>
      <c r="AE191" s="62"/>
      <c r="AF191" s="62"/>
      <c r="AG191" s="62"/>
      <c r="AH191" s="62"/>
      <c r="AI191" s="62"/>
      <c r="AJ191" s="62"/>
      <c r="AK191" s="62"/>
      <c r="AL191" s="62"/>
      <c r="AM191" s="62"/>
      <c r="AN191" s="62"/>
      <c r="AO191" s="62"/>
      <c r="AP191" s="62"/>
      <c r="AQ191" s="62"/>
      <c r="AR191" s="62"/>
    </row>
    <row r="192" spans="1:44" ht="16.5" customHeight="1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62"/>
      <c r="AE192" s="62"/>
      <c r="AF192" s="62"/>
      <c r="AG192" s="62"/>
      <c r="AH192" s="62"/>
      <c r="AI192" s="62"/>
      <c r="AJ192" s="62"/>
      <c r="AK192" s="62"/>
      <c r="AL192" s="62"/>
      <c r="AM192" s="62"/>
      <c r="AN192" s="62"/>
      <c r="AO192" s="62"/>
      <c r="AP192" s="62"/>
      <c r="AQ192" s="62"/>
      <c r="AR192" s="62"/>
    </row>
    <row r="193" spans="1:44" ht="16.5" customHeight="1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62"/>
      <c r="AE193" s="62"/>
      <c r="AF193" s="62"/>
      <c r="AG193" s="62"/>
      <c r="AH193" s="62"/>
      <c r="AI193" s="62"/>
      <c r="AJ193" s="62"/>
      <c r="AK193" s="62"/>
      <c r="AL193" s="62"/>
      <c r="AM193" s="62"/>
      <c r="AN193" s="62"/>
      <c r="AO193" s="62"/>
      <c r="AP193" s="62"/>
      <c r="AQ193" s="62"/>
      <c r="AR193" s="62"/>
    </row>
    <row r="194" spans="1:44" ht="16.5" customHeight="1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  <c r="AL194" s="62"/>
      <c r="AM194" s="62"/>
      <c r="AN194" s="62"/>
      <c r="AO194" s="62"/>
      <c r="AP194" s="62"/>
      <c r="AQ194" s="62"/>
      <c r="AR194" s="62"/>
    </row>
    <row r="195" spans="1:44" ht="16.5" customHeight="1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  <c r="AL195" s="62"/>
      <c r="AM195" s="62"/>
      <c r="AN195" s="62"/>
      <c r="AO195" s="62"/>
      <c r="AP195" s="62"/>
      <c r="AQ195" s="62"/>
      <c r="AR195" s="62"/>
    </row>
    <row r="196" spans="1:44" ht="16.5" customHeight="1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  <c r="AL196" s="62"/>
      <c r="AM196" s="62"/>
      <c r="AN196" s="62"/>
      <c r="AO196" s="62"/>
      <c r="AP196" s="62"/>
      <c r="AQ196" s="62"/>
      <c r="AR196" s="62"/>
    </row>
    <row r="197" spans="1:44" ht="16.5" customHeight="1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  <c r="AL197" s="62"/>
      <c r="AM197" s="62"/>
      <c r="AN197" s="62"/>
      <c r="AO197" s="62"/>
      <c r="AP197" s="62"/>
      <c r="AQ197" s="62"/>
      <c r="AR197" s="62"/>
    </row>
    <row r="198" spans="1:44" ht="16.5" customHeight="1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  <c r="AL198" s="62"/>
      <c r="AM198" s="62"/>
      <c r="AN198" s="62"/>
      <c r="AO198" s="62"/>
      <c r="AP198" s="62"/>
      <c r="AQ198" s="62"/>
      <c r="AR198" s="62"/>
    </row>
    <row r="199" spans="1:44" ht="16.5" customHeight="1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  <c r="AL199" s="62"/>
      <c r="AM199" s="62"/>
      <c r="AN199" s="62"/>
      <c r="AO199" s="62"/>
      <c r="AP199" s="62"/>
      <c r="AQ199" s="62"/>
      <c r="AR199" s="62"/>
    </row>
    <row r="200" spans="1:44" ht="16.5" customHeight="1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  <c r="AL200" s="62"/>
      <c r="AM200" s="62"/>
      <c r="AN200" s="62"/>
      <c r="AO200" s="62"/>
      <c r="AP200" s="62"/>
      <c r="AQ200" s="62"/>
      <c r="AR200" s="62"/>
    </row>
    <row r="201" spans="1:44" ht="16.5" customHeight="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  <c r="AL201" s="62"/>
      <c r="AM201" s="62"/>
      <c r="AN201" s="62"/>
      <c r="AO201" s="62"/>
      <c r="AP201" s="62"/>
      <c r="AQ201" s="62"/>
      <c r="AR201" s="62"/>
    </row>
    <row r="202" spans="1:44" ht="16.5" customHeight="1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  <c r="AL202" s="62"/>
      <c r="AM202" s="62"/>
      <c r="AN202" s="62"/>
      <c r="AO202" s="62"/>
      <c r="AP202" s="62"/>
      <c r="AQ202" s="62"/>
      <c r="AR202" s="62"/>
    </row>
    <row r="203" spans="1:44" ht="16.5" customHeight="1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  <c r="AL203" s="62"/>
      <c r="AM203" s="62"/>
      <c r="AN203" s="62"/>
      <c r="AO203" s="62"/>
      <c r="AP203" s="62"/>
      <c r="AQ203" s="62"/>
      <c r="AR203" s="62"/>
    </row>
    <row r="204" spans="1:44" ht="16.5" customHeight="1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  <c r="AL204" s="62"/>
      <c r="AM204" s="62"/>
      <c r="AN204" s="62"/>
      <c r="AO204" s="62"/>
      <c r="AP204" s="62"/>
      <c r="AQ204" s="62"/>
      <c r="AR204" s="62"/>
    </row>
    <row r="205" spans="1:44" ht="16.5" customHeight="1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  <c r="AL205" s="62"/>
      <c r="AM205" s="62"/>
      <c r="AN205" s="62"/>
      <c r="AO205" s="62"/>
      <c r="AP205" s="62"/>
      <c r="AQ205" s="62"/>
      <c r="AR205" s="62"/>
    </row>
    <row r="206" spans="1:44" ht="16.5" customHeight="1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  <c r="AL206" s="62"/>
      <c r="AM206" s="62"/>
      <c r="AN206" s="62"/>
      <c r="AO206" s="62"/>
      <c r="AP206" s="62"/>
      <c r="AQ206" s="62"/>
      <c r="AR206" s="62"/>
    </row>
    <row r="207" spans="1:44" ht="16.5" customHeight="1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  <c r="AL207" s="62"/>
      <c r="AM207" s="62"/>
      <c r="AN207" s="62"/>
      <c r="AO207" s="62"/>
      <c r="AP207" s="62"/>
      <c r="AQ207" s="62"/>
      <c r="AR207" s="62"/>
    </row>
    <row r="208" spans="1:44" ht="16.5" customHeight="1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  <c r="AL208" s="62"/>
      <c r="AM208" s="62"/>
      <c r="AN208" s="62"/>
      <c r="AO208" s="62"/>
      <c r="AP208" s="62"/>
      <c r="AQ208" s="62"/>
      <c r="AR208" s="62"/>
    </row>
    <row r="209" spans="1:44" ht="16.5" customHeight="1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  <c r="AL209" s="62"/>
      <c r="AM209" s="62"/>
      <c r="AN209" s="62"/>
      <c r="AO209" s="62"/>
      <c r="AP209" s="62"/>
      <c r="AQ209" s="62"/>
      <c r="AR209" s="62"/>
    </row>
    <row r="210" spans="1:44" ht="16.5" customHeight="1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  <c r="AL210" s="62"/>
      <c r="AM210" s="62"/>
      <c r="AN210" s="62"/>
      <c r="AO210" s="62"/>
      <c r="AP210" s="62"/>
      <c r="AQ210" s="62"/>
      <c r="AR210" s="62"/>
    </row>
    <row r="211" spans="1:44" ht="16.5" customHeight="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  <c r="AL211" s="62"/>
      <c r="AM211" s="62"/>
      <c r="AN211" s="62"/>
      <c r="AO211" s="62"/>
      <c r="AP211" s="62"/>
      <c r="AQ211" s="62"/>
      <c r="AR211" s="62"/>
    </row>
    <row r="212" spans="1:44" ht="16.5" customHeight="1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  <c r="AL212" s="62"/>
      <c r="AM212" s="62"/>
      <c r="AN212" s="62"/>
      <c r="AO212" s="62"/>
      <c r="AP212" s="62"/>
      <c r="AQ212" s="62"/>
      <c r="AR212" s="62"/>
    </row>
    <row r="213" spans="1:44" ht="16.5" customHeight="1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  <c r="AL213" s="62"/>
      <c r="AM213" s="62"/>
      <c r="AN213" s="62"/>
      <c r="AO213" s="62"/>
      <c r="AP213" s="62"/>
      <c r="AQ213" s="62"/>
      <c r="AR213" s="62"/>
    </row>
    <row r="214" spans="1:44" ht="16.5" customHeight="1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  <c r="AL214" s="62"/>
      <c r="AM214" s="62"/>
      <c r="AN214" s="62"/>
      <c r="AO214" s="62"/>
      <c r="AP214" s="62"/>
      <c r="AQ214" s="62"/>
      <c r="AR214" s="62"/>
    </row>
    <row r="215" spans="1:44" ht="16.5" customHeight="1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  <c r="AL215" s="62"/>
      <c r="AM215" s="62"/>
      <c r="AN215" s="62"/>
      <c r="AO215" s="62"/>
      <c r="AP215" s="62"/>
      <c r="AQ215" s="62"/>
      <c r="AR215" s="62"/>
    </row>
    <row r="216" spans="1:44" ht="16.5" customHeight="1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  <c r="AL216" s="62"/>
      <c r="AM216" s="62"/>
      <c r="AN216" s="62"/>
      <c r="AO216" s="62"/>
      <c r="AP216" s="62"/>
      <c r="AQ216" s="62"/>
      <c r="AR216" s="62"/>
    </row>
    <row r="217" spans="1:44" ht="16.5" customHeight="1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  <c r="AL217" s="62"/>
      <c r="AM217" s="62"/>
      <c r="AN217" s="62"/>
      <c r="AO217" s="62"/>
      <c r="AP217" s="62"/>
      <c r="AQ217" s="62"/>
      <c r="AR217" s="62"/>
    </row>
    <row r="218" spans="1:44" ht="16.5" customHeight="1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  <c r="AL218" s="62"/>
      <c r="AM218" s="62"/>
      <c r="AN218" s="62"/>
      <c r="AO218" s="62"/>
      <c r="AP218" s="62"/>
      <c r="AQ218" s="62"/>
      <c r="AR218" s="62"/>
    </row>
    <row r="219" spans="1:44" ht="16.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  <c r="AL219" s="62"/>
      <c r="AM219" s="62"/>
      <c r="AN219" s="62"/>
      <c r="AO219" s="62"/>
      <c r="AP219" s="62"/>
      <c r="AQ219" s="62"/>
      <c r="AR219" s="62"/>
    </row>
    <row r="220" spans="1:44" ht="16.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  <c r="AL220" s="62"/>
      <c r="AM220" s="62"/>
      <c r="AN220" s="62"/>
      <c r="AO220" s="62"/>
      <c r="AP220" s="62"/>
      <c r="AQ220" s="62"/>
      <c r="AR220" s="62"/>
    </row>
    <row r="221" spans="1:44" ht="16.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2"/>
      <c r="AM221" s="62"/>
      <c r="AN221" s="62"/>
      <c r="AO221" s="62"/>
      <c r="AP221" s="62"/>
      <c r="AQ221" s="62"/>
      <c r="AR221" s="62"/>
    </row>
    <row r="222" spans="1:44" ht="16.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  <c r="AL222" s="62"/>
      <c r="AM222" s="62"/>
      <c r="AN222" s="62"/>
      <c r="AO222" s="62"/>
      <c r="AP222" s="62"/>
      <c r="AQ222" s="62"/>
      <c r="AR222" s="62"/>
    </row>
    <row r="223" spans="1:44" ht="16.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  <c r="AL223" s="62"/>
      <c r="AM223" s="62"/>
      <c r="AN223" s="62"/>
      <c r="AO223" s="62"/>
      <c r="AP223" s="62"/>
      <c r="AQ223" s="62"/>
      <c r="AR223" s="62"/>
    </row>
    <row r="224" spans="1:44" ht="16.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  <c r="AO224" s="62"/>
      <c r="AP224" s="62"/>
      <c r="AQ224" s="62"/>
      <c r="AR224" s="62"/>
    </row>
    <row r="225" spans="1:44" ht="16.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  <c r="AO225" s="62"/>
      <c r="AP225" s="62"/>
      <c r="AQ225" s="62"/>
      <c r="AR225" s="62"/>
    </row>
    <row r="226" spans="1:44" ht="16.5" customHeight="1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62"/>
      <c r="AR226" s="62"/>
    </row>
    <row r="227" spans="1:44" ht="16.5" customHeight="1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</row>
    <row r="228" spans="1:44" ht="16.5" customHeight="1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</row>
    <row r="229" spans="1:44" ht="16.5" customHeight="1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</row>
    <row r="230" spans="1:44" ht="16.5" customHeight="1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</row>
    <row r="231" spans="1:44" ht="16.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62"/>
      <c r="AR231" s="62"/>
    </row>
    <row r="232" spans="1:44" ht="16.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62"/>
      <c r="AR232" s="62"/>
    </row>
    <row r="233" spans="1:44" ht="16.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</row>
    <row r="234" spans="1:44" ht="16.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</row>
    <row r="235" spans="1:44" ht="16.5" customHeight="1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</row>
    <row r="236" spans="1:44" ht="16.5" customHeight="1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</row>
    <row r="237" spans="1:44" ht="16.5" customHeight="1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</row>
    <row r="238" spans="1:44" ht="16.5" customHeight="1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</row>
    <row r="239" spans="1:44" ht="16.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</row>
    <row r="240" spans="1:44" ht="16.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</row>
    <row r="241" spans="1:44" ht="16.5" customHeight="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</row>
    <row r="242" spans="1:44" ht="16.5" customHeight="1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</row>
    <row r="243" spans="1:44" ht="16.5" customHeight="1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</row>
    <row r="244" spans="1:44" ht="16.5" customHeight="1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</row>
    <row r="245" spans="1:44" ht="16.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</row>
    <row r="246" spans="1:44" ht="16.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</row>
    <row r="247" spans="1:44" ht="16.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</row>
    <row r="248" spans="1:44" ht="16.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</row>
    <row r="249" spans="1:44" ht="16.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</row>
    <row r="250" spans="1:44" ht="16.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</row>
    <row r="251" spans="1:44" ht="16.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</row>
    <row r="252" spans="1:44" ht="16.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</row>
    <row r="253" spans="1:44" ht="16.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</row>
    <row r="254" spans="1:44" ht="16.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</row>
    <row r="255" spans="1:44" ht="16.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</row>
    <row r="256" spans="1:44" ht="16.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</row>
    <row r="257" spans="1:44" ht="16.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</row>
    <row r="258" spans="1:44" ht="16.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</row>
    <row r="259" spans="1:44" ht="16.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</row>
    <row r="260" spans="1:44" ht="16.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</row>
    <row r="261" spans="1:44" ht="15.75" customHeight="1"/>
    <row r="262" spans="1:44" ht="15.75" customHeight="1"/>
    <row r="263" spans="1:44" ht="15.75" customHeight="1"/>
    <row r="264" spans="1:44" ht="15.75" customHeight="1"/>
    <row r="265" spans="1:44" ht="15.75" customHeight="1"/>
    <row r="266" spans="1:44" ht="15.75" customHeight="1"/>
    <row r="267" spans="1:44" ht="15.75" customHeight="1"/>
    <row r="268" spans="1:44" ht="15.75" customHeight="1"/>
    <row r="269" spans="1:44" ht="15.75" customHeight="1"/>
    <row r="270" spans="1:44" ht="15.75" customHeight="1"/>
    <row r="271" spans="1:44" ht="15.75" customHeight="1"/>
    <row r="272" spans="1:44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1">
    <mergeCell ref="T3:AF3"/>
    <mergeCell ref="AG3:AN3"/>
    <mergeCell ref="B2:D2"/>
    <mergeCell ref="E2:N2"/>
    <mergeCell ref="O2:Q2"/>
    <mergeCell ref="T2:AN2"/>
    <mergeCell ref="B3:D3"/>
    <mergeCell ref="E3:N3"/>
    <mergeCell ref="O3:Q3"/>
    <mergeCell ref="B4:D4"/>
    <mergeCell ref="E4:N4"/>
    <mergeCell ref="O4:Q4"/>
    <mergeCell ref="T4:AF4"/>
    <mergeCell ref="AG4:AN4"/>
    <mergeCell ref="T5:AF5"/>
    <mergeCell ref="AG5:AN5"/>
    <mergeCell ref="T6:AF6"/>
    <mergeCell ref="AG6:AN6"/>
    <mergeCell ref="T7:AF7"/>
    <mergeCell ref="AG7:AN7"/>
    <mergeCell ref="T8:AF8"/>
    <mergeCell ref="AG8:AN8"/>
    <mergeCell ref="AG9:AN9"/>
    <mergeCell ref="T9:AF9"/>
    <mergeCell ref="T10:AF10"/>
    <mergeCell ref="AG10:AN10"/>
    <mergeCell ref="T11:AF11"/>
    <mergeCell ref="AG11:AN11"/>
    <mergeCell ref="T12:AF12"/>
    <mergeCell ref="AG12:AN12"/>
    <mergeCell ref="T14:AN14"/>
    <mergeCell ref="V15:X15"/>
    <mergeCell ref="Y15:Z15"/>
    <mergeCell ref="AC15:AE15"/>
    <mergeCell ref="AF15:AH15"/>
    <mergeCell ref="AL15:AM15"/>
    <mergeCell ref="T16:AN16"/>
    <mergeCell ref="T17:AQ19"/>
    <mergeCell ref="T21:AQ21"/>
    <mergeCell ref="B22:O22"/>
    <mergeCell ref="T22:AF22"/>
    <mergeCell ref="AG22:AK22"/>
    <mergeCell ref="AL22:AQ22"/>
    <mergeCell ref="N23:O23"/>
    <mergeCell ref="AL23:AQ23"/>
    <mergeCell ref="J33:O35"/>
    <mergeCell ref="P33:P35"/>
    <mergeCell ref="Q33:Q35"/>
    <mergeCell ref="J29:O29"/>
    <mergeCell ref="J30:O30"/>
    <mergeCell ref="B31:F31"/>
    <mergeCell ref="J31:O31"/>
    <mergeCell ref="B32:F32"/>
    <mergeCell ref="J32:O32"/>
    <mergeCell ref="B33:F33"/>
    <mergeCell ref="T23:AF23"/>
    <mergeCell ref="AG23:AK23"/>
    <mergeCell ref="N24:O24"/>
    <mergeCell ref="T24:AF24"/>
    <mergeCell ref="AG24:AK24"/>
    <mergeCell ref="AL24:AQ24"/>
    <mergeCell ref="E53:N53"/>
    <mergeCell ref="O53:Q53"/>
    <mergeCell ref="E57:M57"/>
    <mergeCell ref="E58:G58"/>
    <mergeCell ref="E59:G59"/>
    <mergeCell ref="E60:G60"/>
    <mergeCell ref="B51:D51"/>
    <mergeCell ref="E51:N51"/>
    <mergeCell ref="O51:Q51"/>
    <mergeCell ref="B52:D52"/>
    <mergeCell ref="E52:N52"/>
    <mergeCell ref="O52:Q52"/>
    <mergeCell ref="B53:D53"/>
    <mergeCell ref="T42:AF42"/>
    <mergeCell ref="AG42:AK42"/>
    <mergeCell ref="AL42:AQ42"/>
    <mergeCell ref="T39:AF39"/>
    <mergeCell ref="T40:AF40"/>
    <mergeCell ref="AG40:AK40"/>
    <mergeCell ref="AL40:AQ40"/>
    <mergeCell ref="T41:AF41"/>
    <mergeCell ref="AG41:AK41"/>
    <mergeCell ref="AL41:AQ41"/>
    <mergeCell ref="T27:AF27"/>
    <mergeCell ref="T28:AF28"/>
    <mergeCell ref="AG28:AK28"/>
    <mergeCell ref="AL28:AQ28"/>
    <mergeCell ref="B29:F29"/>
    <mergeCell ref="T29:AF29"/>
    <mergeCell ref="B30:F30"/>
    <mergeCell ref="AL30:AQ30"/>
    <mergeCell ref="N25:O25"/>
    <mergeCell ref="AL25:AQ25"/>
    <mergeCell ref="T25:AF25"/>
    <mergeCell ref="AG25:AK25"/>
    <mergeCell ref="T26:AF26"/>
    <mergeCell ref="AG26:AK26"/>
    <mergeCell ref="AL26:AQ26"/>
    <mergeCell ref="AG27:AK27"/>
    <mergeCell ref="AL27:AQ27"/>
    <mergeCell ref="T30:AF30"/>
    <mergeCell ref="AG30:AK30"/>
    <mergeCell ref="T31:AF31"/>
    <mergeCell ref="AG31:AK31"/>
    <mergeCell ref="AL31:AQ31"/>
    <mergeCell ref="AG32:AK32"/>
    <mergeCell ref="AL32:AQ32"/>
    <mergeCell ref="AG29:AK29"/>
    <mergeCell ref="AL29:AQ29"/>
    <mergeCell ref="B39:F39"/>
    <mergeCell ref="J39:O39"/>
    <mergeCell ref="P39:Q39"/>
    <mergeCell ref="AG39:AK39"/>
    <mergeCell ref="AL39:AQ39"/>
    <mergeCell ref="T32:AF32"/>
    <mergeCell ref="T33:AF33"/>
    <mergeCell ref="AG33:AK33"/>
    <mergeCell ref="AL33:AQ33"/>
    <mergeCell ref="T38:AF38"/>
    <mergeCell ref="AG38:AK38"/>
    <mergeCell ref="B37:G37"/>
    <mergeCell ref="J37:O37"/>
    <mergeCell ref="P37:Q37"/>
    <mergeCell ref="T37:AF37"/>
    <mergeCell ref="AG37:AK37"/>
    <mergeCell ref="AL37:AQ37"/>
    <mergeCell ref="B38:F38"/>
    <mergeCell ref="AL38:AQ38"/>
    <mergeCell ref="J38:O38"/>
    <mergeCell ref="P38:Q38"/>
  </mergeCells>
  <pageMargins left="0.45" right="0.19302061950427407" top="0.75" bottom="0.75" header="0" footer="0"/>
  <pageSetup paperSize="9" scale="50" orientation="portrait"/>
  <headerFooter>
    <oddHeader>&amp;LDepartment of CSE, ULAB&amp;CCourse Summary&amp;RAC18(00) Page &amp;P of</oddHeader>
    <oddFooter>&amp;LGenerated on &amp;D &amp;T&amp;C &amp;RAC18(00) Page &amp;P of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002"/>
  <sheetViews>
    <sheetView topLeftCell="A7" workbookViewId="0">
      <selection activeCell="G27" sqref="G27"/>
    </sheetView>
  </sheetViews>
  <sheetFormatPr defaultColWidth="14.42578125" defaultRowHeight="15" customHeight="1"/>
  <cols>
    <col min="1" max="1" width="9.140625" customWidth="1"/>
    <col min="2" max="2" width="15.7109375" customWidth="1"/>
    <col min="3" max="3" width="37.42578125" customWidth="1"/>
    <col min="4" max="4" width="8.28515625" customWidth="1"/>
    <col min="5" max="8" width="7.42578125" customWidth="1"/>
    <col min="9" max="9" width="8.28515625" customWidth="1"/>
    <col min="10" max="22" width="7.42578125" customWidth="1"/>
    <col min="23" max="23" width="7.7109375" customWidth="1"/>
    <col min="24" max="27" width="7.42578125" customWidth="1"/>
    <col min="28" max="29" width="7.7109375" customWidth="1"/>
    <col min="30" max="33" width="7.42578125" customWidth="1"/>
    <col min="34" max="34" width="10.85546875" customWidth="1"/>
    <col min="35" max="35" width="7.85546875" customWidth="1"/>
    <col min="36" max="39" width="7.42578125" customWidth="1"/>
    <col min="40" max="42" width="9.140625" customWidth="1"/>
    <col min="43" max="45" width="10.42578125" customWidth="1"/>
    <col min="46" max="46" width="8.7109375" customWidth="1"/>
    <col min="47" max="47" width="10.140625" customWidth="1"/>
    <col min="48" max="58" width="9.140625" customWidth="1"/>
    <col min="59" max="59" width="9.7109375" customWidth="1"/>
    <col min="60" max="70" width="9.140625" customWidth="1"/>
  </cols>
  <sheetData>
    <row r="1" spans="1:70">
      <c r="A1" s="78"/>
      <c r="B1" s="78"/>
      <c r="C1" s="216"/>
      <c r="D1" s="217"/>
      <c r="E1" s="217"/>
      <c r="F1" s="217"/>
      <c r="G1" s="217"/>
      <c r="H1" s="217"/>
      <c r="I1" s="217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218" t="s">
        <v>125</v>
      </c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19"/>
      <c r="BG1" s="220"/>
      <c r="BH1" s="78"/>
      <c r="BI1" s="78"/>
      <c r="BJ1" s="78"/>
      <c r="BK1" s="78"/>
      <c r="BL1" s="78"/>
      <c r="BM1" s="78"/>
      <c r="BN1" s="78"/>
      <c r="BO1" s="78"/>
      <c r="BP1" s="78"/>
      <c r="BQ1" s="78"/>
      <c r="BR1" s="78"/>
    </row>
    <row r="2" spans="1:70">
      <c r="A2" s="78"/>
      <c r="B2" s="78"/>
      <c r="C2" s="79" t="s">
        <v>126</v>
      </c>
      <c r="D2" s="80" t="s">
        <v>117</v>
      </c>
      <c r="E2" s="81" t="s">
        <v>118</v>
      </c>
      <c r="F2" s="81" t="s">
        <v>119</v>
      </c>
      <c r="G2" s="82" t="s">
        <v>120</v>
      </c>
      <c r="H2" s="82" t="s">
        <v>121</v>
      </c>
      <c r="I2" s="82" t="s">
        <v>122</v>
      </c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83"/>
      <c r="AT2" s="80" t="s">
        <v>127</v>
      </c>
      <c r="AU2" s="81" t="s">
        <v>128</v>
      </c>
      <c r="AV2" s="81" t="s">
        <v>129</v>
      </c>
      <c r="AW2" s="81" t="s">
        <v>130</v>
      </c>
      <c r="AX2" s="81" t="s">
        <v>131</v>
      </c>
      <c r="AY2" s="81" t="s">
        <v>132</v>
      </c>
      <c r="AZ2" s="81" t="s">
        <v>133</v>
      </c>
      <c r="BA2" s="81" t="s">
        <v>134</v>
      </c>
      <c r="BB2" s="81" t="s">
        <v>135</v>
      </c>
      <c r="BC2" s="81" t="s">
        <v>136</v>
      </c>
      <c r="BD2" s="81" t="s">
        <v>137</v>
      </c>
      <c r="BE2" s="82" t="s">
        <v>138</v>
      </c>
      <c r="BF2" s="78"/>
      <c r="BG2" s="78"/>
      <c r="BH2" s="78"/>
      <c r="BI2" s="78"/>
      <c r="BJ2" s="78"/>
      <c r="BK2" s="78"/>
      <c r="BL2" s="78"/>
      <c r="BM2" s="78"/>
      <c r="BN2" s="78"/>
      <c r="BO2" s="78"/>
      <c r="BP2" s="78"/>
      <c r="BQ2" s="84"/>
      <c r="BR2" s="84"/>
    </row>
    <row r="3" spans="1:70">
      <c r="A3" s="78"/>
      <c r="B3" s="78"/>
      <c r="C3" s="85" t="s">
        <v>38</v>
      </c>
      <c r="D3" s="86">
        <v>6</v>
      </c>
      <c r="E3" s="87">
        <v>3</v>
      </c>
      <c r="F3" s="87"/>
      <c r="G3" s="88"/>
      <c r="H3" s="88"/>
      <c r="I3" s="8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89" t="s">
        <v>117</v>
      </c>
      <c r="AT3" s="90">
        <v>0</v>
      </c>
      <c r="AU3" s="90">
        <v>0</v>
      </c>
      <c r="AV3" s="90">
        <v>0</v>
      </c>
      <c r="AW3" s="90">
        <v>0</v>
      </c>
      <c r="AX3" s="90">
        <v>0</v>
      </c>
      <c r="AY3" s="90">
        <v>0</v>
      </c>
      <c r="AZ3" s="90">
        <v>0</v>
      </c>
      <c r="BA3" s="90">
        <v>0</v>
      </c>
      <c r="BB3" s="90">
        <v>0</v>
      </c>
      <c r="BC3" s="90">
        <v>0</v>
      </c>
      <c r="BD3" s="90">
        <v>0</v>
      </c>
      <c r="BE3" s="90">
        <v>0</v>
      </c>
      <c r="BF3" s="78"/>
      <c r="BG3" s="78"/>
      <c r="BH3" s="78"/>
      <c r="BI3" s="78"/>
      <c r="BJ3" s="78"/>
      <c r="BK3" s="78"/>
      <c r="BL3" s="78"/>
      <c r="BM3" s="78"/>
      <c r="BN3" s="78"/>
      <c r="BO3" s="78"/>
      <c r="BP3" s="78"/>
      <c r="BQ3" s="84"/>
      <c r="BR3" s="84"/>
    </row>
    <row r="4" spans="1:70">
      <c r="A4" s="78"/>
      <c r="B4" s="78"/>
      <c r="C4" s="91" t="s">
        <v>44</v>
      </c>
      <c r="D4" s="92"/>
      <c r="E4" s="93"/>
      <c r="F4" s="93"/>
      <c r="G4" s="94"/>
      <c r="H4" s="94"/>
      <c r="I4" s="94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95" t="s">
        <v>118</v>
      </c>
      <c r="AT4" s="90">
        <v>0</v>
      </c>
      <c r="AU4" s="90">
        <v>0</v>
      </c>
      <c r="AV4" s="90">
        <v>0</v>
      </c>
      <c r="AW4" s="90">
        <v>0</v>
      </c>
      <c r="AX4" s="90">
        <v>0</v>
      </c>
      <c r="AY4" s="90">
        <v>0</v>
      </c>
      <c r="AZ4" s="90">
        <v>0</v>
      </c>
      <c r="BA4" s="90">
        <v>0</v>
      </c>
      <c r="BB4" s="90">
        <v>0</v>
      </c>
      <c r="BC4" s="90">
        <v>0</v>
      </c>
      <c r="BD4" s="90">
        <v>0</v>
      </c>
      <c r="BE4" s="90">
        <v>0</v>
      </c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84"/>
      <c r="BR4" s="84"/>
    </row>
    <row r="5" spans="1:70">
      <c r="A5" s="78"/>
      <c r="B5" s="78"/>
      <c r="C5" s="96" t="s">
        <v>41</v>
      </c>
      <c r="D5" s="97"/>
      <c r="E5" s="98"/>
      <c r="F5" s="98"/>
      <c r="G5" s="99"/>
      <c r="H5" s="99"/>
      <c r="I5" s="99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95" t="s">
        <v>119</v>
      </c>
      <c r="AT5" s="90">
        <v>0</v>
      </c>
      <c r="AU5" s="90">
        <v>0</v>
      </c>
      <c r="AV5" s="90">
        <v>0</v>
      </c>
      <c r="AW5" s="90">
        <v>0</v>
      </c>
      <c r="AX5" s="90">
        <v>0</v>
      </c>
      <c r="AY5" s="90">
        <v>0</v>
      </c>
      <c r="AZ5" s="90">
        <v>0</v>
      </c>
      <c r="BA5" s="90">
        <v>0</v>
      </c>
      <c r="BB5" s="90">
        <v>0</v>
      </c>
      <c r="BC5" s="90">
        <v>0</v>
      </c>
      <c r="BD5" s="90">
        <v>0</v>
      </c>
      <c r="BE5" s="90">
        <v>0</v>
      </c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78"/>
      <c r="BQ5" s="84"/>
      <c r="BR5" s="84"/>
    </row>
    <row r="6" spans="1:70">
      <c r="A6" s="78"/>
      <c r="B6" s="78"/>
      <c r="C6" s="96" t="s">
        <v>90</v>
      </c>
      <c r="D6" s="97"/>
      <c r="E6" s="98"/>
      <c r="F6" s="98"/>
      <c r="G6" s="99"/>
      <c r="H6" s="99"/>
      <c r="I6" s="99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95" t="s">
        <v>120</v>
      </c>
      <c r="AT6" s="90">
        <v>0</v>
      </c>
      <c r="AU6" s="90">
        <v>0</v>
      </c>
      <c r="AV6" s="90">
        <v>0</v>
      </c>
      <c r="AW6" s="90">
        <v>0</v>
      </c>
      <c r="AX6" s="90">
        <v>0</v>
      </c>
      <c r="AY6" s="90">
        <v>0</v>
      </c>
      <c r="AZ6" s="90">
        <v>0</v>
      </c>
      <c r="BA6" s="90">
        <v>0</v>
      </c>
      <c r="BB6" s="90">
        <v>0</v>
      </c>
      <c r="BC6" s="90">
        <v>0</v>
      </c>
      <c r="BD6" s="90">
        <v>0</v>
      </c>
      <c r="BE6" s="90">
        <v>0</v>
      </c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78"/>
      <c r="BQ6" s="84"/>
      <c r="BR6" s="84"/>
    </row>
    <row r="7" spans="1:70">
      <c r="A7" s="78"/>
      <c r="B7" s="78"/>
      <c r="C7" s="79" t="s">
        <v>47</v>
      </c>
      <c r="D7" s="80">
        <f t="shared" ref="D7:I7" si="0">SUM(D3:D6)</f>
        <v>6</v>
      </c>
      <c r="E7" s="100">
        <f t="shared" si="0"/>
        <v>3</v>
      </c>
      <c r="F7" s="100">
        <f t="shared" si="0"/>
        <v>0</v>
      </c>
      <c r="G7" s="101">
        <f t="shared" si="0"/>
        <v>0</v>
      </c>
      <c r="H7" s="101">
        <f t="shared" si="0"/>
        <v>0</v>
      </c>
      <c r="I7" s="101">
        <f t="shared" si="0"/>
        <v>0</v>
      </c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102" t="s">
        <v>121</v>
      </c>
      <c r="AT7" s="90">
        <v>0</v>
      </c>
      <c r="AU7" s="90">
        <v>0</v>
      </c>
      <c r="AV7" s="90">
        <v>0</v>
      </c>
      <c r="AW7" s="90">
        <v>0</v>
      </c>
      <c r="AX7" s="90">
        <v>0</v>
      </c>
      <c r="AY7" s="90">
        <v>0</v>
      </c>
      <c r="AZ7" s="90">
        <v>0</v>
      </c>
      <c r="BA7" s="90">
        <v>0</v>
      </c>
      <c r="BB7" s="90">
        <v>0</v>
      </c>
      <c r="BC7" s="90">
        <v>0</v>
      </c>
      <c r="BD7" s="90">
        <v>0</v>
      </c>
      <c r="BE7" s="90">
        <v>0</v>
      </c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78"/>
      <c r="BQ7" s="84"/>
      <c r="BR7" s="84"/>
    </row>
    <row r="8" spans="1:70">
      <c r="A8" s="78"/>
      <c r="B8" s="78"/>
      <c r="C8" s="84"/>
      <c r="D8" s="84"/>
      <c r="E8" s="84"/>
      <c r="F8" s="84"/>
      <c r="G8" s="84"/>
      <c r="H8" s="84"/>
      <c r="I8" s="84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103"/>
      <c r="AT8" s="90">
        <v>0</v>
      </c>
      <c r="AU8" s="90">
        <v>0</v>
      </c>
      <c r="AV8" s="90">
        <v>0</v>
      </c>
      <c r="AW8" s="90">
        <v>0</v>
      </c>
      <c r="AX8" s="90">
        <v>0</v>
      </c>
      <c r="AY8" s="90">
        <v>0</v>
      </c>
      <c r="AZ8" s="90">
        <v>0</v>
      </c>
      <c r="BA8" s="90">
        <v>0</v>
      </c>
      <c r="BB8" s="90">
        <v>0</v>
      </c>
      <c r="BC8" s="90">
        <v>0</v>
      </c>
      <c r="BD8" s="90">
        <v>0</v>
      </c>
      <c r="BE8" s="90">
        <v>0</v>
      </c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78"/>
      <c r="BQ8" s="84"/>
      <c r="BR8" s="84"/>
    </row>
    <row r="9" spans="1:70">
      <c r="A9" s="78"/>
      <c r="B9" s="78"/>
      <c r="C9" s="78"/>
      <c r="D9" s="104"/>
      <c r="E9" s="104"/>
      <c r="F9" s="104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83" t="s">
        <v>47</v>
      </c>
      <c r="AT9" s="80">
        <f t="shared" ref="AT9:BE9" si="1">SUM(AT3:AT8)</f>
        <v>0</v>
      </c>
      <c r="AU9" s="81">
        <f t="shared" si="1"/>
        <v>0</v>
      </c>
      <c r="AV9" s="81">
        <f t="shared" si="1"/>
        <v>0</v>
      </c>
      <c r="AW9" s="81">
        <f t="shared" si="1"/>
        <v>0</v>
      </c>
      <c r="AX9" s="81">
        <f t="shared" si="1"/>
        <v>0</v>
      </c>
      <c r="AY9" s="81">
        <f t="shared" si="1"/>
        <v>0</v>
      </c>
      <c r="AZ9" s="81">
        <f t="shared" si="1"/>
        <v>0</v>
      </c>
      <c r="BA9" s="81">
        <f t="shared" si="1"/>
        <v>0</v>
      </c>
      <c r="BB9" s="81">
        <f t="shared" si="1"/>
        <v>0</v>
      </c>
      <c r="BC9" s="81">
        <f t="shared" si="1"/>
        <v>0</v>
      </c>
      <c r="BD9" s="81">
        <f t="shared" si="1"/>
        <v>0</v>
      </c>
      <c r="BE9" s="82">
        <f t="shared" si="1"/>
        <v>0</v>
      </c>
      <c r="BF9" s="84"/>
      <c r="BG9" s="84"/>
      <c r="BH9" s="78"/>
      <c r="BI9" s="78"/>
      <c r="BJ9" s="78"/>
      <c r="BK9" s="78"/>
      <c r="BL9" s="78"/>
      <c r="BM9" s="78"/>
      <c r="BN9" s="78"/>
      <c r="BO9" s="78"/>
      <c r="BP9" s="78"/>
      <c r="BQ9" s="78"/>
      <c r="BR9" s="78"/>
    </row>
    <row r="10" spans="1:70">
      <c r="A10" s="78"/>
      <c r="B10" s="78"/>
      <c r="C10" s="78"/>
      <c r="D10" s="104"/>
      <c r="E10" s="104"/>
      <c r="F10" s="104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78"/>
      <c r="BQ10" s="78"/>
      <c r="BR10" s="78"/>
    </row>
    <row r="11" spans="1:70" ht="14.25">
      <c r="A11" s="221" t="str">
        <f>CONCATENATE("Course Outcome (CO) Attainment Analysis of ",GradeSheet!$H$2, " [",GradeSheet!$H$3, "] ", "(Section ",GradeSheet!$L$2, ") ", "[Semester - ",GradeSheet!$L$3,"]" )</f>
        <v>Course Outcome (CO) Attainment Analysis of CSE [Operating Systems] (Section 1) [Semester - Spring 2025]</v>
      </c>
      <c r="B11" s="219"/>
      <c r="C11" s="220"/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  <c r="AA11" s="106"/>
      <c r="AB11" s="227" t="s">
        <v>139</v>
      </c>
      <c r="AC11" s="228"/>
      <c r="AD11" s="228"/>
      <c r="AE11" s="228"/>
      <c r="AF11" s="228"/>
      <c r="AG11" s="228"/>
      <c r="AH11" s="228"/>
      <c r="AI11" s="228"/>
      <c r="AJ11" s="228"/>
      <c r="AK11" s="228"/>
      <c r="AL11" s="228"/>
      <c r="AM11" s="228"/>
      <c r="AN11" s="228"/>
      <c r="AO11" s="228"/>
      <c r="AP11" s="228"/>
      <c r="AQ11" s="228"/>
      <c r="AR11" s="228"/>
      <c r="AS11" s="229"/>
      <c r="AT11" s="104"/>
      <c r="AU11" s="230" t="s">
        <v>140</v>
      </c>
      <c r="AV11" s="228"/>
      <c r="AW11" s="228"/>
      <c r="AX11" s="228"/>
      <c r="AY11" s="228"/>
      <c r="AZ11" s="228"/>
      <c r="BA11" s="228"/>
      <c r="BB11" s="228"/>
      <c r="BC11" s="228"/>
      <c r="BD11" s="228"/>
      <c r="BE11" s="228"/>
      <c r="BF11" s="228"/>
      <c r="BG11" s="228"/>
      <c r="BH11" s="228"/>
      <c r="BI11" s="228"/>
      <c r="BJ11" s="228"/>
      <c r="BK11" s="228"/>
      <c r="BL11" s="228"/>
      <c r="BM11" s="228"/>
      <c r="BN11" s="228"/>
      <c r="BO11" s="228"/>
      <c r="BP11" s="228"/>
      <c r="BQ11" s="228"/>
      <c r="BR11" s="229"/>
    </row>
    <row r="12" spans="1:70" ht="14.25">
      <c r="A12" s="222"/>
      <c r="B12" s="217"/>
      <c r="C12" s="223"/>
      <c r="D12" s="231" t="str">
        <f>C3</f>
        <v>Midterm Exam</v>
      </c>
      <c r="E12" s="225"/>
      <c r="F12" s="225"/>
      <c r="G12" s="225"/>
      <c r="H12" s="225"/>
      <c r="I12" s="226"/>
      <c r="J12" s="232" t="str">
        <f>C4</f>
        <v>Final Exam</v>
      </c>
      <c r="K12" s="225"/>
      <c r="L12" s="225"/>
      <c r="M12" s="225"/>
      <c r="N12" s="225"/>
      <c r="O12" s="226"/>
      <c r="P12" s="232" t="s">
        <v>41</v>
      </c>
      <c r="Q12" s="225"/>
      <c r="R12" s="225"/>
      <c r="S12" s="225"/>
      <c r="T12" s="225"/>
      <c r="U12" s="226"/>
      <c r="V12" s="232" t="str">
        <f>C6</f>
        <v>Presentation</v>
      </c>
      <c r="W12" s="225"/>
      <c r="X12" s="225"/>
      <c r="Y12" s="225"/>
      <c r="Z12" s="225"/>
      <c r="AA12" s="226"/>
      <c r="AB12" s="234" t="s">
        <v>141</v>
      </c>
      <c r="AC12" s="219"/>
      <c r="AD12" s="219"/>
      <c r="AE12" s="219"/>
      <c r="AF12" s="219"/>
      <c r="AG12" s="220"/>
      <c r="AH12" s="235" t="s">
        <v>142</v>
      </c>
      <c r="AI12" s="228"/>
      <c r="AJ12" s="228"/>
      <c r="AK12" s="228"/>
      <c r="AL12" s="228"/>
      <c r="AM12" s="229"/>
      <c r="AN12" s="235" t="s">
        <v>143</v>
      </c>
      <c r="AO12" s="228"/>
      <c r="AP12" s="228"/>
      <c r="AQ12" s="228"/>
      <c r="AR12" s="228"/>
      <c r="AS12" s="229"/>
      <c r="AT12" s="104"/>
      <c r="AU12" s="218" t="s">
        <v>142</v>
      </c>
      <c r="AV12" s="219"/>
      <c r="AW12" s="219"/>
      <c r="AX12" s="219"/>
      <c r="AY12" s="219"/>
      <c r="AZ12" s="219"/>
      <c r="BA12" s="219"/>
      <c r="BB12" s="219"/>
      <c r="BC12" s="219"/>
      <c r="BD12" s="219"/>
      <c r="BE12" s="219"/>
      <c r="BF12" s="220"/>
      <c r="BG12" s="218" t="s">
        <v>144</v>
      </c>
      <c r="BH12" s="219"/>
      <c r="BI12" s="219"/>
      <c r="BJ12" s="219"/>
      <c r="BK12" s="219"/>
      <c r="BL12" s="219"/>
      <c r="BM12" s="219"/>
      <c r="BN12" s="219"/>
      <c r="BO12" s="219"/>
      <c r="BP12" s="219"/>
      <c r="BQ12" s="219"/>
      <c r="BR12" s="220"/>
    </row>
    <row r="13" spans="1:70" ht="15.75" thickBot="1">
      <c r="A13" s="224"/>
      <c r="B13" s="225"/>
      <c r="C13" s="226"/>
      <c r="D13" s="107" t="s">
        <v>117</v>
      </c>
      <c r="E13" s="108" t="s">
        <v>118</v>
      </c>
      <c r="F13" s="108" t="s">
        <v>119</v>
      </c>
      <c r="G13" s="109" t="s">
        <v>120</v>
      </c>
      <c r="H13" s="109" t="s">
        <v>121</v>
      </c>
      <c r="I13" s="110" t="s">
        <v>122</v>
      </c>
      <c r="J13" s="111" t="s">
        <v>117</v>
      </c>
      <c r="K13" s="112" t="s">
        <v>118</v>
      </c>
      <c r="L13" s="112" t="s">
        <v>119</v>
      </c>
      <c r="M13" s="113" t="s">
        <v>120</v>
      </c>
      <c r="N13" s="113" t="s">
        <v>121</v>
      </c>
      <c r="O13" s="114" t="s">
        <v>122</v>
      </c>
      <c r="P13" s="115" t="s">
        <v>117</v>
      </c>
      <c r="Q13" s="116" t="s">
        <v>118</v>
      </c>
      <c r="R13" s="116" t="s">
        <v>119</v>
      </c>
      <c r="S13" s="116" t="s">
        <v>120</v>
      </c>
      <c r="T13" s="116" t="s">
        <v>121</v>
      </c>
      <c r="U13" s="117" t="s">
        <v>122</v>
      </c>
      <c r="V13" s="115" t="s">
        <v>117</v>
      </c>
      <c r="W13" s="116" t="s">
        <v>118</v>
      </c>
      <c r="X13" s="116" t="s">
        <v>119</v>
      </c>
      <c r="Y13" s="116" t="s">
        <v>120</v>
      </c>
      <c r="Z13" s="116" t="s">
        <v>121</v>
      </c>
      <c r="AA13" s="117" t="s">
        <v>122</v>
      </c>
      <c r="AB13" s="80" t="s">
        <v>117</v>
      </c>
      <c r="AC13" s="80" t="s">
        <v>118</v>
      </c>
      <c r="AD13" s="80" t="s">
        <v>119</v>
      </c>
      <c r="AE13" s="80" t="s">
        <v>120</v>
      </c>
      <c r="AF13" s="80" t="s">
        <v>121</v>
      </c>
      <c r="AG13" s="80" t="s">
        <v>122</v>
      </c>
      <c r="AH13" s="118" t="s">
        <v>117</v>
      </c>
      <c r="AI13" s="119" t="s">
        <v>118</v>
      </c>
      <c r="AJ13" s="119" t="s">
        <v>119</v>
      </c>
      <c r="AK13" s="120" t="s">
        <v>120</v>
      </c>
      <c r="AL13" s="121" t="s">
        <v>121</v>
      </c>
      <c r="AM13" s="120" t="s">
        <v>122</v>
      </c>
      <c r="AN13" s="118" t="s">
        <v>117</v>
      </c>
      <c r="AO13" s="119" t="s">
        <v>118</v>
      </c>
      <c r="AP13" s="119" t="s">
        <v>119</v>
      </c>
      <c r="AQ13" s="121" t="s">
        <v>120</v>
      </c>
      <c r="AR13" s="121" t="s">
        <v>121</v>
      </c>
      <c r="AS13" s="120" t="s">
        <v>122</v>
      </c>
      <c r="AT13" s="122"/>
      <c r="AU13" s="118" t="s">
        <v>127</v>
      </c>
      <c r="AV13" s="119" t="s">
        <v>128</v>
      </c>
      <c r="AW13" s="119" t="s">
        <v>129</v>
      </c>
      <c r="AX13" s="119" t="s">
        <v>130</v>
      </c>
      <c r="AY13" s="119" t="s">
        <v>131</v>
      </c>
      <c r="AZ13" s="119" t="s">
        <v>132</v>
      </c>
      <c r="BA13" s="119" t="s">
        <v>133</v>
      </c>
      <c r="BB13" s="119" t="s">
        <v>134</v>
      </c>
      <c r="BC13" s="119" t="s">
        <v>135</v>
      </c>
      <c r="BD13" s="119" t="s">
        <v>136</v>
      </c>
      <c r="BE13" s="119" t="s">
        <v>137</v>
      </c>
      <c r="BF13" s="120" t="s">
        <v>138</v>
      </c>
      <c r="BG13" s="80" t="s">
        <v>127</v>
      </c>
      <c r="BH13" s="81" t="s">
        <v>128</v>
      </c>
      <c r="BI13" s="81" t="s">
        <v>129</v>
      </c>
      <c r="BJ13" s="81" t="s">
        <v>130</v>
      </c>
      <c r="BK13" s="81" t="s">
        <v>131</v>
      </c>
      <c r="BL13" s="81" t="s">
        <v>132</v>
      </c>
      <c r="BM13" s="81" t="s">
        <v>133</v>
      </c>
      <c r="BN13" s="81" t="s">
        <v>134</v>
      </c>
      <c r="BO13" s="81" t="s">
        <v>135</v>
      </c>
      <c r="BP13" s="81" t="s">
        <v>136</v>
      </c>
      <c r="BQ13" s="81" t="s">
        <v>137</v>
      </c>
      <c r="BR13" s="82" t="s">
        <v>138</v>
      </c>
    </row>
    <row r="14" spans="1:70" ht="15.75" thickBot="1">
      <c r="A14" s="123" t="s">
        <v>145</v>
      </c>
      <c r="B14" s="124" t="s">
        <v>15</v>
      </c>
      <c r="C14" s="125" t="s">
        <v>16</v>
      </c>
      <c r="D14" s="207">
        <f t="shared" ref="D14:I14" si="2">D3</f>
        <v>6</v>
      </c>
      <c r="E14" s="208">
        <f t="shared" si="2"/>
        <v>3</v>
      </c>
      <c r="F14" s="208">
        <f t="shared" si="2"/>
        <v>0</v>
      </c>
      <c r="G14" s="208">
        <f t="shared" si="2"/>
        <v>0</v>
      </c>
      <c r="H14" s="208">
        <f t="shared" si="2"/>
        <v>0</v>
      </c>
      <c r="I14" s="208">
        <f t="shared" si="2"/>
        <v>0</v>
      </c>
      <c r="J14" s="127">
        <f t="shared" ref="J14:O14" si="3">D4</f>
        <v>0</v>
      </c>
      <c r="K14" s="127">
        <f t="shared" si="3"/>
        <v>0</v>
      </c>
      <c r="L14" s="127">
        <f t="shared" si="3"/>
        <v>0</v>
      </c>
      <c r="M14" s="127">
        <f t="shared" si="3"/>
        <v>0</v>
      </c>
      <c r="N14" s="127">
        <f t="shared" si="3"/>
        <v>0</v>
      </c>
      <c r="O14" s="127">
        <f t="shared" si="3"/>
        <v>0</v>
      </c>
      <c r="P14" s="128">
        <f t="shared" ref="P14:U14" si="4">D5</f>
        <v>0</v>
      </c>
      <c r="Q14" s="128">
        <f t="shared" si="4"/>
        <v>0</v>
      </c>
      <c r="R14" s="128">
        <f t="shared" si="4"/>
        <v>0</v>
      </c>
      <c r="S14" s="128">
        <f t="shared" si="4"/>
        <v>0</v>
      </c>
      <c r="T14" s="128">
        <f t="shared" si="4"/>
        <v>0</v>
      </c>
      <c r="U14" s="128">
        <f t="shared" si="4"/>
        <v>0</v>
      </c>
      <c r="V14" s="128">
        <f t="shared" ref="V14:AA14" si="5">D6</f>
        <v>0</v>
      </c>
      <c r="W14" s="128">
        <f t="shared" si="5"/>
        <v>0</v>
      </c>
      <c r="X14" s="128">
        <f t="shared" si="5"/>
        <v>0</v>
      </c>
      <c r="Y14" s="128">
        <f t="shared" si="5"/>
        <v>0</v>
      </c>
      <c r="Z14" s="128">
        <f t="shared" si="5"/>
        <v>0</v>
      </c>
      <c r="AA14" s="128">
        <f t="shared" si="5"/>
        <v>0</v>
      </c>
      <c r="AB14" s="126">
        <f>SUM(P14,D14,J14)</f>
        <v>6</v>
      </c>
      <c r="AC14" s="127">
        <f t="shared" ref="AC14:AG14" si="6">SUM(K14,E14,Q14)</f>
        <v>3</v>
      </c>
      <c r="AD14" s="127">
        <f t="shared" si="6"/>
        <v>0</v>
      </c>
      <c r="AE14" s="127">
        <f t="shared" si="6"/>
        <v>0</v>
      </c>
      <c r="AF14" s="127">
        <f t="shared" si="6"/>
        <v>0</v>
      </c>
      <c r="AG14" s="127">
        <f t="shared" si="6"/>
        <v>0</v>
      </c>
      <c r="AH14" s="129">
        <v>1</v>
      </c>
      <c r="AI14" s="130">
        <v>1</v>
      </c>
      <c r="AJ14" s="130">
        <v>1</v>
      </c>
      <c r="AK14" s="131">
        <v>1</v>
      </c>
      <c r="AL14" s="132">
        <v>1</v>
      </c>
      <c r="AM14" s="131">
        <v>1</v>
      </c>
      <c r="AN14" s="236" t="s">
        <v>146</v>
      </c>
      <c r="AO14" s="228"/>
      <c r="AP14" s="228"/>
      <c r="AQ14" s="228"/>
      <c r="AR14" s="228"/>
      <c r="AS14" s="229"/>
      <c r="AT14" s="122"/>
      <c r="AU14" s="133">
        <v>1</v>
      </c>
      <c r="AV14" s="134">
        <v>1</v>
      </c>
      <c r="AW14" s="134">
        <v>1</v>
      </c>
      <c r="AX14" s="134">
        <v>1</v>
      </c>
      <c r="AY14" s="134">
        <v>1</v>
      </c>
      <c r="AZ14" s="134">
        <v>1</v>
      </c>
      <c r="BA14" s="134">
        <v>1</v>
      </c>
      <c r="BB14" s="134">
        <v>1</v>
      </c>
      <c r="BC14" s="134">
        <v>1</v>
      </c>
      <c r="BD14" s="134">
        <v>1</v>
      </c>
      <c r="BE14" s="134">
        <v>1</v>
      </c>
      <c r="BF14" s="135">
        <v>1</v>
      </c>
      <c r="BG14" s="213" t="s">
        <v>147</v>
      </c>
      <c r="BH14" s="214"/>
      <c r="BI14" s="214"/>
      <c r="BJ14" s="214"/>
      <c r="BK14" s="214"/>
      <c r="BL14" s="214"/>
      <c r="BM14" s="214"/>
      <c r="BN14" s="214"/>
      <c r="BO14" s="214"/>
      <c r="BP14" s="214"/>
      <c r="BQ14" s="214"/>
      <c r="BR14" s="215"/>
    </row>
    <row r="15" spans="1:70" ht="16.5" thickBot="1">
      <c r="A15" s="136">
        <v>1</v>
      </c>
      <c r="B15" s="22"/>
      <c r="C15" s="205"/>
      <c r="D15" s="209"/>
      <c r="E15" s="210"/>
      <c r="F15" s="211"/>
      <c r="G15" s="212"/>
      <c r="H15" s="212"/>
      <c r="I15" s="212"/>
      <c r="J15" s="206"/>
      <c r="K15" s="137"/>
      <c r="L15" s="137"/>
      <c r="M15" s="138"/>
      <c r="N15" s="138"/>
      <c r="O15" s="138"/>
      <c r="P15" s="139"/>
      <c r="Q15" s="140"/>
      <c r="R15" s="140"/>
      <c r="S15" s="140"/>
      <c r="T15" s="140"/>
      <c r="U15" s="141"/>
      <c r="V15" s="139"/>
      <c r="W15" s="140"/>
      <c r="X15" s="140"/>
      <c r="Y15" s="140"/>
      <c r="Z15" s="140"/>
      <c r="AA15" s="141"/>
      <c r="AB15" s="142">
        <f t="shared" ref="AB15:AE15" si="7">SUM(V15,D15,J15)</f>
        <v>0</v>
      </c>
      <c r="AC15" s="143">
        <f t="shared" si="7"/>
        <v>0</v>
      </c>
      <c r="AD15" s="143">
        <f t="shared" si="7"/>
        <v>0</v>
      </c>
      <c r="AE15" s="143">
        <f t="shared" si="7"/>
        <v>0</v>
      </c>
      <c r="AF15" s="143">
        <f t="shared" ref="AF15:AF56" si="8">SUM(T15,H15,N15)</f>
        <v>0</v>
      </c>
      <c r="AG15" s="143">
        <f t="shared" ref="AG15:AG56" si="9">SUM(AA15,I15,O15)</f>
        <v>0</v>
      </c>
      <c r="AH15" s="144">
        <f t="shared" ref="AH15:AM15" si="10">IF(AB15 = 0, 0, AB15/AB$14)</f>
        <v>0</v>
      </c>
      <c r="AI15" s="144">
        <f t="shared" si="10"/>
        <v>0</v>
      </c>
      <c r="AJ15" s="144">
        <f t="shared" si="10"/>
        <v>0</v>
      </c>
      <c r="AK15" s="144">
        <f t="shared" si="10"/>
        <v>0</v>
      </c>
      <c r="AL15" s="144">
        <f t="shared" si="10"/>
        <v>0</v>
      </c>
      <c r="AM15" s="144">
        <f t="shared" si="10"/>
        <v>0</v>
      </c>
      <c r="AN15" s="145">
        <f>IF(OR(GradeSheet!$M10="W (Withdrawn)", GradeSheet!$M10="I (Incomplete)"), 0, IF(AH15&gt;=55%, 1, 0))</f>
        <v>0</v>
      </c>
      <c r="AO15" s="145">
        <f>IF(OR(GradeSheet!$M10="W (Withdrawn)", GradeSheet!$M10="I (Incomplete)"), 0, IF(AI15&gt;=55%, 1, 0))</f>
        <v>0</v>
      </c>
      <c r="AP15" s="145">
        <f>IF(OR(GradeSheet!$M10="W (Withdrawn)", GradeSheet!$M10="I (Incomplete)"), 0, IF(AJ15&gt;=55%, 1, 0))</f>
        <v>0</v>
      </c>
      <c r="AQ15" s="145">
        <f>IF(OR(GradeSheet!$M10="W (Withdrawn)", GradeSheet!$M10="I (Incomplete)"), 0, IF(AK15&gt;=55%, 1, 0))</f>
        <v>0</v>
      </c>
      <c r="AR15" s="145">
        <f>IF(OR(GradeSheet!$M10="W (Withdrawn)", GradeSheet!$M10="I (Incomplete)"), 0, IF(AL15&gt;=55%, 1, 0))</f>
        <v>0</v>
      </c>
      <c r="AS15" s="145">
        <f>IF(OR(GradeSheet!$M10="W (Withdrawn)", GradeSheet!$M10="I (Incomplete)"), 0, IF(AM15&gt;=55%, 1, 0))</f>
        <v>0</v>
      </c>
      <c r="AT15" s="122"/>
      <c r="AU15" s="146">
        <f t="shared" ref="AU15:AU55" si="11">IF($AT$9=0,0,MMULT($AH15:$AM15, AT$3:AT$8)/$AT$9)</f>
        <v>0</v>
      </c>
      <c r="AV15" s="146">
        <f t="shared" ref="AV15:AV55" si="12">IF($AU$9=0,0,MMULT($AH15:$AM15, AU$3:AU$8)/$AU$9)</f>
        <v>0</v>
      </c>
      <c r="AW15" s="146">
        <f t="array" ref="AW15">IF($AV$9=0,0,MMULT($AH15:$AM15, AV$3:AV$8)/$AV$9)</f>
        <v>0</v>
      </c>
      <c r="AX15" s="146">
        <f t="array" ref="AX15">IF($AW$9=0,0,MMULT($AH15:$AM15, AW$3:AW$8)/$AW$9)</f>
        <v>0</v>
      </c>
      <c r="AY15" s="146">
        <f t="shared" ref="AY15:AY55" si="13">IF($AX$9=0,0,MMULT($AH15:$AM15, AX$3:AX$8)/$AX$9)</f>
        <v>0</v>
      </c>
      <c r="AZ15" s="146">
        <f t="array" ref="AZ15">IF($AY$9=0,0,MMULT($AH15:$AM15, AY$3:AY$8)/$AY$9)</f>
        <v>0</v>
      </c>
      <c r="BA15" s="146">
        <f t="array" ref="BA15">IF($AZ$9=0,0,MMULT($AH15:$AM15, AZ$3:AZ$8)/$AZ$9)</f>
        <v>0</v>
      </c>
      <c r="BB15" s="146">
        <f t="array" ref="BB15">IF($BA$9=0,0,MMULT($AH15:$AM15, BA$3:BA$8)/$BA$9)</f>
        <v>0</v>
      </c>
      <c r="BC15" s="146">
        <f t="array" ref="BC15">IF($BB$9=0,0,MMULT($AH15:$AM15, BB$3:BB$8)/$BB$9)</f>
        <v>0</v>
      </c>
      <c r="BD15" s="146">
        <f t="array" ref="BD15">IF($BC$9=0,0,MMULT($AH15:$AM15, BC$3:BC$8)/$BC$9)</f>
        <v>0</v>
      </c>
      <c r="BE15" s="146">
        <f t="shared" ref="BE15:BE55" si="14">IF($BD$9=0,0,MMULT($AH15:$AM15, BD$3:BD$8)/$BD$9)</f>
        <v>0</v>
      </c>
      <c r="BF15" s="146">
        <f t="shared" ref="BF15:BF55" si="15">IF($BE$9=0,0,MMULT($AH15:$AM15, BE$3:BE$8)/$BE$9)</f>
        <v>0</v>
      </c>
      <c r="BG15" s="145">
        <f>IF(OR(GradeSheet!$M10="W (Withdrawn)", GradeSheet!$M10="I (Incomplete)"), 0, IF(AU15&gt;=65%, 1, 0))</f>
        <v>0</v>
      </c>
      <c r="BH15" s="145">
        <f>IF(OR(GradeSheet!$M10="W (Withdrawn)", GradeSheet!$M10="I (Incomplete)"), 0, IF(AV15&gt;=65%, 1, 0))</f>
        <v>0</v>
      </c>
      <c r="BI15" s="145">
        <f>IF(OR(GradeSheet!$M10="W (Withdrawn)", GradeSheet!$M10="I (Incomplete)"), 0, IF(AW15&gt;=65%, 1, 0))</f>
        <v>0</v>
      </c>
      <c r="BJ15" s="145">
        <f>IF(OR(GradeSheet!$M10="W (Withdrawn)", GradeSheet!$M10="I (Incomplete)"), 0, IF(AX15&gt;=65%, 1, 0))</f>
        <v>0</v>
      </c>
      <c r="BK15" s="145">
        <f>IF(OR(GradeSheet!$M10="W (Withdrawn)", GradeSheet!$M10="I (Incomplete)"), 0, IF(AY15&gt;=65%, 1, 0))</f>
        <v>0</v>
      </c>
      <c r="BL15" s="145">
        <f>IF(OR(GradeSheet!$M10="W (Withdrawn)", GradeSheet!$M10="I (Incomplete)"), 0, IF(AZ15&gt;=65%, 1, 0))</f>
        <v>0</v>
      </c>
      <c r="BM15" s="145">
        <f>IF(OR(GradeSheet!$M10="W (Withdrawn)", GradeSheet!$M10="I (Incomplete)"), 0, IF(BA15&gt;=65%, 1, 0))</f>
        <v>0</v>
      </c>
      <c r="BN15" s="145">
        <f>IF(OR(GradeSheet!$M10="W (Withdrawn)", GradeSheet!$M10="I (Incomplete)"), 0, IF(BB15&gt;=65%, 1, 0))</f>
        <v>0</v>
      </c>
      <c r="BO15" s="145">
        <f>IF(OR(GradeSheet!$M10="W (Withdrawn)", GradeSheet!$M10="I (Incomplete)"), 0, IF(BC15&gt;=65%, 1, 0))</f>
        <v>0</v>
      </c>
      <c r="BP15" s="145">
        <f>IF(OR(GradeSheet!$M10="W (Withdrawn)", GradeSheet!$M10="I (Incomplete)"), 0, IF(BD15&gt;=65%, 1, 0))</f>
        <v>0</v>
      </c>
      <c r="BQ15" s="145">
        <f>IF(OR(GradeSheet!$M10="W (Withdrawn)", GradeSheet!$M10="I (Incomplete)"), 0, IF(BE15&gt;=65%, 1, 0))</f>
        <v>0</v>
      </c>
      <c r="BR15" s="145">
        <f>IF(OR(GradeSheet!$M10="W (Withdrawn)", GradeSheet!$M10="I (Incomplete)"), 0, IF(BF15&gt;=65%, 1, 0))</f>
        <v>0</v>
      </c>
    </row>
    <row r="16" spans="1:70" ht="15.75">
      <c r="A16" s="147">
        <v>2</v>
      </c>
      <c r="B16" s="22"/>
      <c r="C16" s="205"/>
      <c r="D16" s="210"/>
      <c r="E16" s="210"/>
      <c r="F16" s="212"/>
      <c r="G16" s="212"/>
      <c r="H16" s="212"/>
      <c r="I16" s="212"/>
      <c r="J16" s="206"/>
      <c r="K16" s="137"/>
      <c r="L16" s="137"/>
      <c r="M16" s="138"/>
      <c r="N16" s="138"/>
      <c r="O16" s="138"/>
      <c r="P16" s="139"/>
      <c r="Q16" s="140"/>
      <c r="R16" s="140"/>
      <c r="S16" s="140"/>
      <c r="T16" s="140"/>
      <c r="U16" s="141"/>
      <c r="V16" s="139"/>
      <c r="W16" s="140"/>
      <c r="X16" s="140"/>
      <c r="Y16" s="140"/>
      <c r="Z16" s="140"/>
      <c r="AA16" s="141"/>
      <c r="AB16" s="142">
        <f t="shared" ref="AB16:AE16" si="16">SUM(V16,D16,J16)</f>
        <v>0</v>
      </c>
      <c r="AC16" s="143">
        <f t="shared" si="16"/>
        <v>0</v>
      </c>
      <c r="AD16" s="143">
        <f t="shared" si="16"/>
        <v>0</v>
      </c>
      <c r="AE16" s="148">
        <f t="shared" si="16"/>
        <v>0</v>
      </c>
      <c r="AF16" s="143">
        <f t="shared" si="8"/>
        <v>0</v>
      </c>
      <c r="AG16" s="148">
        <f t="shared" si="9"/>
        <v>0</v>
      </c>
      <c r="AH16" s="144">
        <f t="shared" ref="AH16:AM16" si="17">IF(AB16 = 0, 0, AB16/AB$14)</f>
        <v>0</v>
      </c>
      <c r="AI16" s="144">
        <f t="shared" si="17"/>
        <v>0</v>
      </c>
      <c r="AJ16" s="144">
        <f t="shared" si="17"/>
        <v>0</v>
      </c>
      <c r="AK16" s="144">
        <f t="shared" si="17"/>
        <v>0</v>
      </c>
      <c r="AL16" s="144">
        <f t="shared" si="17"/>
        <v>0</v>
      </c>
      <c r="AM16" s="144">
        <f t="shared" si="17"/>
        <v>0</v>
      </c>
      <c r="AN16" s="145">
        <f>IF(OR(GradeSheet!$M11="W (Withdrawn)", GradeSheet!$M11="I (Incomplete)"), 0, IF(AH16&gt;=55%, 1, 0))</f>
        <v>0</v>
      </c>
      <c r="AO16" s="145">
        <f>IF(OR(GradeSheet!$M11="W (Withdrawn)", GradeSheet!$M11="I (Incomplete)"), 0, IF(AI16&gt;=55%, 1, 0))</f>
        <v>0</v>
      </c>
      <c r="AP16" s="145">
        <f>IF(OR(GradeSheet!$M11="W (Withdrawn)", GradeSheet!$M11="I (Incomplete)"), 0, IF(AJ16&gt;=55%, 1, 0))</f>
        <v>0</v>
      </c>
      <c r="AQ16" s="145">
        <f>IF(OR(GradeSheet!$M11="W (Withdrawn)", GradeSheet!$M11="I (Incomplete)"), 0, IF(AK16&gt;=55%, 1, 0))</f>
        <v>0</v>
      </c>
      <c r="AR16" s="145">
        <f>IF(OR(GradeSheet!$M11="W (Withdrawn)", GradeSheet!$M11="I (Incomplete)"), 0, IF(AL16&gt;=55%, 1, 0))</f>
        <v>0</v>
      </c>
      <c r="AS16" s="145">
        <f>IF(OR(GradeSheet!$M11="W (Withdrawn)", GradeSheet!$M11="I (Incomplete)"), 0, IF(AM16&gt;=55%, 1, 0))</f>
        <v>0</v>
      </c>
      <c r="AT16" s="122"/>
      <c r="AU16" s="146">
        <f t="shared" si="11"/>
        <v>0</v>
      </c>
      <c r="AV16" s="146">
        <f t="shared" si="12"/>
        <v>0</v>
      </c>
      <c r="AW16" s="146">
        <f t="array" ref="AW16">IF($AV$9=0,0,MMULT($AH16:$AM16, AV$3:AV$8)/$AV$9)</f>
        <v>0</v>
      </c>
      <c r="AX16" s="146">
        <f t="array" ref="AX16">IF($AW$9=0,0,MMULT($AH16:$AM16, AW$3:AW$8)/$AW$9)</f>
        <v>0</v>
      </c>
      <c r="AY16" s="146">
        <f t="shared" si="13"/>
        <v>0</v>
      </c>
      <c r="AZ16" s="146">
        <f t="array" ref="AZ16">IF($AY$9=0,0,MMULT($AH16:$AM16, AY$3:AY$8)/$AY$9)</f>
        <v>0</v>
      </c>
      <c r="BA16" s="146">
        <f t="array" ref="BA16">IF($AZ$9=0,0,MMULT($AH16:$AM16, AZ$3:AZ$8)/$AZ$9)</f>
        <v>0</v>
      </c>
      <c r="BB16" s="146">
        <f t="array" ref="BB16">IF($BA$9=0,0,MMULT($AH16:$AM16, BA$3:BA$8)/$BA$9)</f>
        <v>0</v>
      </c>
      <c r="BC16" s="146">
        <f t="array" ref="BC16">IF($BB$9=0,0,MMULT($AH16:$AM16, BB$3:BB$8)/$BB$9)</f>
        <v>0</v>
      </c>
      <c r="BD16" s="146">
        <f t="array" ref="BD16">IF($BC$9=0,0,MMULT($AH16:$AM16, BC$3:BC$8)/$BC$9)</f>
        <v>0</v>
      </c>
      <c r="BE16" s="146">
        <f t="shared" si="14"/>
        <v>0</v>
      </c>
      <c r="BF16" s="146">
        <f t="shared" si="15"/>
        <v>0</v>
      </c>
      <c r="BG16" s="145">
        <f>IF(OR(GradeSheet!$M11="W (Withdrawn)", GradeSheet!$M11="I (Incomplete)"), 0, IF(AU16&gt;=65%, 1, 0))</f>
        <v>0</v>
      </c>
      <c r="BH16" s="145">
        <f>IF(OR(GradeSheet!$M11="W (Withdrawn)", GradeSheet!$M11="I (Incomplete)"), 0, IF(AV16&gt;=65%, 1, 0))</f>
        <v>0</v>
      </c>
      <c r="BI16" s="145">
        <f>IF(OR(GradeSheet!$M11="W (Withdrawn)", GradeSheet!$M11="I (Incomplete)"), 0, IF(AW16&gt;=65%, 1, 0))</f>
        <v>0</v>
      </c>
      <c r="BJ16" s="145">
        <f>IF(OR(GradeSheet!$M11="W (Withdrawn)", GradeSheet!$M11="I (Incomplete)"), 0, IF(AX16&gt;=65%, 1, 0))</f>
        <v>0</v>
      </c>
      <c r="BK16" s="145">
        <f>IF(OR(GradeSheet!$M11="W (Withdrawn)", GradeSheet!$M11="I (Incomplete)"), 0, IF(AY16&gt;=65%, 1, 0))</f>
        <v>0</v>
      </c>
      <c r="BL16" s="145">
        <f>IF(OR(GradeSheet!$M11="W (Withdrawn)", GradeSheet!$M11="I (Incomplete)"), 0, IF(AZ16&gt;=65%, 1, 0))</f>
        <v>0</v>
      </c>
      <c r="BM16" s="145">
        <f>IF(OR(GradeSheet!$M11="W (Withdrawn)", GradeSheet!$M11="I (Incomplete)"), 0, IF(BA16&gt;=65%, 1, 0))</f>
        <v>0</v>
      </c>
      <c r="BN16" s="145">
        <f>IF(OR(GradeSheet!$M11="W (Withdrawn)", GradeSheet!$M11="I (Incomplete)"), 0, IF(BB16&gt;=65%, 1, 0))</f>
        <v>0</v>
      </c>
      <c r="BO16" s="145">
        <f>IF(OR(GradeSheet!$M11="W (Withdrawn)", GradeSheet!$M11="I (Incomplete)"), 0, IF(BC16&gt;=65%, 1, 0))</f>
        <v>0</v>
      </c>
      <c r="BP16" s="145">
        <f>IF(OR(GradeSheet!$M11="W (Withdrawn)", GradeSheet!$M11="I (Incomplete)"), 0, IF(BD16&gt;=65%, 1, 0))</f>
        <v>0</v>
      </c>
      <c r="BQ16" s="145">
        <f>IF(OR(GradeSheet!$M11="W (Withdrawn)", GradeSheet!$M11="I (Incomplete)"), 0, IF(BE16&gt;=65%, 1, 0))</f>
        <v>0</v>
      </c>
      <c r="BR16" s="145">
        <f>IF(OR(GradeSheet!$M11="W (Withdrawn)", GradeSheet!$M11="I (Incomplete)"), 0, IF(BF16&gt;=65%, 1, 0))</f>
        <v>0</v>
      </c>
    </row>
    <row r="17" spans="1:70" ht="15.75">
      <c r="A17" s="136">
        <v>3</v>
      </c>
      <c r="B17" s="22"/>
      <c r="C17" s="30"/>
      <c r="D17" s="137"/>
      <c r="E17" s="137"/>
      <c r="F17" s="138"/>
      <c r="G17" s="138"/>
      <c r="H17" s="138"/>
      <c r="I17" s="138"/>
      <c r="J17" s="137"/>
      <c r="K17" s="137"/>
      <c r="L17" s="137"/>
      <c r="M17" s="138"/>
      <c r="N17" s="138"/>
      <c r="O17" s="138"/>
      <c r="P17" s="139"/>
      <c r="Q17" s="140"/>
      <c r="R17" s="140"/>
      <c r="S17" s="140"/>
      <c r="T17" s="140"/>
      <c r="U17" s="141"/>
      <c r="V17" s="139"/>
      <c r="W17" s="140"/>
      <c r="X17" s="140"/>
      <c r="Y17" s="140"/>
      <c r="Z17" s="140"/>
      <c r="AA17" s="141"/>
      <c r="AB17" s="142">
        <f t="shared" ref="AB17:AE17" si="18">SUM(V17,D17,J17)</f>
        <v>0</v>
      </c>
      <c r="AC17" s="143">
        <f t="shared" si="18"/>
        <v>0</v>
      </c>
      <c r="AD17" s="143">
        <f t="shared" si="18"/>
        <v>0</v>
      </c>
      <c r="AE17" s="148">
        <f t="shared" si="18"/>
        <v>0</v>
      </c>
      <c r="AF17" s="143">
        <f t="shared" si="8"/>
        <v>0</v>
      </c>
      <c r="AG17" s="148">
        <f t="shared" si="9"/>
        <v>0</v>
      </c>
      <c r="AH17" s="144">
        <f t="shared" ref="AH17:AM17" si="19">IF(AB17 = 0, 0, AB17/AB$14)</f>
        <v>0</v>
      </c>
      <c r="AI17" s="144">
        <f t="shared" si="19"/>
        <v>0</v>
      </c>
      <c r="AJ17" s="144">
        <f t="shared" si="19"/>
        <v>0</v>
      </c>
      <c r="AK17" s="144">
        <f t="shared" si="19"/>
        <v>0</v>
      </c>
      <c r="AL17" s="144">
        <f t="shared" si="19"/>
        <v>0</v>
      </c>
      <c r="AM17" s="144">
        <f t="shared" si="19"/>
        <v>0</v>
      </c>
      <c r="AN17" s="145">
        <f>IF(OR(GradeSheet!$M12="W (Withdrawn)", GradeSheet!$M12="I (Incomplete)"), 0, IF(AH17&gt;=55%, 1, 0))</f>
        <v>0</v>
      </c>
      <c r="AO17" s="145">
        <f>IF(OR(GradeSheet!$M12="W (Withdrawn)", GradeSheet!$M12="I (Incomplete)"), 0, IF(AI17&gt;=55%, 1, 0))</f>
        <v>0</v>
      </c>
      <c r="AP17" s="145">
        <f>IF(OR(GradeSheet!$M12="W (Withdrawn)", GradeSheet!$M12="I (Incomplete)"), 0, IF(AJ17&gt;=55%, 1, 0))</f>
        <v>0</v>
      </c>
      <c r="AQ17" s="145">
        <f>IF(OR(GradeSheet!$M12="W (Withdrawn)", GradeSheet!$M12="I (Incomplete)"), 0, IF(AK17&gt;=55%, 1, 0))</f>
        <v>0</v>
      </c>
      <c r="AR17" s="145">
        <f>IF(OR(GradeSheet!$M12="W (Withdrawn)", GradeSheet!$M12="I (Incomplete)"), 0, IF(AL17&gt;=55%, 1, 0))</f>
        <v>0</v>
      </c>
      <c r="AS17" s="145">
        <f>IF(OR(GradeSheet!$M12="W (Withdrawn)", GradeSheet!$M12="I (Incomplete)"), 0, IF(AM17&gt;=55%, 1, 0))</f>
        <v>0</v>
      </c>
      <c r="AT17" s="122"/>
      <c r="AU17" s="146">
        <f t="shared" si="11"/>
        <v>0</v>
      </c>
      <c r="AV17" s="146">
        <f t="shared" si="12"/>
        <v>0</v>
      </c>
      <c r="AW17" s="146">
        <f t="array" ref="AW17">IF($AV$9=0,0,MMULT($AH17:$AM17, AV$3:AV$8)/$AV$9)</f>
        <v>0</v>
      </c>
      <c r="AX17" s="146">
        <f t="array" ref="AX17">IF($AW$9=0,0,MMULT($AH17:$AM17, AW$3:AW$8)/$AW$9)</f>
        <v>0</v>
      </c>
      <c r="AY17" s="146">
        <f t="shared" si="13"/>
        <v>0</v>
      </c>
      <c r="AZ17" s="146">
        <f t="array" ref="AZ17">IF($AY$9=0,0,MMULT($AH17:$AM17, AY$3:AY$8)/$AY$9)</f>
        <v>0</v>
      </c>
      <c r="BA17" s="146">
        <f t="array" ref="BA17">IF($AZ$9=0,0,MMULT($AH17:$AM17, AZ$3:AZ$8)/$AZ$9)</f>
        <v>0</v>
      </c>
      <c r="BB17" s="146">
        <f t="array" ref="BB17">IF($BA$9=0,0,MMULT($AH17:$AM17, BA$3:BA$8)/$BA$9)</f>
        <v>0</v>
      </c>
      <c r="BC17" s="146">
        <f t="array" ref="BC17">IF($BB$9=0,0,MMULT($AH17:$AM17, BB$3:BB$8)/$BB$9)</f>
        <v>0</v>
      </c>
      <c r="BD17" s="146">
        <f t="array" ref="BD17">IF($BC$9=0,0,MMULT($AH17:$AM17, BC$3:BC$8)/$BC$9)</f>
        <v>0</v>
      </c>
      <c r="BE17" s="146">
        <f t="shared" si="14"/>
        <v>0</v>
      </c>
      <c r="BF17" s="146">
        <f t="shared" si="15"/>
        <v>0</v>
      </c>
      <c r="BG17" s="145">
        <f>IF(OR(GradeSheet!$M12="W (Withdrawn)", GradeSheet!$M12="I (Incomplete)"), 0, IF(AU17&gt;=65%, 1, 0))</f>
        <v>0</v>
      </c>
      <c r="BH17" s="145">
        <f>IF(OR(GradeSheet!$M12="W (Withdrawn)", GradeSheet!$M12="I (Incomplete)"), 0, IF(AV17&gt;=65%, 1, 0))</f>
        <v>0</v>
      </c>
      <c r="BI17" s="145">
        <f>IF(OR(GradeSheet!$M12="W (Withdrawn)", GradeSheet!$M12="I (Incomplete)"), 0, IF(AW17&gt;=65%, 1, 0))</f>
        <v>0</v>
      </c>
      <c r="BJ17" s="145">
        <f>IF(OR(GradeSheet!$M12="W (Withdrawn)", GradeSheet!$M12="I (Incomplete)"), 0, IF(AX17&gt;=65%, 1, 0))</f>
        <v>0</v>
      </c>
      <c r="BK17" s="145">
        <f>IF(OR(GradeSheet!$M12="W (Withdrawn)", GradeSheet!$M12="I (Incomplete)"), 0, IF(AY17&gt;=65%, 1, 0))</f>
        <v>0</v>
      </c>
      <c r="BL17" s="145">
        <f>IF(OR(GradeSheet!$M12="W (Withdrawn)", GradeSheet!$M12="I (Incomplete)"), 0, IF(AZ17&gt;=65%, 1, 0))</f>
        <v>0</v>
      </c>
      <c r="BM17" s="145">
        <f>IF(OR(GradeSheet!$M12="W (Withdrawn)", GradeSheet!$M12="I (Incomplete)"), 0, IF(BA17&gt;=65%, 1, 0))</f>
        <v>0</v>
      </c>
      <c r="BN17" s="145">
        <f>IF(OR(GradeSheet!$M12="W (Withdrawn)", GradeSheet!$M12="I (Incomplete)"), 0, IF(BB17&gt;=65%, 1, 0))</f>
        <v>0</v>
      </c>
      <c r="BO17" s="145">
        <f>IF(OR(GradeSheet!$M12="W (Withdrawn)", GradeSheet!$M12="I (Incomplete)"), 0, IF(BC17&gt;=65%, 1, 0))</f>
        <v>0</v>
      </c>
      <c r="BP17" s="145">
        <f>IF(OR(GradeSheet!$M12="W (Withdrawn)", GradeSheet!$M12="I (Incomplete)"), 0, IF(BD17&gt;=65%, 1, 0))</f>
        <v>0</v>
      </c>
      <c r="BQ17" s="145">
        <f>IF(OR(GradeSheet!$M12="W (Withdrawn)", GradeSheet!$M12="I (Incomplete)"), 0, IF(BE17&gt;=65%, 1, 0))</f>
        <v>0</v>
      </c>
      <c r="BR17" s="145">
        <f>IF(OR(GradeSheet!$M12="W (Withdrawn)", GradeSheet!$M12="I (Incomplete)"), 0, IF(BF17&gt;=65%, 1, 0))</f>
        <v>0</v>
      </c>
    </row>
    <row r="18" spans="1:70" ht="15.75">
      <c r="A18" s="147">
        <v>4</v>
      </c>
      <c r="B18" s="22"/>
      <c r="C18" s="30"/>
      <c r="D18" s="137"/>
      <c r="E18" s="137"/>
      <c r="F18" s="138"/>
      <c r="G18" s="138"/>
      <c r="H18" s="138"/>
      <c r="I18" s="138"/>
      <c r="J18" s="137"/>
      <c r="K18" s="137"/>
      <c r="L18" s="137"/>
      <c r="M18" s="138"/>
      <c r="N18" s="138"/>
      <c r="O18" s="138"/>
      <c r="P18" s="139"/>
      <c r="Q18" s="140"/>
      <c r="R18" s="140"/>
      <c r="S18" s="140"/>
      <c r="T18" s="140"/>
      <c r="U18" s="141"/>
      <c r="V18" s="139"/>
      <c r="W18" s="140"/>
      <c r="X18" s="140"/>
      <c r="Y18" s="140"/>
      <c r="Z18" s="140"/>
      <c r="AA18" s="141"/>
      <c r="AB18" s="142">
        <f t="shared" ref="AB18:AE18" si="20">SUM(V18,D18,J18)</f>
        <v>0</v>
      </c>
      <c r="AC18" s="143">
        <f t="shared" si="20"/>
        <v>0</v>
      </c>
      <c r="AD18" s="143">
        <f t="shared" si="20"/>
        <v>0</v>
      </c>
      <c r="AE18" s="148">
        <f t="shared" si="20"/>
        <v>0</v>
      </c>
      <c r="AF18" s="143">
        <f t="shared" si="8"/>
        <v>0</v>
      </c>
      <c r="AG18" s="148">
        <f t="shared" si="9"/>
        <v>0</v>
      </c>
      <c r="AH18" s="144">
        <f t="shared" ref="AH18:AM18" si="21">IF(AB18 = 0, 0, AB18/AB$14)</f>
        <v>0</v>
      </c>
      <c r="AI18" s="144">
        <f t="shared" si="21"/>
        <v>0</v>
      </c>
      <c r="AJ18" s="144">
        <f t="shared" si="21"/>
        <v>0</v>
      </c>
      <c r="AK18" s="144">
        <f t="shared" si="21"/>
        <v>0</v>
      </c>
      <c r="AL18" s="144">
        <f t="shared" si="21"/>
        <v>0</v>
      </c>
      <c r="AM18" s="144">
        <f t="shared" si="21"/>
        <v>0</v>
      </c>
      <c r="AN18" s="145">
        <f>IF(OR(GradeSheet!$M13="W (Withdrawn)", GradeSheet!$M13="I (Incomplete)"), 0, IF(AH18&gt;=55%, 1, 0))</f>
        <v>0</v>
      </c>
      <c r="AO18" s="145">
        <f>IF(OR(GradeSheet!$M13="W (Withdrawn)", GradeSheet!$M13="I (Incomplete)"), 0, IF(AI18&gt;=55%, 1, 0))</f>
        <v>0</v>
      </c>
      <c r="AP18" s="145">
        <f>IF(OR(GradeSheet!$M13="W (Withdrawn)", GradeSheet!$M13="I (Incomplete)"), 0, IF(AJ18&gt;=55%, 1, 0))</f>
        <v>0</v>
      </c>
      <c r="AQ18" s="145">
        <f>IF(OR(GradeSheet!$M13="W (Withdrawn)", GradeSheet!$M13="I (Incomplete)"), 0, IF(AK18&gt;=55%, 1, 0))</f>
        <v>0</v>
      </c>
      <c r="AR18" s="145">
        <f>IF(OR(GradeSheet!$M13="W (Withdrawn)", GradeSheet!$M13="I (Incomplete)"), 0, IF(AL18&gt;=55%, 1, 0))</f>
        <v>0</v>
      </c>
      <c r="AS18" s="145">
        <f>IF(OR(GradeSheet!$M13="W (Withdrawn)", GradeSheet!$M13="I (Incomplete)"), 0, IF(AM18&gt;=55%, 1, 0))</f>
        <v>0</v>
      </c>
      <c r="AT18" s="122"/>
      <c r="AU18" s="146">
        <f t="shared" si="11"/>
        <v>0</v>
      </c>
      <c r="AV18" s="146">
        <f t="shared" si="12"/>
        <v>0</v>
      </c>
      <c r="AW18" s="146">
        <f t="array" ref="AW18">IF($AV$9=0,0,MMULT($AH18:$AM18, AV$3:AV$8)/$AV$9)</f>
        <v>0</v>
      </c>
      <c r="AX18" s="146">
        <f t="array" ref="AX18">IF($AW$9=0,0,MMULT($AH18:$AM18, AW$3:AW$8)/$AW$9)</f>
        <v>0</v>
      </c>
      <c r="AY18" s="146">
        <f t="shared" si="13"/>
        <v>0</v>
      </c>
      <c r="AZ18" s="146">
        <f t="array" ref="AZ18">IF($AY$9=0,0,MMULT($AH18:$AM18, AY$3:AY$8)/$AY$9)</f>
        <v>0</v>
      </c>
      <c r="BA18" s="146">
        <f t="array" ref="BA18">IF($AZ$9=0,0,MMULT($AH18:$AM18, AZ$3:AZ$8)/$AZ$9)</f>
        <v>0</v>
      </c>
      <c r="BB18" s="146">
        <f t="array" ref="BB18">IF($BA$9=0,0,MMULT($AH18:$AM18, BA$3:BA$8)/$BA$9)</f>
        <v>0</v>
      </c>
      <c r="BC18" s="146">
        <f t="array" ref="BC18">IF($BB$9=0,0,MMULT($AH18:$AM18, BB$3:BB$8)/$BB$9)</f>
        <v>0</v>
      </c>
      <c r="BD18" s="146">
        <f t="array" ref="BD18">IF($BC$9=0,0,MMULT($AH18:$AM18, BC$3:BC$8)/$BC$9)</f>
        <v>0</v>
      </c>
      <c r="BE18" s="146">
        <f t="shared" si="14"/>
        <v>0</v>
      </c>
      <c r="BF18" s="146">
        <f t="shared" si="15"/>
        <v>0</v>
      </c>
      <c r="BG18" s="145">
        <f>IF(OR(GradeSheet!$M13="W (Withdrawn)", GradeSheet!$M13="I (Incomplete)"), 0, IF(AU18&gt;=65%, 1, 0))</f>
        <v>0</v>
      </c>
      <c r="BH18" s="145">
        <f>IF(OR(GradeSheet!$M13="W (Withdrawn)", GradeSheet!$M13="I (Incomplete)"), 0, IF(AV18&gt;=65%, 1, 0))</f>
        <v>0</v>
      </c>
      <c r="BI18" s="145">
        <f>IF(OR(GradeSheet!$M13="W (Withdrawn)", GradeSheet!$M13="I (Incomplete)"), 0, IF(AW18&gt;=65%, 1, 0))</f>
        <v>0</v>
      </c>
      <c r="BJ18" s="145">
        <f>IF(OR(GradeSheet!$M13="W (Withdrawn)", GradeSheet!$M13="I (Incomplete)"), 0, IF(AX18&gt;=65%, 1, 0))</f>
        <v>0</v>
      </c>
      <c r="BK18" s="145">
        <f>IF(OR(GradeSheet!$M13="W (Withdrawn)", GradeSheet!$M13="I (Incomplete)"), 0, IF(AY18&gt;=65%, 1, 0))</f>
        <v>0</v>
      </c>
      <c r="BL18" s="145">
        <f>IF(OR(GradeSheet!$M13="W (Withdrawn)", GradeSheet!$M13="I (Incomplete)"), 0, IF(AZ18&gt;=65%, 1, 0))</f>
        <v>0</v>
      </c>
      <c r="BM18" s="145">
        <f>IF(OR(GradeSheet!$M13="W (Withdrawn)", GradeSheet!$M13="I (Incomplete)"), 0, IF(BA18&gt;=65%, 1, 0))</f>
        <v>0</v>
      </c>
      <c r="BN18" s="145">
        <f>IF(OR(GradeSheet!$M13="W (Withdrawn)", GradeSheet!$M13="I (Incomplete)"), 0, IF(BB18&gt;=65%, 1, 0))</f>
        <v>0</v>
      </c>
      <c r="BO18" s="145">
        <f>IF(OR(GradeSheet!$M13="W (Withdrawn)", GradeSheet!$M13="I (Incomplete)"), 0, IF(BC18&gt;=65%, 1, 0))</f>
        <v>0</v>
      </c>
      <c r="BP18" s="145">
        <f>IF(OR(GradeSheet!$M13="W (Withdrawn)", GradeSheet!$M13="I (Incomplete)"), 0, IF(BD18&gt;=65%, 1, 0))</f>
        <v>0</v>
      </c>
      <c r="BQ18" s="145">
        <f>IF(OR(GradeSheet!$M13="W (Withdrawn)", GradeSheet!$M13="I (Incomplete)"), 0, IF(BE18&gt;=65%, 1, 0))</f>
        <v>0</v>
      </c>
      <c r="BR18" s="145">
        <f>IF(OR(GradeSheet!$M13="W (Withdrawn)", GradeSheet!$M13="I (Incomplete)"), 0, IF(BF18&gt;=65%, 1, 0))</f>
        <v>0</v>
      </c>
    </row>
    <row r="19" spans="1:70" ht="15.75">
      <c r="A19" s="136">
        <v>5</v>
      </c>
      <c r="B19" s="22"/>
      <c r="C19" s="30"/>
      <c r="D19" s="137"/>
      <c r="E19" s="137"/>
      <c r="F19" s="138"/>
      <c r="G19" s="138"/>
      <c r="H19" s="138"/>
      <c r="I19" s="138"/>
      <c r="J19" s="137"/>
      <c r="K19" s="137"/>
      <c r="L19" s="137"/>
      <c r="M19" s="138"/>
      <c r="N19" s="138"/>
      <c r="O19" s="138"/>
      <c r="P19" s="139"/>
      <c r="Q19" s="140"/>
      <c r="R19" s="140"/>
      <c r="S19" s="140"/>
      <c r="T19" s="140"/>
      <c r="U19" s="141"/>
      <c r="V19" s="139"/>
      <c r="W19" s="140"/>
      <c r="X19" s="140"/>
      <c r="Y19" s="140"/>
      <c r="Z19" s="140"/>
      <c r="AA19" s="141"/>
      <c r="AB19" s="142">
        <f t="shared" ref="AB19:AE19" si="22">SUM(V19,D19,J19)</f>
        <v>0</v>
      </c>
      <c r="AC19" s="143">
        <f t="shared" si="22"/>
        <v>0</v>
      </c>
      <c r="AD19" s="143">
        <f t="shared" si="22"/>
        <v>0</v>
      </c>
      <c r="AE19" s="148">
        <f t="shared" si="22"/>
        <v>0</v>
      </c>
      <c r="AF19" s="143">
        <f t="shared" si="8"/>
        <v>0</v>
      </c>
      <c r="AG19" s="148">
        <f t="shared" si="9"/>
        <v>0</v>
      </c>
      <c r="AH19" s="144">
        <f t="shared" ref="AH19:AM19" si="23">IF(AB19 = 0, 0, AB19/AB$14)</f>
        <v>0</v>
      </c>
      <c r="AI19" s="144">
        <f t="shared" si="23"/>
        <v>0</v>
      </c>
      <c r="AJ19" s="144">
        <f t="shared" si="23"/>
        <v>0</v>
      </c>
      <c r="AK19" s="144">
        <f t="shared" si="23"/>
        <v>0</v>
      </c>
      <c r="AL19" s="144">
        <f t="shared" si="23"/>
        <v>0</v>
      </c>
      <c r="AM19" s="144">
        <f t="shared" si="23"/>
        <v>0</v>
      </c>
      <c r="AN19" s="145">
        <f>IF(OR(GradeSheet!$M14="W (Withdrawn)", GradeSheet!$M14="I (Incomplete)"), 0, IF(AH19&gt;=55%, 1, 0))</f>
        <v>0</v>
      </c>
      <c r="AO19" s="145">
        <f>IF(OR(GradeSheet!$M14="W (Withdrawn)", GradeSheet!$M14="I (Incomplete)"), 0, IF(AI19&gt;=55%, 1, 0))</f>
        <v>0</v>
      </c>
      <c r="AP19" s="145">
        <f>IF(OR(GradeSheet!$M14="W (Withdrawn)", GradeSheet!$M14="I (Incomplete)"), 0, IF(AJ19&gt;=55%, 1, 0))</f>
        <v>0</v>
      </c>
      <c r="AQ19" s="145">
        <f>IF(OR(GradeSheet!$M14="W (Withdrawn)", GradeSheet!$M14="I (Incomplete)"), 0, IF(AK19&gt;=55%, 1, 0))</f>
        <v>0</v>
      </c>
      <c r="AR19" s="145">
        <f>IF(OR(GradeSheet!$M14="W (Withdrawn)", GradeSheet!$M14="I (Incomplete)"), 0, IF(AL19&gt;=55%, 1, 0))</f>
        <v>0</v>
      </c>
      <c r="AS19" s="145">
        <f>IF(OR(GradeSheet!$M14="W (Withdrawn)", GradeSheet!$M14="I (Incomplete)"), 0, IF(AM19&gt;=55%, 1, 0))</f>
        <v>0</v>
      </c>
      <c r="AT19" s="122"/>
      <c r="AU19" s="146">
        <f t="shared" si="11"/>
        <v>0</v>
      </c>
      <c r="AV19" s="146">
        <f t="shared" si="12"/>
        <v>0</v>
      </c>
      <c r="AW19" s="146">
        <f t="array" ref="AW19">IF($AV$9=0,0,MMULT($AH19:$AM19, AV$3:AV$8)/$AV$9)</f>
        <v>0</v>
      </c>
      <c r="AX19" s="146">
        <f t="array" ref="AX19">IF($AW$9=0,0,MMULT($AH19:$AM19, AW$3:AW$8)/$AW$9)</f>
        <v>0</v>
      </c>
      <c r="AY19" s="146">
        <f t="shared" si="13"/>
        <v>0</v>
      </c>
      <c r="AZ19" s="146">
        <f t="array" ref="AZ19">IF($AY$9=0,0,MMULT($AH19:$AM19, AY$3:AY$8)/$AY$9)</f>
        <v>0</v>
      </c>
      <c r="BA19" s="146">
        <f t="array" ref="BA19">IF($AZ$9=0,0,MMULT($AH19:$AM19, AZ$3:AZ$8)/$AZ$9)</f>
        <v>0</v>
      </c>
      <c r="BB19" s="146">
        <f t="array" ref="BB19">IF($BA$9=0,0,MMULT($AH19:$AM19, BA$3:BA$8)/$BA$9)</f>
        <v>0</v>
      </c>
      <c r="BC19" s="146">
        <f t="array" ref="BC19">IF($BB$9=0,0,MMULT($AH19:$AM19, BB$3:BB$8)/$BB$9)</f>
        <v>0</v>
      </c>
      <c r="BD19" s="146">
        <f t="array" ref="BD19">IF($BC$9=0,0,MMULT($AH19:$AM19, BC$3:BC$8)/$BC$9)</f>
        <v>0</v>
      </c>
      <c r="BE19" s="146">
        <f t="shared" si="14"/>
        <v>0</v>
      </c>
      <c r="BF19" s="146">
        <f t="shared" si="15"/>
        <v>0</v>
      </c>
      <c r="BG19" s="145">
        <f>IF(OR(GradeSheet!$M14="W (Withdrawn)", GradeSheet!$M14="I (Incomplete)"), 0, IF(AU19&gt;=65%, 1, 0))</f>
        <v>0</v>
      </c>
      <c r="BH19" s="145">
        <f>IF(OR(GradeSheet!$M14="W (Withdrawn)", GradeSheet!$M14="I (Incomplete)"), 0, IF(AV19&gt;=65%, 1, 0))</f>
        <v>0</v>
      </c>
      <c r="BI19" s="145">
        <f>IF(OR(GradeSheet!$M14="W (Withdrawn)", GradeSheet!$M14="I (Incomplete)"), 0, IF(AW19&gt;=65%, 1, 0))</f>
        <v>0</v>
      </c>
      <c r="BJ19" s="145">
        <f>IF(OR(GradeSheet!$M14="W (Withdrawn)", GradeSheet!$M14="I (Incomplete)"), 0, IF(AX19&gt;=65%, 1, 0))</f>
        <v>0</v>
      </c>
      <c r="BK19" s="145">
        <f>IF(OR(GradeSheet!$M14="W (Withdrawn)", GradeSheet!$M14="I (Incomplete)"), 0, IF(AY19&gt;=65%, 1, 0))</f>
        <v>0</v>
      </c>
      <c r="BL19" s="145">
        <f>IF(OR(GradeSheet!$M14="W (Withdrawn)", GradeSheet!$M14="I (Incomplete)"), 0, IF(AZ19&gt;=65%, 1, 0))</f>
        <v>0</v>
      </c>
      <c r="BM19" s="145">
        <f>IF(OR(GradeSheet!$M14="W (Withdrawn)", GradeSheet!$M14="I (Incomplete)"), 0, IF(BA19&gt;=65%, 1, 0))</f>
        <v>0</v>
      </c>
      <c r="BN19" s="145">
        <f>IF(OR(GradeSheet!$M14="W (Withdrawn)", GradeSheet!$M14="I (Incomplete)"), 0, IF(BB19&gt;=65%, 1, 0))</f>
        <v>0</v>
      </c>
      <c r="BO19" s="145">
        <f>IF(OR(GradeSheet!$M14="W (Withdrawn)", GradeSheet!$M14="I (Incomplete)"), 0, IF(BC19&gt;=65%, 1, 0))</f>
        <v>0</v>
      </c>
      <c r="BP19" s="145">
        <f>IF(OR(GradeSheet!$M14="W (Withdrawn)", GradeSheet!$M14="I (Incomplete)"), 0, IF(BD19&gt;=65%, 1, 0))</f>
        <v>0</v>
      </c>
      <c r="BQ19" s="145">
        <f>IF(OR(GradeSheet!$M14="W (Withdrawn)", GradeSheet!$M14="I (Incomplete)"), 0, IF(BE19&gt;=65%, 1, 0))</f>
        <v>0</v>
      </c>
      <c r="BR19" s="145">
        <f>IF(OR(GradeSheet!$M14="W (Withdrawn)", GradeSheet!$M14="I (Incomplete)"), 0, IF(BF19&gt;=65%, 1, 0))</f>
        <v>0</v>
      </c>
    </row>
    <row r="20" spans="1:70" ht="15.75">
      <c r="A20" s="147">
        <v>6</v>
      </c>
      <c r="B20" s="22"/>
      <c r="C20" s="30"/>
      <c r="D20" s="137"/>
      <c r="E20" s="137"/>
      <c r="F20" s="138"/>
      <c r="G20" s="138"/>
      <c r="H20" s="138"/>
      <c r="I20" s="138"/>
      <c r="J20" s="137"/>
      <c r="K20" s="137"/>
      <c r="L20" s="137"/>
      <c r="M20" s="138"/>
      <c r="N20" s="138"/>
      <c r="O20" s="138"/>
      <c r="P20" s="139"/>
      <c r="Q20" s="140"/>
      <c r="R20" s="140"/>
      <c r="S20" s="140"/>
      <c r="T20" s="140"/>
      <c r="U20" s="141"/>
      <c r="V20" s="139"/>
      <c r="W20" s="140"/>
      <c r="X20" s="140"/>
      <c r="Y20" s="140"/>
      <c r="Z20" s="140"/>
      <c r="AA20" s="141"/>
      <c r="AB20" s="142">
        <f t="shared" ref="AB20:AE20" si="24">SUM(V20,D20,J20)</f>
        <v>0</v>
      </c>
      <c r="AC20" s="143">
        <f t="shared" si="24"/>
        <v>0</v>
      </c>
      <c r="AD20" s="143">
        <f t="shared" si="24"/>
        <v>0</v>
      </c>
      <c r="AE20" s="148">
        <f t="shared" si="24"/>
        <v>0</v>
      </c>
      <c r="AF20" s="143">
        <f t="shared" si="8"/>
        <v>0</v>
      </c>
      <c r="AG20" s="148">
        <f t="shared" si="9"/>
        <v>0</v>
      </c>
      <c r="AH20" s="144">
        <f t="shared" ref="AH20:AM20" si="25">IF(AB20 = 0, 0, AB20/AB$14)</f>
        <v>0</v>
      </c>
      <c r="AI20" s="144">
        <f t="shared" si="25"/>
        <v>0</v>
      </c>
      <c r="AJ20" s="144">
        <f t="shared" si="25"/>
        <v>0</v>
      </c>
      <c r="AK20" s="144">
        <f t="shared" si="25"/>
        <v>0</v>
      </c>
      <c r="AL20" s="144">
        <f t="shared" si="25"/>
        <v>0</v>
      </c>
      <c r="AM20" s="144">
        <f t="shared" si="25"/>
        <v>0</v>
      </c>
      <c r="AN20" s="145">
        <f>IF(OR(GradeSheet!$M15="W (Withdrawn)", GradeSheet!$M15="I (Incomplete)"), 0, IF(AH20&gt;=55%, 1, 0))</f>
        <v>0</v>
      </c>
      <c r="AO20" s="145">
        <f>IF(OR(GradeSheet!$M15="W (Withdrawn)", GradeSheet!$M15="I (Incomplete)"), 0, IF(AI20&gt;=55%, 1, 0))</f>
        <v>0</v>
      </c>
      <c r="AP20" s="145">
        <f>IF(OR(GradeSheet!$M15="W (Withdrawn)", GradeSheet!$M15="I (Incomplete)"), 0, IF(AJ20&gt;=55%, 1, 0))</f>
        <v>0</v>
      </c>
      <c r="AQ20" s="145">
        <f>IF(OR(GradeSheet!$M15="W (Withdrawn)", GradeSheet!$M15="I (Incomplete)"), 0, IF(AK20&gt;=55%, 1, 0))</f>
        <v>0</v>
      </c>
      <c r="AR20" s="145">
        <f>IF(OR(GradeSheet!$M15="W (Withdrawn)", GradeSheet!$M15="I (Incomplete)"), 0, IF(AL20&gt;=55%, 1, 0))</f>
        <v>0</v>
      </c>
      <c r="AS20" s="145">
        <f>IF(OR(GradeSheet!$M15="W (Withdrawn)", GradeSheet!$M15="I (Incomplete)"), 0, IF(AM20&gt;=55%, 1, 0))</f>
        <v>0</v>
      </c>
      <c r="AT20" s="122"/>
      <c r="AU20" s="146">
        <f t="shared" si="11"/>
        <v>0</v>
      </c>
      <c r="AV20" s="146">
        <f t="shared" si="12"/>
        <v>0</v>
      </c>
      <c r="AW20" s="146">
        <f t="array" ref="AW20">IF($AV$9=0,0,MMULT($AH20:$AM20, AV$3:AV$8)/$AV$9)</f>
        <v>0</v>
      </c>
      <c r="AX20" s="146">
        <f t="array" ref="AX20">IF($AW$9=0,0,MMULT($AH20:$AM20, AW$3:AW$8)/$AW$9)</f>
        <v>0</v>
      </c>
      <c r="AY20" s="146">
        <f t="shared" si="13"/>
        <v>0</v>
      </c>
      <c r="AZ20" s="146">
        <f t="array" ref="AZ20">IF($AY$9=0,0,MMULT($AH20:$AM20, AY$3:AY$8)/$AY$9)</f>
        <v>0</v>
      </c>
      <c r="BA20" s="146">
        <f t="array" ref="BA20">IF($AZ$9=0,0,MMULT($AH20:$AM20, AZ$3:AZ$8)/$AZ$9)</f>
        <v>0</v>
      </c>
      <c r="BB20" s="146">
        <f t="array" ref="BB20">IF($BA$9=0,0,MMULT($AH20:$AM20, BA$3:BA$8)/$BA$9)</f>
        <v>0</v>
      </c>
      <c r="BC20" s="146">
        <f t="array" ref="BC20">IF($BB$9=0,0,MMULT($AH20:$AM20, BB$3:BB$8)/$BB$9)</f>
        <v>0</v>
      </c>
      <c r="BD20" s="146">
        <f t="array" ref="BD20">IF($BC$9=0,0,MMULT($AH20:$AM20, BC$3:BC$8)/$BC$9)</f>
        <v>0</v>
      </c>
      <c r="BE20" s="146">
        <f t="shared" si="14"/>
        <v>0</v>
      </c>
      <c r="BF20" s="146">
        <f t="shared" si="15"/>
        <v>0</v>
      </c>
      <c r="BG20" s="145">
        <f>IF(OR(GradeSheet!$M15="W (Withdrawn)", GradeSheet!$M15="I (Incomplete)"), 0, IF(AU20&gt;=65%, 1, 0))</f>
        <v>0</v>
      </c>
      <c r="BH20" s="145">
        <f>IF(OR(GradeSheet!$M15="W (Withdrawn)", GradeSheet!$M15="I (Incomplete)"), 0, IF(AV20&gt;=65%, 1, 0))</f>
        <v>0</v>
      </c>
      <c r="BI20" s="145">
        <f>IF(OR(GradeSheet!$M15="W (Withdrawn)", GradeSheet!$M15="I (Incomplete)"), 0, IF(AW20&gt;=65%, 1, 0))</f>
        <v>0</v>
      </c>
      <c r="BJ20" s="145">
        <f>IF(OR(GradeSheet!$M15="W (Withdrawn)", GradeSheet!$M15="I (Incomplete)"), 0, IF(AX20&gt;=65%, 1, 0))</f>
        <v>0</v>
      </c>
      <c r="BK20" s="145">
        <f>IF(OR(GradeSheet!$M15="W (Withdrawn)", GradeSheet!$M15="I (Incomplete)"), 0, IF(AY20&gt;=65%, 1, 0))</f>
        <v>0</v>
      </c>
      <c r="BL20" s="145">
        <f>IF(OR(GradeSheet!$M15="W (Withdrawn)", GradeSheet!$M15="I (Incomplete)"), 0, IF(AZ20&gt;=65%, 1, 0))</f>
        <v>0</v>
      </c>
      <c r="BM20" s="145">
        <f>IF(OR(GradeSheet!$M15="W (Withdrawn)", GradeSheet!$M15="I (Incomplete)"), 0, IF(BA20&gt;=65%, 1, 0))</f>
        <v>0</v>
      </c>
      <c r="BN20" s="145">
        <f>IF(OR(GradeSheet!$M15="W (Withdrawn)", GradeSheet!$M15="I (Incomplete)"), 0, IF(BB20&gt;=65%, 1, 0))</f>
        <v>0</v>
      </c>
      <c r="BO20" s="145">
        <f>IF(OR(GradeSheet!$M15="W (Withdrawn)", GradeSheet!$M15="I (Incomplete)"), 0, IF(BC20&gt;=65%, 1, 0))</f>
        <v>0</v>
      </c>
      <c r="BP20" s="145">
        <f>IF(OR(GradeSheet!$M15="W (Withdrawn)", GradeSheet!$M15="I (Incomplete)"), 0, IF(BD20&gt;=65%, 1, 0))</f>
        <v>0</v>
      </c>
      <c r="BQ20" s="145">
        <f>IF(OR(GradeSheet!$M15="W (Withdrawn)", GradeSheet!$M15="I (Incomplete)"), 0, IF(BE20&gt;=65%, 1, 0))</f>
        <v>0</v>
      </c>
      <c r="BR20" s="145">
        <f>IF(OR(GradeSheet!$M15="W (Withdrawn)", GradeSheet!$M15="I (Incomplete)"), 0, IF(BF20&gt;=65%, 1, 0))</f>
        <v>0</v>
      </c>
    </row>
    <row r="21" spans="1:70" ht="15.75" customHeight="1">
      <c r="A21" s="136">
        <v>7</v>
      </c>
      <c r="B21" s="22"/>
      <c r="C21" s="30"/>
      <c r="D21" s="137"/>
      <c r="E21" s="137"/>
      <c r="F21" s="138"/>
      <c r="G21" s="138"/>
      <c r="H21" s="138"/>
      <c r="I21" s="138"/>
      <c r="J21" s="137"/>
      <c r="K21" s="137"/>
      <c r="L21" s="137"/>
      <c r="M21" s="138"/>
      <c r="N21" s="138"/>
      <c r="O21" s="138"/>
      <c r="P21" s="139"/>
      <c r="Q21" s="140"/>
      <c r="R21" s="140"/>
      <c r="S21" s="140"/>
      <c r="T21" s="140"/>
      <c r="U21" s="141"/>
      <c r="V21" s="139"/>
      <c r="W21" s="140"/>
      <c r="X21" s="140"/>
      <c r="Y21" s="140"/>
      <c r="Z21" s="140"/>
      <c r="AA21" s="141"/>
      <c r="AB21" s="142">
        <f t="shared" ref="AB21:AE21" si="26">SUM(V21,D21,J21)</f>
        <v>0</v>
      </c>
      <c r="AC21" s="143">
        <f t="shared" si="26"/>
        <v>0</v>
      </c>
      <c r="AD21" s="143">
        <f t="shared" si="26"/>
        <v>0</v>
      </c>
      <c r="AE21" s="148">
        <f t="shared" si="26"/>
        <v>0</v>
      </c>
      <c r="AF21" s="143">
        <f t="shared" si="8"/>
        <v>0</v>
      </c>
      <c r="AG21" s="148">
        <f t="shared" si="9"/>
        <v>0</v>
      </c>
      <c r="AH21" s="144">
        <f t="shared" ref="AH21:AM21" si="27">IF(AB21 = 0, 0, AB21/AB$14)</f>
        <v>0</v>
      </c>
      <c r="AI21" s="144">
        <f t="shared" si="27"/>
        <v>0</v>
      </c>
      <c r="AJ21" s="144">
        <f t="shared" si="27"/>
        <v>0</v>
      </c>
      <c r="AK21" s="144">
        <f t="shared" si="27"/>
        <v>0</v>
      </c>
      <c r="AL21" s="144">
        <f t="shared" si="27"/>
        <v>0</v>
      </c>
      <c r="AM21" s="144">
        <f t="shared" si="27"/>
        <v>0</v>
      </c>
      <c r="AN21" s="145">
        <f>IF(OR(GradeSheet!$M16="W (Withdrawn)", GradeSheet!$M16="I (Incomplete)"), 0, IF(AH21&gt;=55%, 1, 0))</f>
        <v>0</v>
      </c>
      <c r="AO21" s="145">
        <f>IF(OR(GradeSheet!$M16="W (Withdrawn)", GradeSheet!$M16="I (Incomplete)"), 0, IF(AI21&gt;=55%, 1, 0))</f>
        <v>0</v>
      </c>
      <c r="AP21" s="145">
        <f>IF(OR(GradeSheet!$M16="W (Withdrawn)", GradeSheet!$M16="I (Incomplete)"), 0, IF(AJ21&gt;=55%, 1, 0))</f>
        <v>0</v>
      </c>
      <c r="AQ21" s="145">
        <f>IF(OR(GradeSheet!$M16="W (Withdrawn)", GradeSheet!$M16="I (Incomplete)"), 0, IF(AK21&gt;=55%, 1, 0))</f>
        <v>0</v>
      </c>
      <c r="AR21" s="145">
        <f>IF(OR(GradeSheet!$M16="W (Withdrawn)", GradeSheet!$M16="I (Incomplete)"), 0, IF(AL21&gt;=55%, 1, 0))</f>
        <v>0</v>
      </c>
      <c r="AS21" s="145">
        <f>IF(OR(GradeSheet!$M16="W (Withdrawn)", GradeSheet!$M16="I (Incomplete)"), 0, IF(AM21&gt;=55%, 1, 0))</f>
        <v>0</v>
      </c>
      <c r="AT21" s="122"/>
      <c r="AU21" s="146">
        <f t="shared" si="11"/>
        <v>0</v>
      </c>
      <c r="AV21" s="146">
        <f t="shared" si="12"/>
        <v>0</v>
      </c>
      <c r="AW21" s="146">
        <f t="array" ref="AW21">IF($AV$9=0,0,MMULT($AH21:$AM21, AV$3:AV$8)/$AV$9)</f>
        <v>0</v>
      </c>
      <c r="AX21" s="146">
        <f t="array" ref="AX21">IF($AW$9=0,0,MMULT($AH21:$AM21, AW$3:AW$8)/$AW$9)</f>
        <v>0</v>
      </c>
      <c r="AY21" s="146">
        <f t="shared" si="13"/>
        <v>0</v>
      </c>
      <c r="AZ21" s="146">
        <f t="array" ref="AZ21">IF($AY$9=0,0,MMULT($AH21:$AM21, AY$3:AY$8)/$AY$9)</f>
        <v>0</v>
      </c>
      <c r="BA21" s="146">
        <f t="array" ref="BA21">IF($AZ$9=0,0,MMULT($AH21:$AM21, AZ$3:AZ$8)/$AZ$9)</f>
        <v>0</v>
      </c>
      <c r="BB21" s="146">
        <f t="array" ref="BB21">IF($BA$9=0,0,MMULT($AH21:$AM21, BA$3:BA$8)/$BA$9)</f>
        <v>0</v>
      </c>
      <c r="BC21" s="146">
        <f t="array" ref="BC21">IF($BB$9=0,0,MMULT($AH21:$AM21, BB$3:BB$8)/$BB$9)</f>
        <v>0</v>
      </c>
      <c r="BD21" s="146">
        <f t="array" ref="BD21">IF($BC$9=0,0,MMULT($AH21:$AM21, BC$3:BC$8)/$BC$9)</f>
        <v>0</v>
      </c>
      <c r="BE21" s="146">
        <f t="shared" si="14"/>
        <v>0</v>
      </c>
      <c r="BF21" s="146">
        <f t="shared" si="15"/>
        <v>0</v>
      </c>
      <c r="BG21" s="145">
        <f>IF(OR(GradeSheet!$M16="W (Withdrawn)", GradeSheet!$M16="I (Incomplete)"), 0, IF(AU21&gt;=65%, 1, 0))</f>
        <v>0</v>
      </c>
      <c r="BH21" s="145">
        <f>IF(OR(GradeSheet!$M16="W (Withdrawn)", GradeSheet!$M16="I (Incomplete)"), 0, IF(AV21&gt;=65%, 1, 0))</f>
        <v>0</v>
      </c>
      <c r="BI21" s="145">
        <f>IF(OR(GradeSheet!$M16="W (Withdrawn)", GradeSheet!$M16="I (Incomplete)"), 0, IF(AW21&gt;=65%, 1, 0))</f>
        <v>0</v>
      </c>
      <c r="BJ21" s="145">
        <f>IF(OR(GradeSheet!$M16="W (Withdrawn)", GradeSheet!$M16="I (Incomplete)"), 0, IF(AX21&gt;=65%, 1, 0))</f>
        <v>0</v>
      </c>
      <c r="BK21" s="145">
        <f>IF(OR(GradeSheet!$M16="W (Withdrawn)", GradeSheet!$M16="I (Incomplete)"), 0, IF(AY21&gt;=65%, 1, 0))</f>
        <v>0</v>
      </c>
      <c r="BL21" s="145">
        <f>IF(OR(GradeSheet!$M16="W (Withdrawn)", GradeSheet!$M16="I (Incomplete)"), 0, IF(AZ21&gt;=65%, 1, 0))</f>
        <v>0</v>
      </c>
      <c r="BM21" s="145">
        <f>IF(OR(GradeSheet!$M16="W (Withdrawn)", GradeSheet!$M16="I (Incomplete)"), 0, IF(BA21&gt;=65%, 1, 0))</f>
        <v>0</v>
      </c>
      <c r="BN21" s="145">
        <f>IF(OR(GradeSheet!$M16="W (Withdrawn)", GradeSheet!$M16="I (Incomplete)"), 0, IF(BB21&gt;=65%, 1, 0))</f>
        <v>0</v>
      </c>
      <c r="BO21" s="145">
        <f>IF(OR(GradeSheet!$M16="W (Withdrawn)", GradeSheet!$M16="I (Incomplete)"), 0, IF(BC21&gt;=65%, 1, 0))</f>
        <v>0</v>
      </c>
      <c r="BP21" s="145">
        <f>IF(OR(GradeSheet!$M16="W (Withdrawn)", GradeSheet!$M16="I (Incomplete)"), 0, IF(BD21&gt;=65%, 1, 0))</f>
        <v>0</v>
      </c>
      <c r="BQ21" s="145">
        <f>IF(OR(GradeSheet!$M16="W (Withdrawn)", GradeSheet!$M16="I (Incomplete)"), 0, IF(BE21&gt;=65%, 1, 0))</f>
        <v>0</v>
      </c>
      <c r="BR21" s="145">
        <f>IF(OR(GradeSheet!$M16="W (Withdrawn)", GradeSheet!$M16="I (Incomplete)"), 0, IF(BF21&gt;=65%, 1, 0))</f>
        <v>0</v>
      </c>
    </row>
    <row r="22" spans="1:70" ht="15.75" customHeight="1">
      <c r="A22" s="147">
        <v>8</v>
      </c>
      <c r="B22" s="22"/>
      <c r="C22" s="30"/>
      <c r="D22" s="137"/>
      <c r="E22" s="137"/>
      <c r="F22" s="138"/>
      <c r="G22" s="138"/>
      <c r="H22" s="138"/>
      <c r="I22" s="138"/>
      <c r="J22" s="137"/>
      <c r="K22" s="137"/>
      <c r="L22" s="137"/>
      <c r="M22" s="138"/>
      <c r="N22" s="138"/>
      <c r="O22" s="138"/>
      <c r="P22" s="139"/>
      <c r="Q22" s="140"/>
      <c r="R22" s="140"/>
      <c r="S22" s="140"/>
      <c r="T22" s="140"/>
      <c r="U22" s="141"/>
      <c r="V22" s="139"/>
      <c r="W22" s="140"/>
      <c r="X22" s="140"/>
      <c r="Y22" s="140"/>
      <c r="Z22" s="140"/>
      <c r="AA22" s="141"/>
      <c r="AB22" s="142">
        <f t="shared" ref="AB22:AE22" si="28">SUM(V22,D22,J22)</f>
        <v>0</v>
      </c>
      <c r="AC22" s="143">
        <f t="shared" si="28"/>
        <v>0</v>
      </c>
      <c r="AD22" s="143">
        <f t="shared" si="28"/>
        <v>0</v>
      </c>
      <c r="AE22" s="148">
        <f t="shared" si="28"/>
        <v>0</v>
      </c>
      <c r="AF22" s="143">
        <f t="shared" si="8"/>
        <v>0</v>
      </c>
      <c r="AG22" s="148">
        <f t="shared" si="9"/>
        <v>0</v>
      </c>
      <c r="AH22" s="144">
        <f t="shared" ref="AH22:AM22" si="29">IF(AB22 = 0, 0, AB22/AB$14)</f>
        <v>0</v>
      </c>
      <c r="AI22" s="144">
        <f t="shared" si="29"/>
        <v>0</v>
      </c>
      <c r="AJ22" s="144">
        <f t="shared" si="29"/>
        <v>0</v>
      </c>
      <c r="AK22" s="144">
        <f t="shared" si="29"/>
        <v>0</v>
      </c>
      <c r="AL22" s="144">
        <f t="shared" si="29"/>
        <v>0</v>
      </c>
      <c r="AM22" s="144">
        <f t="shared" si="29"/>
        <v>0</v>
      </c>
      <c r="AN22" s="145">
        <f>IF(OR(GradeSheet!$M17="W (Withdrawn)", GradeSheet!$M17="I (Incomplete)"), 0, IF(AH22&gt;=55%, 1, 0))</f>
        <v>0</v>
      </c>
      <c r="AO22" s="145">
        <f>IF(OR(GradeSheet!$M17="W (Withdrawn)", GradeSheet!$M17="I (Incomplete)"), 0, IF(AI22&gt;=55%, 1, 0))</f>
        <v>0</v>
      </c>
      <c r="AP22" s="145">
        <f>IF(OR(GradeSheet!$M17="W (Withdrawn)", GradeSheet!$M17="I (Incomplete)"), 0, IF(AJ22&gt;=55%, 1, 0))</f>
        <v>0</v>
      </c>
      <c r="AQ22" s="145">
        <f>IF(OR(GradeSheet!$M17="W (Withdrawn)", GradeSheet!$M17="I (Incomplete)"), 0, IF(AK22&gt;=55%, 1, 0))</f>
        <v>0</v>
      </c>
      <c r="AR22" s="145">
        <f>IF(OR(GradeSheet!$M17="W (Withdrawn)", GradeSheet!$M17="I (Incomplete)"), 0, IF(AL22&gt;=55%, 1, 0))</f>
        <v>0</v>
      </c>
      <c r="AS22" s="145">
        <f>IF(OR(GradeSheet!$M17="W (Withdrawn)", GradeSheet!$M17="I (Incomplete)"), 0, IF(AM22&gt;=55%, 1, 0))</f>
        <v>0</v>
      </c>
      <c r="AT22" s="122"/>
      <c r="AU22" s="146">
        <f t="shared" si="11"/>
        <v>0</v>
      </c>
      <c r="AV22" s="146">
        <f t="shared" si="12"/>
        <v>0</v>
      </c>
      <c r="AW22" s="146">
        <f t="array" ref="AW22">IF($AV$9=0,0,MMULT($AH22:$AM22, AV$3:AV$8)/$AV$9)</f>
        <v>0</v>
      </c>
      <c r="AX22" s="146">
        <f t="array" ref="AX22">IF($AW$9=0,0,MMULT($AH22:$AM22, AW$3:AW$8)/$AW$9)</f>
        <v>0</v>
      </c>
      <c r="AY22" s="146">
        <f t="shared" si="13"/>
        <v>0</v>
      </c>
      <c r="AZ22" s="146">
        <f t="array" ref="AZ22">IF($AY$9=0,0,MMULT($AH22:$AM22, AY$3:AY$8)/$AY$9)</f>
        <v>0</v>
      </c>
      <c r="BA22" s="146">
        <f t="array" ref="BA22">IF($AZ$9=0,0,MMULT($AH22:$AM22, AZ$3:AZ$8)/$AZ$9)</f>
        <v>0</v>
      </c>
      <c r="BB22" s="146">
        <f t="array" ref="BB22">IF($BA$9=0,0,MMULT($AH22:$AM22, BA$3:BA$8)/$BA$9)</f>
        <v>0</v>
      </c>
      <c r="BC22" s="146">
        <f t="array" ref="BC22">IF($BB$9=0,0,MMULT($AH22:$AM22, BB$3:BB$8)/$BB$9)</f>
        <v>0</v>
      </c>
      <c r="BD22" s="146">
        <f t="array" ref="BD22">IF($BC$9=0,0,MMULT($AH22:$AM22, BC$3:BC$8)/$BC$9)</f>
        <v>0</v>
      </c>
      <c r="BE22" s="146">
        <f t="shared" si="14"/>
        <v>0</v>
      </c>
      <c r="BF22" s="146">
        <f t="shared" si="15"/>
        <v>0</v>
      </c>
      <c r="BG22" s="145">
        <f>IF(OR(GradeSheet!$M17="W (Withdrawn)", GradeSheet!$M17="I (Incomplete)"), 0, IF(AU22&gt;=65%, 1, 0))</f>
        <v>0</v>
      </c>
      <c r="BH22" s="145">
        <f>IF(OR(GradeSheet!$M17="W (Withdrawn)", GradeSheet!$M17="I (Incomplete)"), 0, IF(AV22&gt;=65%, 1, 0))</f>
        <v>0</v>
      </c>
      <c r="BI22" s="145">
        <f>IF(OR(GradeSheet!$M17="W (Withdrawn)", GradeSheet!$M17="I (Incomplete)"), 0, IF(AW22&gt;=65%, 1, 0))</f>
        <v>0</v>
      </c>
      <c r="BJ22" s="145">
        <f>IF(OR(GradeSheet!$M17="W (Withdrawn)", GradeSheet!$M17="I (Incomplete)"), 0, IF(AX22&gt;=65%, 1, 0))</f>
        <v>0</v>
      </c>
      <c r="BK22" s="145">
        <f>IF(OR(GradeSheet!$M17="W (Withdrawn)", GradeSheet!$M17="I (Incomplete)"), 0, IF(AY22&gt;=65%, 1, 0))</f>
        <v>0</v>
      </c>
      <c r="BL22" s="145">
        <f>IF(OR(GradeSheet!$M17="W (Withdrawn)", GradeSheet!$M17="I (Incomplete)"), 0, IF(AZ22&gt;=65%, 1, 0))</f>
        <v>0</v>
      </c>
      <c r="BM22" s="145">
        <f>IF(OR(GradeSheet!$M17="W (Withdrawn)", GradeSheet!$M17="I (Incomplete)"), 0, IF(BA22&gt;=65%, 1, 0))</f>
        <v>0</v>
      </c>
      <c r="BN22" s="145">
        <f>IF(OR(GradeSheet!$M17="W (Withdrawn)", GradeSheet!$M17="I (Incomplete)"), 0, IF(BB22&gt;=65%, 1, 0))</f>
        <v>0</v>
      </c>
      <c r="BO22" s="145">
        <f>IF(OR(GradeSheet!$M17="W (Withdrawn)", GradeSheet!$M17="I (Incomplete)"), 0, IF(BC22&gt;=65%, 1, 0))</f>
        <v>0</v>
      </c>
      <c r="BP22" s="145">
        <f>IF(OR(GradeSheet!$M17="W (Withdrawn)", GradeSheet!$M17="I (Incomplete)"), 0, IF(BD22&gt;=65%, 1, 0))</f>
        <v>0</v>
      </c>
      <c r="BQ22" s="145">
        <f>IF(OR(GradeSheet!$M17="W (Withdrawn)", GradeSheet!$M17="I (Incomplete)"), 0, IF(BE22&gt;=65%, 1, 0))</f>
        <v>0</v>
      </c>
      <c r="BR22" s="145">
        <f>IF(OR(GradeSheet!$M17="W (Withdrawn)", GradeSheet!$M17="I (Incomplete)"), 0, IF(BF22&gt;=65%, 1, 0))</f>
        <v>0</v>
      </c>
    </row>
    <row r="23" spans="1:70" ht="15.75" customHeight="1">
      <c r="A23" s="136">
        <v>9</v>
      </c>
      <c r="B23" s="22"/>
      <c r="C23" s="30"/>
      <c r="D23" s="137"/>
      <c r="E23" s="137"/>
      <c r="F23" s="138"/>
      <c r="G23" s="138"/>
      <c r="H23" s="138"/>
      <c r="I23" s="138"/>
      <c r="J23" s="137"/>
      <c r="K23" s="137"/>
      <c r="L23" s="137"/>
      <c r="M23" s="138"/>
      <c r="N23" s="138"/>
      <c r="O23" s="138"/>
      <c r="P23" s="139"/>
      <c r="Q23" s="140"/>
      <c r="R23" s="140"/>
      <c r="S23" s="140"/>
      <c r="T23" s="140"/>
      <c r="U23" s="141"/>
      <c r="V23" s="139"/>
      <c r="W23" s="140"/>
      <c r="X23" s="140"/>
      <c r="Y23" s="140"/>
      <c r="Z23" s="140"/>
      <c r="AA23" s="141"/>
      <c r="AB23" s="142">
        <f t="shared" ref="AB23:AE23" si="30">SUM(V23,D23,J23)</f>
        <v>0</v>
      </c>
      <c r="AC23" s="143">
        <f t="shared" si="30"/>
        <v>0</v>
      </c>
      <c r="AD23" s="143">
        <f t="shared" si="30"/>
        <v>0</v>
      </c>
      <c r="AE23" s="148">
        <f t="shared" si="30"/>
        <v>0</v>
      </c>
      <c r="AF23" s="143">
        <f t="shared" si="8"/>
        <v>0</v>
      </c>
      <c r="AG23" s="148">
        <f t="shared" si="9"/>
        <v>0</v>
      </c>
      <c r="AH23" s="144">
        <f t="shared" ref="AH23:AM23" si="31">IF(AB23 = 0, 0, AB23/AB$14)</f>
        <v>0</v>
      </c>
      <c r="AI23" s="144">
        <f t="shared" si="31"/>
        <v>0</v>
      </c>
      <c r="AJ23" s="144">
        <f t="shared" si="31"/>
        <v>0</v>
      </c>
      <c r="AK23" s="144">
        <f t="shared" si="31"/>
        <v>0</v>
      </c>
      <c r="AL23" s="144">
        <f t="shared" si="31"/>
        <v>0</v>
      </c>
      <c r="AM23" s="144">
        <f t="shared" si="31"/>
        <v>0</v>
      </c>
      <c r="AN23" s="145">
        <f>IF(OR(GradeSheet!$M18="W (Withdrawn)", GradeSheet!$M18="I (Incomplete)"), 0, IF(AH23&gt;=55%, 1, 0))</f>
        <v>0</v>
      </c>
      <c r="AO23" s="145">
        <f>IF(OR(GradeSheet!$M18="W (Withdrawn)", GradeSheet!$M18="I (Incomplete)"), 0, IF(AI23&gt;=55%, 1, 0))</f>
        <v>0</v>
      </c>
      <c r="AP23" s="145">
        <f>IF(OR(GradeSheet!$M18="W (Withdrawn)", GradeSheet!$M18="I (Incomplete)"), 0, IF(AJ23&gt;=55%, 1, 0))</f>
        <v>0</v>
      </c>
      <c r="AQ23" s="145">
        <f>IF(OR(GradeSheet!$M18="W (Withdrawn)", GradeSheet!$M18="I (Incomplete)"), 0, IF(AK23&gt;=55%, 1, 0))</f>
        <v>0</v>
      </c>
      <c r="AR23" s="145">
        <f>IF(OR(GradeSheet!$M18="W (Withdrawn)", GradeSheet!$M18="I (Incomplete)"), 0, IF(AL23&gt;=55%, 1, 0))</f>
        <v>0</v>
      </c>
      <c r="AS23" s="145">
        <f>IF(OR(GradeSheet!$M18="W (Withdrawn)", GradeSheet!$M18="I (Incomplete)"), 0, IF(AM23&gt;=55%, 1, 0))</f>
        <v>0</v>
      </c>
      <c r="AT23" s="122"/>
      <c r="AU23" s="146">
        <f t="shared" si="11"/>
        <v>0</v>
      </c>
      <c r="AV23" s="146">
        <f t="shared" si="12"/>
        <v>0</v>
      </c>
      <c r="AW23" s="146">
        <f t="array" ref="AW23">IF($AV$9=0,0,MMULT($AH23:$AM23, AV$3:AV$8)/$AV$9)</f>
        <v>0</v>
      </c>
      <c r="AX23" s="146">
        <f t="array" ref="AX23">IF($AW$9=0,0,MMULT($AH23:$AM23, AW$3:AW$8)/$AW$9)</f>
        <v>0</v>
      </c>
      <c r="AY23" s="146">
        <f t="shared" si="13"/>
        <v>0</v>
      </c>
      <c r="AZ23" s="146">
        <f t="array" ref="AZ23">IF($AY$9=0,0,MMULT($AH23:$AM23, AY$3:AY$8)/$AY$9)</f>
        <v>0</v>
      </c>
      <c r="BA23" s="146">
        <f t="array" ref="BA23">IF($AZ$9=0,0,MMULT($AH23:$AM23, AZ$3:AZ$8)/$AZ$9)</f>
        <v>0</v>
      </c>
      <c r="BB23" s="146">
        <f t="array" ref="BB23">IF($BA$9=0,0,MMULT($AH23:$AM23, BA$3:BA$8)/$BA$9)</f>
        <v>0</v>
      </c>
      <c r="BC23" s="146">
        <f t="array" ref="BC23">IF($BB$9=0,0,MMULT($AH23:$AM23, BB$3:BB$8)/$BB$9)</f>
        <v>0</v>
      </c>
      <c r="BD23" s="146">
        <f t="array" ref="BD23">IF($BC$9=0,0,MMULT($AH23:$AM23, BC$3:BC$8)/$BC$9)</f>
        <v>0</v>
      </c>
      <c r="BE23" s="146">
        <f t="shared" si="14"/>
        <v>0</v>
      </c>
      <c r="BF23" s="146">
        <f t="shared" si="15"/>
        <v>0</v>
      </c>
      <c r="BG23" s="145">
        <f>IF(OR(GradeSheet!$M18="W (Withdrawn)", GradeSheet!$M18="I (Incomplete)"), 0, IF(AU23&gt;=65%, 1, 0))</f>
        <v>0</v>
      </c>
      <c r="BH23" s="145">
        <f>IF(OR(GradeSheet!$M18="W (Withdrawn)", GradeSheet!$M18="I (Incomplete)"), 0, IF(AV23&gt;=65%, 1, 0))</f>
        <v>0</v>
      </c>
      <c r="BI23" s="145">
        <f>IF(OR(GradeSheet!$M18="W (Withdrawn)", GradeSheet!$M18="I (Incomplete)"), 0, IF(AW23&gt;=65%, 1, 0))</f>
        <v>0</v>
      </c>
      <c r="BJ23" s="145">
        <f>IF(OR(GradeSheet!$M18="W (Withdrawn)", GradeSheet!$M18="I (Incomplete)"), 0, IF(AX23&gt;=65%, 1, 0))</f>
        <v>0</v>
      </c>
      <c r="BK23" s="145">
        <f>IF(OR(GradeSheet!$M18="W (Withdrawn)", GradeSheet!$M18="I (Incomplete)"), 0, IF(AY23&gt;=65%, 1, 0))</f>
        <v>0</v>
      </c>
      <c r="BL23" s="145">
        <f>IF(OR(GradeSheet!$M18="W (Withdrawn)", GradeSheet!$M18="I (Incomplete)"), 0, IF(AZ23&gt;=65%, 1, 0))</f>
        <v>0</v>
      </c>
      <c r="BM23" s="145">
        <f>IF(OR(GradeSheet!$M18="W (Withdrawn)", GradeSheet!$M18="I (Incomplete)"), 0, IF(BA23&gt;=65%, 1, 0))</f>
        <v>0</v>
      </c>
      <c r="BN23" s="145">
        <f>IF(OR(GradeSheet!$M18="W (Withdrawn)", GradeSheet!$M18="I (Incomplete)"), 0, IF(BB23&gt;=65%, 1, 0))</f>
        <v>0</v>
      </c>
      <c r="BO23" s="145">
        <f>IF(OR(GradeSheet!$M18="W (Withdrawn)", GradeSheet!$M18="I (Incomplete)"), 0, IF(BC23&gt;=65%, 1, 0))</f>
        <v>0</v>
      </c>
      <c r="BP23" s="145">
        <f>IF(OR(GradeSheet!$M18="W (Withdrawn)", GradeSheet!$M18="I (Incomplete)"), 0, IF(BD23&gt;=65%, 1, 0))</f>
        <v>0</v>
      </c>
      <c r="BQ23" s="145">
        <f>IF(OR(GradeSheet!$M18="W (Withdrawn)", GradeSheet!$M18="I (Incomplete)"), 0, IF(BE23&gt;=65%, 1, 0))</f>
        <v>0</v>
      </c>
      <c r="BR23" s="145">
        <f>IF(OR(GradeSheet!$M18="W (Withdrawn)", GradeSheet!$M18="I (Incomplete)"), 0, IF(BF23&gt;=65%, 1, 0))</f>
        <v>0</v>
      </c>
    </row>
    <row r="24" spans="1:70" ht="15.75" customHeight="1">
      <c r="A24" s="147">
        <v>10</v>
      </c>
      <c r="B24" s="32"/>
      <c r="C24" s="30"/>
      <c r="D24" s="137"/>
      <c r="E24" s="137"/>
      <c r="F24" s="138"/>
      <c r="G24" s="138"/>
      <c r="H24" s="138"/>
      <c r="I24" s="138"/>
      <c r="J24" s="137"/>
      <c r="K24" s="137"/>
      <c r="L24" s="137"/>
      <c r="M24" s="138"/>
      <c r="N24" s="138"/>
      <c r="O24" s="138"/>
      <c r="P24" s="139"/>
      <c r="Q24" s="140"/>
      <c r="R24" s="140"/>
      <c r="S24" s="140"/>
      <c r="T24" s="140"/>
      <c r="U24" s="141"/>
      <c r="V24" s="139"/>
      <c r="W24" s="140"/>
      <c r="X24" s="140"/>
      <c r="Y24" s="140"/>
      <c r="Z24" s="140"/>
      <c r="AA24" s="141"/>
      <c r="AB24" s="142">
        <f t="shared" ref="AB24:AE24" si="32">SUM(V24,D24,J24)</f>
        <v>0</v>
      </c>
      <c r="AC24" s="143">
        <f t="shared" si="32"/>
        <v>0</v>
      </c>
      <c r="AD24" s="143">
        <f t="shared" si="32"/>
        <v>0</v>
      </c>
      <c r="AE24" s="148">
        <f t="shared" si="32"/>
        <v>0</v>
      </c>
      <c r="AF24" s="143">
        <f t="shared" si="8"/>
        <v>0</v>
      </c>
      <c r="AG24" s="148">
        <f t="shared" si="9"/>
        <v>0</v>
      </c>
      <c r="AH24" s="144">
        <f t="shared" ref="AH24:AM24" si="33">IF(AB24 = 0, 0, AB24/AB$14)</f>
        <v>0</v>
      </c>
      <c r="AI24" s="144">
        <f t="shared" si="33"/>
        <v>0</v>
      </c>
      <c r="AJ24" s="144">
        <f t="shared" si="33"/>
        <v>0</v>
      </c>
      <c r="AK24" s="144">
        <f t="shared" si="33"/>
        <v>0</v>
      </c>
      <c r="AL24" s="144">
        <f t="shared" si="33"/>
        <v>0</v>
      </c>
      <c r="AM24" s="144">
        <f t="shared" si="33"/>
        <v>0</v>
      </c>
      <c r="AN24" s="145">
        <f>IF(OR(GradeSheet!$M19="W (Withdrawn)", GradeSheet!$M19="I (Incomplete)"), 0, IF(AH24&gt;=55%, 1, 0))</f>
        <v>0</v>
      </c>
      <c r="AO24" s="145">
        <f>IF(OR(GradeSheet!$M19="W (Withdrawn)", GradeSheet!$M19="I (Incomplete)"), 0, IF(AI24&gt;=55%, 1, 0))</f>
        <v>0</v>
      </c>
      <c r="AP24" s="145">
        <f>IF(OR(GradeSheet!$M19="W (Withdrawn)", GradeSheet!$M19="I (Incomplete)"), 0, IF(AJ24&gt;=55%, 1, 0))</f>
        <v>0</v>
      </c>
      <c r="AQ24" s="145">
        <f>IF(OR(GradeSheet!$M19="W (Withdrawn)", GradeSheet!$M19="I (Incomplete)"), 0, IF(AK24&gt;=55%, 1, 0))</f>
        <v>0</v>
      </c>
      <c r="AR24" s="145">
        <f>IF(OR(GradeSheet!$M19="W (Withdrawn)", GradeSheet!$M19="I (Incomplete)"), 0, IF(AL24&gt;=55%, 1, 0))</f>
        <v>0</v>
      </c>
      <c r="AS24" s="145">
        <f>IF(OR(GradeSheet!$M19="W (Withdrawn)", GradeSheet!$M19="I (Incomplete)"), 0, IF(AM24&gt;=55%, 1, 0))</f>
        <v>0</v>
      </c>
      <c r="AT24" s="122"/>
      <c r="AU24" s="146">
        <f t="shared" si="11"/>
        <v>0</v>
      </c>
      <c r="AV24" s="146">
        <f t="shared" si="12"/>
        <v>0</v>
      </c>
      <c r="AW24" s="146">
        <f t="array" ref="AW24">IF($AV$9=0,0,MMULT($AH24:$AM24, AV$3:AV$8)/$AV$9)</f>
        <v>0</v>
      </c>
      <c r="AX24" s="146">
        <f t="array" ref="AX24">IF($AW$9=0,0,MMULT($AH24:$AM24, AW$3:AW$8)/$AW$9)</f>
        <v>0</v>
      </c>
      <c r="AY24" s="146">
        <f t="shared" si="13"/>
        <v>0</v>
      </c>
      <c r="AZ24" s="146">
        <f t="array" ref="AZ24">IF($AY$9=0,0,MMULT($AH24:$AM24, AY$3:AY$8)/$AY$9)</f>
        <v>0</v>
      </c>
      <c r="BA24" s="146">
        <f t="array" ref="BA24">IF($AZ$9=0,0,MMULT($AH24:$AM24, AZ$3:AZ$8)/$AZ$9)</f>
        <v>0</v>
      </c>
      <c r="BB24" s="146">
        <f t="array" ref="BB24">IF($BA$9=0,0,MMULT($AH24:$AM24, BA$3:BA$8)/$BA$9)</f>
        <v>0</v>
      </c>
      <c r="BC24" s="146">
        <f t="array" ref="BC24">IF($BB$9=0,0,MMULT($AH24:$AM24, BB$3:BB$8)/$BB$9)</f>
        <v>0</v>
      </c>
      <c r="BD24" s="146">
        <f t="array" ref="BD24">IF($BC$9=0,0,MMULT($AH24:$AM24, BC$3:BC$8)/$BC$9)</f>
        <v>0</v>
      </c>
      <c r="BE24" s="146">
        <f t="shared" si="14"/>
        <v>0</v>
      </c>
      <c r="BF24" s="146">
        <f t="shared" si="15"/>
        <v>0</v>
      </c>
      <c r="BG24" s="145">
        <f>IF(OR(GradeSheet!$M19="W (Withdrawn)", GradeSheet!$M19="I (Incomplete)"), 0, IF(AU24&gt;=65%, 1, 0))</f>
        <v>0</v>
      </c>
      <c r="BH24" s="145">
        <f>IF(OR(GradeSheet!$M19="W (Withdrawn)", GradeSheet!$M19="I (Incomplete)"), 0, IF(AV24&gt;=65%, 1, 0))</f>
        <v>0</v>
      </c>
      <c r="BI24" s="145">
        <f>IF(OR(GradeSheet!$M19="W (Withdrawn)", GradeSheet!$M19="I (Incomplete)"), 0, IF(AW24&gt;=65%, 1, 0))</f>
        <v>0</v>
      </c>
      <c r="BJ24" s="145">
        <f>IF(OR(GradeSheet!$M19="W (Withdrawn)", GradeSheet!$M19="I (Incomplete)"), 0, IF(AX24&gt;=65%, 1, 0))</f>
        <v>0</v>
      </c>
      <c r="BK24" s="145">
        <f>IF(OR(GradeSheet!$M19="W (Withdrawn)", GradeSheet!$M19="I (Incomplete)"), 0, IF(AY24&gt;=65%, 1, 0))</f>
        <v>0</v>
      </c>
      <c r="BL24" s="145">
        <f>IF(OR(GradeSheet!$M19="W (Withdrawn)", GradeSheet!$M19="I (Incomplete)"), 0, IF(AZ24&gt;=65%, 1, 0))</f>
        <v>0</v>
      </c>
      <c r="BM24" s="145">
        <f>IF(OR(GradeSheet!$M19="W (Withdrawn)", GradeSheet!$M19="I (Incomplete)"), 0, IF(BA24&gt;=65%, 1, 0))</f>
        <v>0</v>
      </c>
      <c r="BN24" s="145">
        <f>IF(OR(GradeSheet!$M19="W (Withdrawn)", GradeSheet!$M19="I (Incomplete)"), 0, IF(BB24&gt;=65%, 1, 0))</f>
        <v>0</v>
      </c>
      <c r="BO24" s="145">
        <f>IF(OR(GradeSheet!$M19="W (Withdrawn)", GradeSheet!$M19="I (Incomplete)"), 0, IF(BC24&gt;=65%, 1, 0))</f>
        <v>0</v>
      </c>
      <c r="BP24" s="145">
        <f>IF(OR(GradeSheet!$M19="W (Withdrawn)", GradeSheet!$M19="I (Incomplete)"), 0, IF(BD24&gt;=65%, 1, 0))</f>
        <v>0</v>
      </c>
      <c r="BQ24" s="145">
        <f>IF(OR(GradeSheet!$M19="W (Withdrawn)", GradeSheet!$M19="I (Incomplete)"), 0, IF(BE24&gt;=65%, 1, 0))</f>
        <v>0</v>
      </c>
      <c r="BR24" s="145">
        <f>IF(OR(GradeSheet!$M19="W (Withdrawn)", GradeSheet!$M19="I (Incomplete)"), 0, IF(BF24&gt;=65%, 1, 0))</f>
        <v>0</v>
      </c>
    </row>
    <row r="25" spans="1:70" ht="15.75" customHeight="1">
      <c r="A25" s="136">
        <v>11</v>
      </c>
      <c r="B25" s="22"/>
      <c r="C25" s="30"/>
      <c r="D25" s="137"/>
      <c r="E25" s="137"/>
      <c r="F25" s="138"/>
      <c r="G25" s="138"/>
      <c r="H25" s="138"/>
      <c r="I25" s="138"/>
      <c r="J25" s="137"/>
      <c r="K25" s="137"/>
      <c r="L25" s="137"/>
      <c r="M25" s="138"/>
      <c r="N25" s="138"/>
      <c r="O25" s="138"/>
      <c r="P25" s="139"/>
      <c r="Q25" s="140"/>
      <c r="R25" s="140"/>
      <c r="S25" s="140"/>
      <c r="T25" s="140"/>
      <c r="U25" s="141"/>
      <c r="V25" s="139"/>
      <c r="W25" s="140"/>
      <c r="X25" s="140"/>
      <c r="Y25" s="140"/>
      <c r="Z25" s="140"/>
      <c r="AA25" s="141"/>
      <c r="AB25" s="142">
        <f t="shared" ref="AB25:AE25" si="34">SUM(V25,D25,J25)</f>
        <v>0</v>
      </c>
      <c r="AC25" s="143">
        <f t="shared" si="34"/>
        <v>0</v>
      </c>
      <c r="AD25" s="143">
        <f t="shared" si="34"/>
        <v>0</v>
      </c>
      <c r="AE25" s="148">
        <f t="shared" si="34"/>
        <v>0</v>
      </c>
      <c r="AF25" s="143">
        <f t="shared" si="8"/>
        <v>0</v>
      </c>
      <c r="AG25" s="148">
        <f t="shared" si="9"/>
        <v>0</v>
      </c>
      <c r="AH25" s="144">
        <f t="shared" ref="AH25:AM25" si="35">IF(AB25 = 0, 0, AB25/AB$14)</f>
        <v>0</v>
      </c>
      <c r="AI25" s="144">
        <f t="shared" si="35"/>
        <v>0</v>
      </c>
      <c r="AJ25" s="144">
        <f t="shared" si="35"/>
        <v>0</v>
      </c>
      <c r="AK25" s="144">
        <f t="shared" si="35"/>
        <v>0</v>
      </c>
      <c r="AL25" s="144">
        <f t="shared" si="35"/>
        <v>0</v>
      </c>
      <c r="AM25" s="144">
        <f t="shared" si="35"/>
        <v>0</v>
      </c>
      <c r="AN25" s="145">
        <v>1</v>
      </c>
      <c r="AO25" s="145">
        <f>IF(OR(GradeSheet!$M20="W (Withdrawn)", GradeSheet!$M20="I (Incomplete)"), 0, IF(AI25&gt;=55%, 1, 0))</f>
        <v>0</v>
      </c>
      <c r="AP25" s="145">
        <f>IF(OR(GradeSheet!$M20="W (Withdrawn)", GradeSheet!$M20="I (Incomplete)"), 0, IF(AJ25&gt;=55%, 1, 0))</f>
        <v>0</v>
      </c>
      <c r="AQ25" s="145">
        <f>IF(OR(GradeSheet!$M20="W (Withdrawn)", GradeSheet!$M20="I (Incomplete)"), 0, IF(AK25&gt;=55%, 1, 0))</f>
        <v>0</v>
      </c>
      <c r="AR25" s="145">
        <f>IF(OR(GradeSheet!$M20="W (Withdrawn)", GradeSheet!$M20="I (Incomplete)"), 0, IF(AL25&gt;=55%, 1, 0))</f>
        <v>0</v>
      </c>
      <c r="AS25" s="145">
        <f>IF(OR(GradeSheet!$M20="W (Withdrawn)", GradeSheet!$M20="I (Incomplete)"), 0, IF(AM25&gt;=55%, 1, 0))</f>
        <v>0</v>
      </c>
      <c r="AT25" s="122"/>
      <c r="AU25" s="146">
        <f t="shared" si="11"/>
        <v>0</v>
      </c>
      <c r="AV25" s="146">
        <f t="shared" si="12"/>
        <v>0</v>
      </c>
      <c r="AW25" s="146">
        <f t="array" ref="AW25">IF($AV$9=0,0,MMULT($AH25:$AM25, AV$3:AV$8)/$AV$9)</f>
        <v>0</v>
      </c>
      <c r="AX25" s="146">
        <f t="array" ref="AX25">IF($AW$9=0,0,MMULT($AH25:$AM25, AW$3:AW$8)/$AW$9)</f>
        <v>0</v>
      </c>
      <c r="AY25" s="146">
        <f t="shared" si="13"/>
        <v>0</v>
      </c>
      <c r="AZ25" s="146">
        <f t="array" ref="AZ25">IF($AY$9=0,0,MMULT($AH25:$AM25, AY$3:AY$8)/$AY$9)</f>
        <v>0</v>
      </c>
      <c r="BA25" s="146">
        <f t="array" ref="BA25">IF($AZ$9=0,0,MMULT($AH25:$AM25, AZ$3:AZ$8)/$AZ$9)</f>
        <v>0</v>
      </c>
      <c r="BB25" s="146">
        <f t="array" ref="BB25">IF($BA$9=0,0,MMULT($AH25:$AM25, BA$3:BA$8)/$BA$9)</f>
        <v>0</v>
      </c>
      <c r="BC25" s="146">
        <f t="array" ref="BC25">IF($BB$9=0,0,MMULT($AH25:$AM25, BB$3:BB$8)/$BB$9)</f>
        <v>0</v>
      </c>
      <c r="BD25" s="146">
        <f t="array" ref="BD25">IF($BC$9=0,0,MMULT($AH25:$AM25, BC$3:BC$8)/$BC$9)</f>
        <v>0</v>
      </c>
      <c r="BE25" s="146">
        <f t="shared" si="14"/>
        <v>0</v>
      </c>
      <c r="BF25" s="146">
        <f t="shared" si="15"/>
        <v>0</v>
      </c>
      <c r="BG25" s="145">
        <f>IF(OR(GradeSheet!$M20="W (Withdrawn)", GradeSheet!$M20="I (Incomplete)"), 0, IF(AU25&gt;=65%, 1, 0))</f>
        <v>0</v>
      </c>
      <c r="BH25" s="145">
        <f>IF(OR(GradeSheet!$M20="W (Withdrawn)", GradeSheet!$M20="I (Incomplete)"), 0, IF(AV25&gt;=65%, 1, 0))</f>
        <v>0</v>
      </c>
      <c r="BI25" s="145">
        <f>IF(OR(GradeSheet!$M20="W (Withdrawn)", GradeSheet!$M20="I (Incomplete)"), 0, IF(AW25&gt;=65%, 1, 0))</f>
        <v>0</v>
      </c>
      <c r="BJ25" s="145">
        <f>IF(OR(GradeSheet!$M20="W (Withdrawn)", GradeSheet!$M20="I (Incomplete)"), 0, IF(AX25&gt;=65%, 1, 0))</f>
        <v>0</v>
      </c>
      <c r="BK25" s="145">
        <f>IF(OR(GradeSheet!$M20="W (Withdrawn)", GradeSheet!$M20="I (Incomplete)"), 0, IF(AY25&gt;=65%, 1, 0))</f>
        <v>0</v>
      </c>
      <c r="BL25" s="145">
        <f>IF(OR(GradeSheet!$M20="W (Withdrawn)", GradeSheet!$M20="I (Incomplete)"), 0, IF(AZ25&gt;=65%, 1, 0))</f>
        <v>0</v>
      </c>
      <c r="BM25" s="145">
        <f>IF(OR(GradeSheet!$M20="W (Withdrawn)", GradeSheet!$M20="I (Incomplete)"), 0, IF(BA25&gt;=65%, 1, 0))</f>
        <v>0</v>
      </c>
      <c r="BN25" s="145">
        <f>IF(OR(GradeSheet!$M20="W (Withdrawn)", GradeSheet!$M20="I (Incomplete)"), 0, IF(BB25&gt;=65%, 1, 0))</f>
        <v>0</v>
      </c>
      <c r="BO25" s="145">
        <f>IF(OR(GradeSheet!$M20="W (Withdrawn)", GradeSheet!$M20="I (Incomplete)"), 0, IF(BC25&gt;=65%, 1, 0))</f>
        <v>0</v>
      </c>
      <c r="BP25" s="145">
        <f>IF(OR(GradeSheet!$M20="W (Withdrawn)", GradeSheet!$M20="I (Incomplete)"), 0, IF(BD25&gt;=65%, 1, 0))</f>
        <v>0</v>
      </c>
      <c r="BQ25" s="145">
        <f>IF(OR(GradeSheet!$M20="W (Withdrawn)", GradeSheet!$M20="I (Incomplete)"), 0, IF(BE25&gt;=65%, 1, 0))</f>
        <v>0</v>
      </c>
      <c r="BR25" s="145">
        <f>IF(OR(GradeSheet!$M20="W (Withdrawn)", GradeSheet!$M20="I (Incomplete)"), 0, IF(BF25&gt;=65%, 1, 0))</f>
        <v>0</v>
      </c>
    </row>
    <row r="26" spans="1:70" ht="15.75" customHeight="1">
      <c r="A26" s="147">
        <v>12</v>
      </c>
      <c r="B26" s="22"/>
      <c r="C26" s="30"/>
      <c r="D26" s="137"/>
      <c r="E26" s="137"/>
      <c r="F26" s="138"/>
      <c r="G26" s="138"/>
      <c r="H26" s="138"/>
      <c r="I26" s="138"/>
      <c r="J26" s="137"/>
      <c r="K26" s="137"/>
      <c r="L26" s="137"/>
      <c r="M26" s="138"/>
      <c r="N26" s="138"/>
      <c r="O26" s="138"/>
      <c r="P26" s="139"/>
      <c r="Q26" s="140"/>
      <c r="R26" s="140"/>
      <c r="S26" s="140"/>
      <c r="T26" s="140"/>
      <c r="U26" s="141"/>
      <c r="V26" s="139"/>
      <c r="W26" s="140"/>
      <c r="X26" s="140"/>
      <c r="Y26" s="140"/>
      <c r="Z26" s="140"/>
      <c r="AA26" s="141"/>
      <c r="AB26" s="142">
        <f t="shared" ref="AB26:AE26" si="36">SUM(V26,D26,J26)</f>
        <v>0</v>
      </c>
      <c r="AC26" s="143">
        <f t="shared" si="36"/>
        <v>0</v>
      </c>
      <c r="AD26" s="143">
        <f t="shared" si="36"/>
        <v>0</v>
      </c>
      <c r="AE26" s="148">
        <f t="shared" si="36"/>
        <v>0</v>
      </c>
      <c r="AF26" s="143">
        <f t="shared" si="8"/>
        <v>0</v>
      </c>
      <c r="AG26" s="148">
        <f t="shared" si="9"/>
        <v>0</v>
      </c>
      <c r="AH26" s="144">
        <f t="shared" ref="AH26:AM26" si="37">IF(AB26 = 0, 0, AB26/AB$14)</f>
        <v>0</v>
      </c>
      <c r="AI26" s="144">
        <f t="shared" si="37"/>
        <v>0</v>
      </c>
      <c r="AJ26" s="144">
        <f t="shared" si="37"/>
        <v>0</v>
      </c>
      <c r="AK26" s="144">
        <f t="shared" si="37"/>
        <v>0</v>
      </c>
      <c r="AL26" s="144">
        <f t="shared" si="37"/>
        <v>0</v>
      </c>
      <c r="AM26" s="144">
        <f t="shared" si="37"/>
        <v>0</v>
      </c>
      <c r="AN26" s="145">
        <v>1</v>
      </c>
      <c r="AO26" s="145">
        <f>IF(OR(GradeSheet!$M21="W (Withdrawn)", GradeSheet!$M21="I (Incomplete)"), 0, IF(AI26&gt;=55%, 1, 0))</f>
        <v>0</v>
      </c>
      <c r="AP26" s="145">
        <f>IF(OR(GradeSheet!$M21="W (Withdrawn)", GradeSheet!$M21="I (Incomplete)"), 0, IF(AJ26&gt;=55%, 1, 0))</f>
        <v>0</v>
      </c>
      <c r="AQ26" s="145">
        <f>IF(OR(GradeSheet!$M21="W (Withdrawn)", GradeSheet!$M21="I (Incomplete)"), 0, IF(AK26&gt;=55%, 1, 0))</f>
        <v>0</v>
      </c>
      <c r="AR26" s="145">
        <f>IF(OR(GradeSheet!$M21="W (Withdrawn)", GradeSheet!$M21="I (Incomplete)"), 0, IF(AL26&gt;=55%, 1, 0))</f>
        <v>0</v>
      </c>
      <c r="AS26" s="145">
        <f>IF(OR(GradeSheet!$M21="W (Withdrawn)", GradeSheet!$M21="I (Incomplete)"), 0, IF(AM26&gt;=55%, 1, 0))</f>
        <v>0</v>
      </c>
      <c r="AT26" s="122"/>
      <c r="AU26" s="146">
        <f t="shared" si="11"/>
        <v>0</v>
      </c>
      <c r="AV26" s="146">
        <f t="shared" si="12"/>
        <v>0</v>
      </c>
      <c r="AW26" s="146">
        <f t="array" ref="AW26">IF($AV$9=0,0,MMULT($AH26:$AM26, AV$3:AV$8)/$AV$9)</f>
        <v>0</v>
      </c>
      <c r="AX26" s="146">
        <f t="array" ref="AX26">IF($AW$9=0,0,MMULT($AH26:$AM26, AW$3:AW$8)/$AW$9)</f>
        <v>0</v>
      </c>
      <c r="AY26" s="146">
        <f t="shared" si="13"/>
        <v>0</v>
      </c>
      <c r="AZ26" s="146">
        <f t="array" ref="AZ26">IF($AY$9=0,0,MMULT($AH26:$AM26, AY$3:AY$8)/$AY$9)</f>
        <v>0</v>
      </c>
      <c r="BA26" s="146">
        <f t="array" ref="BA26">IF($AZ$9=0,0,MMULT($AH26:$AM26, AZ$3:AZ$8)/$AZ$9)</f>
        <v>0</v>
      </c>
      <c r="BB26" s="146">
        <f t="array" ref="BB26">IF($BA$9=0,0,MMULT($AH26:$AM26, BA$3:BA$8)/$BA$9)</f>
        <v>0</v>
      </c>
      <c r="BC26" s="146">
        <f t="array" ref="BC26">IF($BB$9=0,0,MMULT($AH26:$AM26, BB$3:BB$8)/$BB$9)</f>
        <v>0</v>
      </c>
      <c r="BD26" s="146">
        <f t="array" ref="BD26">IF($BC$9=0,0,MMULT($AH26:$AM26, BC$3:BC$8)/$BC$9)</f>
        <v>0</v>
      </c>
      <c r="BE26" s="146">
        <f t="shared" si="14"/>
        <v>0</v>
      </c>
      <c r="BF26" s="146">
        <f t="shared" si="15"/>
        <v>0</v>
      </c>
      <c r="BG26" s="145">
        <f>IF(OR(GradeSheet!$M21="W (Withdrawn)", GradeSheet!$M21="I (Incomplete)"), 0, IF(AU26&gt;=65%, 1, 0))</f>
        <v>0</v>
      </c>
      <c r="BH26" s="145">
        <f>IF(OR(GradeSheet!$M21="W (Withdrawn)", GradeSheet!$M21="I (Incomplete)"), 0, IF(AV26&gt;=65%, 1, 0))</f>
        <v>0</v>
      </c>
      <c r="BI26" s="145">
        <f>IF(OR(GradeSheet!$M21="W (Withdrawn)", GradeSheet!$M21="I (Incomplete)"), 0, IF(AW26&gt;=65%, 1, 0))</f>
        <v>0</v>
      </c>
      <c r="BJ26" s="145">
        <f>IF(OR(GradeSheet!$M21="W (Withdrawn)", GradeSheet!$M21="I (Incomplete)"), 0, IF(AX26&gt;=65%, 1, 0))</f>
        <v>0</v>
      </c>
      <c r="BK26" s="145">
        <f>IF(OR(GradeSheet!$M21="W (Withdrawn)", GradeSheet!$M21="I (Incomplete)"), 0, IF(AY26&gt;=65%, 1, 0))</f>
        <v>0</v>
      </c>
      <c r="BL26" s="145">
        <f>IF(OR(GradeSheet!$M21="W (Withdrawn)", GradeSheet!$M21="I (Incomplete)"), 0, IF(AZ26&gt;=65%, 1, 0))</f>
        <v>0</v>
      </c>
      <c r="BM26" s="145">
        <f>IF(OR(GradeSheet!$M21="W (Withdrawn)", GradeSheet!$M21="I (Incomplete)"), 0, IF(BA26&gt;=65%, 1, 0))</f>
        <v>0</v>
      </c>
      <c r="BN26" s="145">
        <f>IF(OR(GradeSheet!$M21="W (Withdrawn)", GradeSheet!$M21="I (Incomplete)"), 0, IF(BB26&gt;=65%, 1, 0))</f>
        <v>0</v>
      </c>
      <c r="BO26" s="145">
        <f>IF(OR(GradeSheet!$M21="W (Withdrawn)", GradeSheet!$M21="I (Incomplete)"), 0, IF(BC26&gt;=65%, 1, 0))</f>
        <v>0</v>
      </c>
      <c r="BP26" s="145">
        <f>IF(OR(GradeSheet!$M21="W (Withdrawn)", GradeSheet!$M21="I (Incomplete)"), 0, IF(BD26&gt;=65%, 1, 0))</f>
        <v>0</v>
      </c>
      <c r="BQ26" s="145">
        <f>IF(OR(GradeSheet!$M21="W (Withdrawn)", GradeSheet!$M21="I (Incomplete)"), 0, IF(BE26&gt;=65%, 1, 0))</f>
        <v>0</v>
      </c>
      <c r="BR26" s="145">
        <f>IF(OR(GradeSheet!$M21="W (Withdrawn)", GradeSheet!$M21="I (Incomplete)"), 0, IF(BF26&gt;=65%, 1, 0))</f>
        <v>0</v>
      </c>
    </row>
    <row r="27" spans="1:70" ht="15.75" customHeight="1">
      <c r="A27" s="136">
        <v>13</v>
      </c>
      <c r="B27" s="22"/>
      <c r="C27" s="30"/>
      <c r="D27" s="137"/>
      <c r="E27" s="137"/>
      <c r="F27" s="138"/>
      <c r="G27" s="138"/>
      <c r="H27" s="138"/>
      <c r="I27" s="138"/>
      <c r="J27" s="137"/>
      <c r="K27" s="137"/>
      <c r="L27" s="137"/>
      <c r="M27" s="138"/>
      <c r="N27" s="138"/>
      <c r="O27" s="138"/>
      <c r="P27" s="139"/>
      <c r="Q27" s="140"/>
      <c r="R27" s="140"/>
      <c r="S27" s="140"/>
      <c r="T27" s="140"/>
      <c r="U27" s="141"/>
      <c r="V27" s="139"/>
      <c r="W27" s="140"/>
      <c r="X27" s="140"/>
      <c r="Y27" s="140"/>
      <c r="Z27" s="140"/>
      <c r="AA27" s="141"/>
      <c r="AB27" s="142">
        <f t="shared" ref="AB27:AE27" si="38">SUM(V27,D27,J27)</f>
        <v>0</v>
      </c>
      <c r="AC27" s="143">
        <f t="shared" si="38"/>
        <v>0</v>
      </c>
      <c r="AD27" s="143">
        <f t="shared" si="38"/>
        <v>0</v>
      </c>
      <c r="AE27" s="148">
        <f t="shared" si="38"/>
        <v>0</v>
      </c>
      <c r="AF27" s="143">
        <f t="shared" si="8"/>
        <v>0</v>
      </c>
      <c r="AG27" s="148">
        <f t="shared" si="9"/>
        <v>0</v>
      </c>
      <c r="AH27" s="144">
        <f t="shared" ref="AH27:AM27" si="39">IF(AB27 = 0, 0, AB27/AB$14)</f>
        <v>0</v>
      </c>
      <c r="AI27" s="144">
        <f t="shared" si="39"/>
        <v>0</v>
      </c>
      <c r="AJ27" s="144">
        <f t="shared" si="39"/>
        <v>0</v>
      </c>
      <c r="AK27" s="144">
        <f t="shared" si="39"/>
        <v>0</v>
      </c>
      <c r="AL27" s="144">
        <f t="shared" si="39"/>
        <v>0</v>
      </c>
      <c r="AM27" s="144">
        <f t="shared" si="39"/>
        <v>0</v>
      </c>
      <c r="AN27" s="145">
        <f>IF(OR(GradeSheet!$M22="W (Withdrawn)", GradeSheet!$M22="I (Incomplete)"), 0, IF(AH27&gt;=55%, 1, 0))</f>
        <v>0</v>
      </c>
      <c r="AO27" s="145">
        <f>IF(OR(GradeSheet!$M22="W (Withdrawn)", GradeSheet!$M22="I (Incomplete)"), 0, IF(AI27&gt;=55%, 1, 0))</f>
        <v>0</v>
      </c>
      <c r="AP27" s="145">
        <f>IF(OR(GradeSheet!$M22="W (Withdrawn)", GradeSheet!$M22="I (Incomplete)"), 0, IF(AJ27&gt;=55%, 1, 0))</f>
        <v>0</v>
      </c>
      <c r="AQ27" s="145">
        <f>IF(OR(GradeSheet!$M22="W (Withdrawn)", GradeSheet!$M22="I (Incomplete)"), 0, IF(AK27&gt;=55%, 1, 0))</f>
        <v>0</v>
      </c>
      <c r="AR27" s="145">
        <f>IF(OR(GradeSheet!$M22="W (Withdrawn)", GradeSheet!$M22="I (Incomplete)"), 0, IF(AL27&gt;=55%, 1, 0))</f>
        <v>0</v>
      </c>
      <c r="AS27" s="145">
        <f>IF(OR(GradeSheet!$M22="W (Withdrawn)", GradeSheet!$M22="I (Incomplete)"), 0, IF(AM27&gt;=55%, 1, 0))</f>
        <v>0</v>
      </c>
      <c r="AT27" s="122"/>
      <c r="AU27" s="146">
        <f t="shared" si="11"/>
        <v>0</v>
      </c>
      <c r="AV27" s="146">
        <f t="shared" si="12"/>
        <v>0</v>
      </c>
      <c r="AW27" s="146">
        <f t="array" ref="AW27">IF($AV$9=0,0,MMULT($AH27:$AM27, AV$3:AV$8)/$AV$9)</f>
        <v>0</v>
      </c>
      <c r="AX27" s="146">
        <f t="array" ref="AX27">IF($AW$9=0,0,MMULT($AH27:$AM27, AW$3:AW$8)/$AW$9)</f>
        <v>0</v>
      </c>
      <c r="AY27" s="146">
        <f t="shared" si="13"/>
        <v>0</v>
      </c>
      <c r="AZ27" s="146">
        <f t="array" ref="AZ27">IF($AY$9=0,0,MMULT($AH27:$AM27, AY$3:AY$8)/$AY$9)</f>
        <v>0</v>
      </c>
      <c r="BA27" s="146">
        <f t="array" ref="BA27">IF($AZ$9=0,0,MMULT($AH27:$AM27, AZ$3:AZ$8)/$AZ$9)</f>
        <v>0</v>
      </c>
      <c r="BB27" s="146">
        <f t="array" ref="BB27">IF($BA$9=0,0,MMULT($AH27:$AM27, BA$3:BA$8)/$BA$9)</f>
        <v>0</v>
      </c>
      <c r="BC27" s="146">
        <f t="array" ref="BC27">IF($BB$9=0,0,MMULT($AH27:$AM27, BB$3:BB$8)/$BB$9)</f>
        <v>0</v>
      </c>
      <c r="BD27" s="146">
        <f t="array" ref="BD27">IF($BC$9=0,0,MMULT($AH27:$AM27, BC$3:BC$8)/$BC$9)</f>
        <v>0</v>
      </c>
      <c r="BE27" s="146">
        <f t="shared" si="14"/>
        <v>0</v>
      </c>
      <c r="BF27" s="146">
        <f t="shared" si="15"/>
        <v>0</v>
      </c>
      <c r="BG27" s="145">
        <f>IF(OR(GradeSheet!$M22="W (Withdrawn)", GradeSheet!$M22="I (Incomplete)"), 0, IF(AU27&gt;=65%, 1, 0))</f>
        <v>0</v>
      </c>
      <c r="BH27" s="145">
        <f>IF(OR(GradeSheet!$M22="W (Withdrawn)", GradeSheet!$M22="I (Incomplete)"), 0, IF(AV27&gt;=65%, 1, 0))</f>
        <v>0</v>
      </c>
      <c r="BI27" s="145">
        <f>IF(OR(GradeSheet!$M22="W (Withdrawn)", GradeSheet!$M22="I (Incomplete)"), 0, IF(AW27&gt;=65%, 1, 0))</f>
        <v>0</v>
      </c>
      <c r="BJ27" s="145">
        <f>IF(OR(GradeSheet!$M22="W (Withdrawn)", GradeSheet!$M22="I (Incomplete)"), 0, IF(AX27&gt;=65%, 1, 0))</f>
        <v>0</v>
      </c>
      <c r="BK27" s="145">
        <f>IF(OR(GradeSheet!$M22="W (Withdrawn)", GradeSheet!$M22="I (Incomplete)"), 0, IF(AY27&gt;=65%, 1, 0))</f>
        <v>0</v>
      </c>
      <c r="BL27" s="145">
        <f>IF(OR(GradeSheet!$M22="W (Withdrawn)", GradeSheet!$M22="I (Incomplete)"), 0, IF(AZ27&gt;=65%, 1, 0))</f>
        <v>0</v>
      </c>
      <c r="BM27" s="145">
        <f>IF(OR(GradeSheet!$M22="W (Withdrawn)", GradeSheet!$M22="I (Incomplete)"), 0, IF(BA27&gt;=65%, 1, 0))</f>
        <v>0</v>
      </c>
      <c r="BN27" s="145">
        <f>IF(OR(GradeSheet!$M22="W (Withdrawn)", GradeSheet!$M22="I (Incomplete)"), 0, IF(BB27&gt;=65%, 1, 0))</f>
        <v>0</v>
      </c>
      <c r="BO27" s="145">
        <f>IF(OR(GradeSheet!$M22="W (Withdrawn)", GradeSheet!$M22="I (Incomplete)"), 0, IF(BC27&gt;=65%, 1, 0))</f>
        <v>0</v>
      </c>
      <c r="BP27" s="145">
        <f>IF(OR(GradeSheet!$M22="W (Withdrawn)", GradeSheet!$M22="I (Incomplete)"), 0, IF(BD27&gt;=65%, 1, 0))</f>
        <v>0</v>
      </c>
      <c r="BQ27" s="145">
        <f>IF(OR(GradeSheet!$M22="W (Withdrawn)", GradeSheet!$M22="I (Incomplete)"), 0, IF(BE27&gt;=65%, 1, 0))</f>
        <v>0</v>
      </c>
      <c r="BR27" s="145">
        <f>IF(OR(GradeSheet!$M22="W (Withdrawn)", GradeSheet!$M22="I (Incomplete)"), 0, IF(BF27&gt;=65%, 1, 0))</f>
        <v>0</v>
      </c>
    </row>
    <row r="28" spans="1:70" ht="15.75" customHeight="1">
      <c r="A28" s="147">
        <v>14</v>
      </c>
      <c r="B28" s="22"/>
      <c r="C28" s="30"/>
      <c r="D28" s="137"/>
      <c r="E28" s="137"/>
      <c r="F28" s="138"/>
      <c r="G28" s="138"/>
      <c r="H28" s="138"/>
      <c r="I28" s="138"/>
      <c r="J28" s="137"/>
      <c r="K28" s="137"/>
      <c r="L28" s="137"/>
      <c r="M28" s="138"/>
      <c r="N28" s="138"/>
      <c r="O28" s="138"/>
      <c r="P28" s="139"/>
      <c r="Q28" s="140"/>
      <c r="R28" s="140"/>
      <c r="S28" s="140"/>
      <c r="T28" s="140"/>
      <c r="U28" s="141"/>
      <c r="V28" s="139"/>
      <c r="W28" s="140"/>
      <c r="X28" s="140"/>
      <c r="Y28" s="140"/>
      <c r="Z28" s="140"/>
      <c r="AA28" s="141"/>
      <c r="AB28" s="142">
        <f t="shared" ref="AB28:AE28" si="40">SUM(V28,D28,J28)</f>
        <v>0</v>
      </c>
      <c r="AC28" s="143">
        <f t="shared" si="40"/>
        <v>0</v>
      </c>
      <c r="AD28" s="148">
        <f t="shared" si="40"/>
        <v>0</v>
      </c>
      <c r="AE28" s="148">
        <f t="shared" si="40"/>
        <v>0</v>
      </c>
      <c r="AF28" s="143">
        <f t="shared" si="8"/>
        <v>0</v>
      </c>
      <c r="AG28" s="148">
        <f t="shared" si="9"/>
        <v>0</v>
      </c>
      <c r="AH28" s="144">
        <f t="shared" ref="AH28:AM28" si="41">IF(AB28 = 0, 0, AB28/AB$14)</f>
        <v>0</v>
      </c>
      <c r="AI28" s="144">
        <f t="shared" si="41"/>
        <v>0</v>
      </c>
      <c r="AJ28" s="144">
        <f t="shared" si="41"/>
        <v>0</v>
      </c>
      <c r="AK28" s="144">
        <f t="shared" si="41"/>
        <v>0</v>
      </c>
      <c r="AL28" s="144">
        <f t="shared" si="41"/>
        <v>0</v>
      </c>
      <c r="AM28" s="144">
        <f t="shared" si="41"/>
        <v>0</v>
      </c>
      <c r="AN28" s="145">
        <f>IF(OR(GradeSheet!$M23="W (Withdrawn)", GradeSheet!$M23="I (Incomplete)"), 0, IF(AH28&gt;=55%, 1, 0))</f>
        <v>0</v>
      </c>
      <c r="AO28" s="145">
        <f>IF(OR(GradeSheet!$M23="W (Withdrawn)", GradeSheet!$M23="I (Incomplete)"), 0, IF(AI28&gt;=55%, 1, 0))</f>
        <v>0</v>
      </c>
      <c r="AP28" s="145">
        <f>IF(OR(GradeSheet!$M23="W (Withdrawn)", GradeSheet!$M23="I (Incomplete)"), 0, IF(AJ28&gt;=55%, 1, 0))</f>
        <v>0</v>
      </c>
      <c r="AQ28" s="145">
        <f>IF(OR(GradeSheet!$M23="W (Withdrawn)", GradeSheet!$M23="I (Incomplete)"), 0, IF(AK28&gt;=55%, 1, 0))</f>
        <v>0</v>
      </c>
      <c r="AR28" s="145">
        <f>IF(OR(GradeSheet!$M23="W (Withdrawn)", GradeSheet!$M23="I (Incomplete)"), 0, IF(AL28&gt;=55%, 1, 0))</f>
        <v>0</v>
      </c>
      <c r="AS28" s="145">
        <f>IF(OR(GradeSheet!$M23="W (Withdrawn)", GradeSheet!$M23="I (Incomplete)"), 0, IF(AM28&gt;=55%, 1, 0))</f>
        <v>0</v>
      </c>
      <c r="AT28" s="122"/>
      <c r="AU28" s="146">
        <f t="shared" si="11"/>
        <v>0</v>
      </c>
      <c r="AV28" s="146">
        <f t="shared" si="12"/>
        <v>0</v>
      </c>
      <c r="AW28" s="146">
        <f t="array" ref="AW28">IF($AV$9=0,0,MMULT($AH28:$AM28, AV$3:AV$8)/$AV$9)</f>
        <v>0</v>
      </c>
      <c r="AX28" s="146">
        <f t="array" ref="AX28">IF($AW$9=0,0,MMULT($AH28:$AM28, AW$3:AW$8)/$AW$9)</f>
        <v>0</v>
      </c>
      <c r="AY28" s="146">
        <f t="shared" si="13"/>
        <v>0</v>
      </c>
      <c r="AZ28" s="146">
        <f t="array" ref="AZ28">IF($AY$9=0,0,MMULT($AH28:$AM28, AY$3:AY$8)/$AY$9)</f>
        <v>0</v>
      </c>
      <c r="BA28" s="146">
        <f t="array" ref="BA28">IF($AZ$9=0,0,MMULT($AH28:$AM28, AZ$3:AZ$8)/$AZ$9)</f>
        <v>0</v>
      </c>
      <c r="BB28" s="146">
        <f t="array" ref="BB28">IF($BA$9=0,0,MMULT($AH28:$AM28, BA$3:BA$8)/$BA$9)</f>
        <v>0</v>
      </c>
      <c r="BC28" s="146">
        <f t="array" ref="BC28">IF($BB$9=0,0,MMULT($AH28:$AM28, BB$3:BB$8)/$BB$9)</f>
        <v>0</v>
      </c>
      <c r="BD28" s="146">
        <f t="array" ref="BD28">IF($BC$9=0,0,MMULT($AH28:$AM28, BC$3:BC$8)/$BC$9)</f>
        <v>0</v>
      </c>
      <c r="BE28" s="146">
        <f t="shared" si="14"/>
        <v>0</v>
      </c>
      <c r="BF28" s="146">
        <f t="shared" si="15"/>
        <v>0</v>
      </c>
      <c r="BG28" s="145">
        <f>IF(OR(GradeSheet!$M23="W (Withdrawn)", GradeSheet!$M23="I (Incomplete)"), 0, IF(AU28&gt;=65%, 1, 0))</f>
        <v>0</v>
      </c>
      <c r="BH28" s="145">
        <f>IF(OR(GradeSheet!$M23="W (Withdrawn)", GradeSheet!$M23="I (Incomplete)"), 0, IF(AV28&gt;=65%, 1, 0))</f>
        <v>0</v>
      </c>
      <c r="BI28" s="145">
        <f>IF(OR(GradeSheet!$M23="W (Withdrawn)", GradeSheet!$M23="I (Incomplete)"), 0, IF(AW28&gt;=65%, 1, 0))</f>
        <v>0</v>
      </c>
      <c r="BJ28" s="145">
        <f>IF(OR(GradeSheet!$M23="W (Withdrawn)", GradeSheet!$M23="I (Incomplete)"), 0, IF(AX28&gt;=65%, 1, 0))</f>
        <v>0</v>
      </c>
      <c r="BK28" s="145">
        <f>IF(OR(GradeSheet!$M23="W (Withdrawn)", GradeSheet!$M23="I (Incomplete)"), 0, IF(AY28&gt;=65%, 1, 0))</f>
        <v>0</v>
      </c>
      <c r="BL28" s="145">
        <f>IF(OR(GradeSheet!$M23="W (Withdrawn)", GradeSheet!$M23="I (Incomplete)"), 0, IF(AZ28&gt;=65%, 1, 0))</f>
        <v>0</v>
      </c>
      <c r="BM28" s="145">
        <f>IF(OR(GradeSheet!$M23="W (Withdrawn)", GradeSheet!$M23="I (Incomplete)"), 0, IF(BA28&gt;=65%, 1, 0))</f>
        <v>0</v>
      </c>
      <c r="BN28" s="145">
        <f>IF(OR(GradeSheet!$M23="W (Withdrawn)", GradeSheet!$M23="I (Incomplete)"), 0, IF(BB28&gt;=65%, 1, 0))</f>
        <v>0</v>
      </c>
      <c r="BO28" s="145">
        <f>IF(OR(GradeSheet!$M23="W (Withdrawn)", GradeSheet!$M23="I (Incomplete)"), 0, IF(BC28&gt;=65%, 1, 0))</f>
        <v>0</v>
      </c>
      <c r="BP28" s="145">
        <f>IF(OR(GradeSheet!$M23="W (Withdrawn)", GradeSheet!$M23="I (Incomplete)"), 0, IF(BD28&gt;=65%, 1, 0))</f>
        <v>0</v>
      </c>
      <c r="BQ28" s="145">
        <f>IF(OR(GradeSheet!$M23="W (Withdrawn)", GradeSheet!$M23="I (Incomplete)"), 0, IF(BE28&gt;=65%, 1, 0))</f>
        <v>0</v>
      </c>
      <c r="BR28" s="145">
        <f>IF(OR(GradeSheet!$M23="W (Withdrawn)", GradeSheet!$M23="I (Incomplete)"), 0, IF(BF28&gt;=65%, 1, 0))</f>
        <v>0</v>
      </c>
    </row>
    <row r="29" spans="1:70" ht="15.75" customHeight="1">
      <c r="A29" s="136">
        <v>15</v>
      </c>
      <c r="B29" s="22"/>
      <c r="C29" s="30"/>
      <c r="D29" s="137"/>
      <c r="E29" s="137"/>
      <c r="F29" s="138"/>
      <c r="G29" s="138"/>
      <c r="H29" s="138"/>
      <c r="I29" s="138"/>
      <c r="J29" s="137"/>
      <c r="K29" s="137"/>
      <c r="L29" s="137"/>
      <c r="M29" s="138"/>
      <c r="N29" s="138"/>
      <c r="O29" s="138"/>
      <c r="P29" s="139"/>
      <c r="Q29" s="140"/>
      <c r="R29" s="140"/>
      <c r="S29" s="140"/>
      <c r="T29" s="140"/>
      <c r="U29" s="141"/>
      <c r="V29" s="139"/>
      <c r="W29" s="140"/>
      <c r="X29" s="140"/>
      <c r="Y29" s="140"/>
      <c r="Z29" s="140"/>
      <c r="AA29" s="141"/>
      <c r="AB29" s="142">
        <f t="shared" ref="AB29:AE29" si="42">SUM(V29,D29,J29)</f>
        <v>0</v>
      </c>
      <c r="AC29" s="143">
        <f t="shared" si="42"/>
        <v>0</v>
      </c>
      <c r="AD29" s="148">
        <f t="shared" si="42"/>
        <v>0</v>
      </c>
      <c r="AE29" s="148">
        <f t="shared" si="42"/>
        <v>0</v>
      </c>
      <c r="AF29" s="143">
        <f t="shared" si="8"/>
        <v>0</v>
      </c>
      <c r="AG29" s="148">
        <f t="shared" si="9"/>
        <v>0</v>
      </c>
      <c r="AH29" s="144">
        <f t="shared" ref="AH29:AM29" si="43">IF(AB29 = 0, 0, AB29/AB$14)</f>
        <v>0</v>
      </c>
      <c r="AI29" s="144">
        <f t="shared" si="43"/>
        <v>0</v>
      </c>
      <c r="AJ29" s="144">
        <f t="shared" si="43"/>
        <v>0</v>
      </c>
      <c r="AK29" s="144">
        <f t="shared" si="43"/>
        <v>0</v>
      </c>
      <c r="AL29" s="144">
        <f t="shared" si="43"/>
        <v>0</v>
      </c>
      <c r="AM29" s="144">
        <f t="shared" si="43"/>
        <v>0</v>
      </c>
      <c r="AN29" s="145">
        <f>IF(OR(GradeSheet!$M24="W (Withdrawn)", GradeSheet!$M24="I (Incomplete)"), 0, IF(AH29&gt;=55%, 1, 0))</f>
        <v>0</v>
      </c>
      <c r="AO29" s="145">
        <f>IF(OR(GradeSheet!$M24="W (Withdrawn)", GradeSheet!$M24="I (Incomplete)"), 0, IF(AI29&gt;=55%, 1, 0))</f>
        <v>0</v>
      </c>
      <c r="AP29" s="145">
        <f>IF(OR(GradeSheet!$M24="W (Withdrawn)", GradeSheet!$M24="I (Incomplete)"), 0, IF(AJ29&gt;=55%, 1, 0))</f>
        <v>0</v>
      </c>
      <c r="AQ29" s="145">
        <f>IF(OR(GradeSheet!$M24="W (Withdrawn)", GradeSheet!$M24="I (Incomplete)"), 0, IF(AK29&gt;=55%, 1, 0))</f>
        <v>0</v>
      </c>
      <c r="AR29" s="145">
        <f>IF(OR(GradeSheet!$M24="W (Withdrawn)", GradeSheet!$M24="I (Incomplete)"), 0, IF(AL29&gt;=55%, 1, 0))</f>
        <v>0</v>
      </c>
      <c r="AS29" s="145">
        <f>IF(OR(GradeSheet!$M24="W (Withdrawn)", GradeSheet!$M24="I (Incomplete)"), 0, IF(AM29&gt;=55%, 1, 0))</f>
        <v>0</v>
      </c>
      <c r="AT29" s="122"/>
      <c r="AU29" s="146">
        <f t="shared" si="11"/>
        <v>0</v>
      </c>
      <c r="AV29" s="146">
        <f t="shared" si="12"/>
        <v>0</v>
      </c>
      <c r="AW29" s="146">
        <f t="array" ref="AW29">IF($AV$9=0,0,MMULT($AH29:$AM29, AV$3:AV$8)/$AV$9)</f>
        <v>0</v>
      </c>
      <c r="AX29" s="146">
        <f t="array" ref="AX29">IF($AW$9=0,0,MMULT($AH29:$AM29, AW$3:AW$8)/$AW$9)</f>
        <v>0</v>
      </c>
      <c r="AY29" s="146">
        <f t="shared" si="13"/>
        <v>0</v>
      </c>
      <c r="AZ29" s="146">
        <f t="array" ref="AZ29">IF($AY$9=0,0,MMULT($AH29:$AM29, AY$3:AY$8)/$AY$9)</f>
        <v>0</v>
      </c>
      <c r="BA29" s="146">
        <f t="array" ref="BA29">IF($AZ$9=0,0,MMULT($AH29:$AM29, AZ$3:AZ$8)/$AZ$9)</f>
        <v>0</v>
      </c>
      <c r="BB29" s="146">
        <f t="array" ref="BB29">IF($BA$9=0,0,MMULT($AH29:$AM29, BA$3:BA$8)/$BA$9)</f>
        <v>0</v>
      </c>
      <c r="BC29" s="146">
        <f t="array" ref="BC29">IF($BB$9=0,0,MMULT($AH29:$AM29, BB$3:BB$8)/$BB$9)</f>
        <v>0</v>
      </c>
      <c r="BD29" s="146">
        <f t="array" ref="BD29">IF($BC$9=0,0,MMULT($AH29:$AM29, BC$3:BC$8)/$BC$9)</f>
        <v>0</v>
      </c>
      <c r="BE29" s="146">
        <f t="shared" si="14"/>
        <v>0</v>
      </c>
      <c r="BF29" s="146">
        <f t="shared" si="15"/>
        <v>0</v>
      </c>
      <c r="BG29" s="145">
        <f>IF(OR(GradeSheet!$M24="W (Withdrawn)", GradeSheet!$M24="I (Incomplete)"), 0, IF(AU29&gt;=65%, 1, 0))</f>
        <v>0</v>
      </c>
      <c r="BH29" s="145">
        <f>IF(OR(GradeSheet!$M24="W (Withdrawn)", GradeSheet!$M24="I (Incomplete)"), 0, IF(AV29&gt;=65%, 1, 0))</f>
        <v>0</v>
      </c>
      <c r="BI29" s="145">
        <f>IF(OR(GradeSheet!$M24="W (Withdrawn)", GradeSheet!$M24="I (Incomplete)"), 0, IF(AW29&gt;=65%, 1, 0))</f>
        <v>0</v>
      </c>
      <c r="BJ29" s="145">
        <f>IF(OR(GradeSheet!$M24="W (Withdrawn)", GradeSheet!$M24="I (Incomplete)"), 0, IF(AX29&gt;=65%, 1, 0))</f>
        <v>0</v>
      </c>
      <c r="BK29" s="145">
        <f>IF(OR(GradeSheet!$M24="W (Withdrawn)", GradeSheet!$M24="I (Incomplete)"), 0, IF(AY29&gt;=65%, 1, 0))</f>
        <v>0</v>
      </c>
      <c r="BL29" s="145">
        <f>IF(OR(GradeSheet!$M24="W (Withdrawn)", GradeSheet!$M24="I (Incomplete)"), 0, IF(AZ29&gt;=65%, 1, 0))</f>
        <v>0</v>
      </c>
      <c r="BM29" s="145">
        <f>IF(OR(GradeSheet!$M24="W (Withdrawn)", GradeSheet!$M24="I (Incomplete)"), 0, IF(BA29&gt;=65%, 1, 0))</f>
        <v>0</v>
      </c>
      <c r="BN29" s="145">
        <f>IF(OR(GradeSheet!$M24="W (Withdrawn)", GradeSheet!$M24="I (Incomplete)"), 0, IF(BB29&gt;=65%, 1, 0))</f>
        <v>0</v>
      </c>
      <c r="BO29" s="145">
        <f>IF(OR(GradeSheet!$M24="W (Withdrawn)", GradeSheet!$M24="I (Incomplete)"), 0, IF(BC29&gt;=65%, 1, 0))</f>
        <v>0</v>
      </c>
      <c r="BP29" s="145">
        <f>IF(OR(GradeSheet!$M24="W (Withdrawn)", GradeSheet!$M24="I (Incomplete)"), 0, IF(BD29&gt;=65%, 1, 0))</f>
        <v>0</v>
      </c>
      <c r="BQ29" s="145">
        <f>IF(OR(GradeSheet!$M24="W (Withdrawn)", GradeSheet!$M24="I (Incomplete)"), 0, IF(BE29&gt;=65%, 1, 0))</f>
        <v>0</v>
      </c>
      <c r="BR29" s="145">
        <f>IF(OR(GradeSheet!$M24="W (Withdrawn)", GradeSheet!$M24="I (Incomplete)"), 0, IF(BF29&gt;=65%, 1, 0))</f>
        <v>0</v>
      </c>
    </row>
    <row r="30" spans="1:70" ht="15.75" customHeight="1">
      <c r="A30" s="147">
        <v>16</v>
      </c>
      <c r="B30" s="22"/>
      <c r="C30" s="30"/>
      <c r="D30" s="137"/>
      <c r="E30" s="137"/>
      <c r="F30" s="138"/>
      <c r="G30" s="138"/>
      <c r="H30" s="138"/>
      <c r="I30" s="138"/>
      <c r="J30" s="137"/>
      <c r="K30" s="137"/>
      <c r="L30" s="137"/>
      <c r="M30" s="138"/>
      <c r="N30" s="138"/>
      <c r="O30" s="138"/>
      <c r="P30" s="139"/>
      <c r="Q30" s="140"/>
      <c r="R30" s="140"/>
      <c r="S30" s="140"/>
      <c r="T30" s="140"/>
      <c r="U30" s="141"/>
      <c r="V30" s="139"/>
      <c r="W30" s="140"/>
      <c r="X30" s="140"/>
      <c r="Y30" s="140"/>
      <c r="Z30" s="140"/>
      <c r="AA30" s="141"/>
      <c r="AB30" s="142">
        <f t="shared" ref="AB30:AE30" si="44">SUM(V30,D30,J30)</f>
        <v>0</v>
      </c>
      <c r="AC30" s="143">
        <f t="shared" si="44"/>
        <v>0</v>
      </c>
      <c r="AD30" s="148">
        <f t="shared" si="44"/>
        <v>0</v>
      </c>
      <c r="AE30" s="148">
        <f t="shared" si="44"/>
        <v>0</v>
      </c>
      <c r="AF30" s="143">
        <f t="shared" si="8"/>
        <v>0</v>
      </c>
      <c r="AG30" s="148">
        <f t="shared" si="9"/>
        <v>0</v>
      </c>
      <c r="AH30" s="144">
        <f t="shared" ref="AH30:AM30" si="45">IF(AB30 = 0, 0, AB30/AB$14)</f>
        <v>0</v>
      </c>
      <c r="AI30" s="144">
        <f t="shared" si="45"/>
        <v>0</v>
      </c>
      <c r="AJ30" s="144">
        <f t="shared" si="45"/>
        <v>0</v>
      </c>
      <c r="AK30" s="144">
        <f t="shared" si="45"/>
        <v>0</v>
      </c>
      <c r="AL30" s="144">
        <f t="shared" si="45"/>
        <v>0</v>
      </c>
      <c r="AM30" s="144">
        <f t="shared" si="45"/>
        <v>0</v>
      </c>
      <c r="AN30" s="145">
        <f>IF(OR(GradeSheet!$M25="W (Withdrawn)", GradeSheet!$M25="I (Incomplete)"), 0, IF(AH30&gt;=55%, 1, 0))</f>
        <v>0</v>
      </c>
      <c r="AO30" s="145">
        <f>IF(OR(GradeSheet!$M25="W (Withdrawn)", GradeSheet!$M25="I (Incomplete)"), 0, IF(AI30&gt;=55%, 1, 0))</f>
        <v>0</v>
      </c>
      <c r="AP30" s="145">
        <f>IF(OR(GradeSheet!$M25="W (Withdrawn)", GradeSheet!$M25="I (Incomplete)"), 0, IF(AJ30&gt;=55%, 1, 0))</f>
        <v>0</v>
      </c>
      <c r="AQ30" s="145">
        <f>IF(OR(GradeSheet!$M25="W (Withdrawn)", GradeSheet!$M25="I (Incomplete)"), 0, IF(AK30&gt;=55%, 1, 0))</f>
        <v>0</v>
      </c>
      <c r="AR30" s="145">
        <f>IF(OR(GradeSheet!$M25="W (Withdrawn)", GradeSheet!$M25="I (Incomplete)"), 0, IF(AL30&gt;=55%, 1, 0))</f>
        <v>0</v>
      </c>
      <c r="AS30" s="145">
        <f>IF(OR(GradeSheet!$M25="W (Withdrawn)", GradeSheet!$M25="I (Incomplete)"), 0, IF(AM30&gt;=55%, 1, 0))</f>
        <v>0</v>
      </c>
      <c r="AT30" s="122"/>
      <c r="AU30" s="146">
        <f t="shared" si="11"/>
        <v>0</v>
      </c>
      <c r="AV30" s="146">
        <f t="shared" si="12"/>
        <v>0</v>
      </c>
      <c r="AW30" s="146">
        <f t="array" ref="AW30">IF($AV$9=0,0,MMULT($AH30:$AM30, AV$3:AV$8)/$AV$9)</f>
        <v>0</v>
      </c>
      <c r="AX30" s="146">
        <f t="array" ref="AX30">IF($AW$9=0,0,MMULT($AH30:$AM30, AW$3:AW$8)/$AW$9)</f>
        <v>0</v>
      </c>
      <c r="AY30" s="146">
        <f t="shared" si="13"/>
        <v>0</v>
      </c>
      <c r="AZ30" s="146">
        <f t="array" ref="AZ30">IF($AY$9=0,0,MMULT($AH30:$AM30, AY$3:AY$8)/$AY$9)</f>
        <v>0</v>
      </c>
      <c r="BA30" s="146">
        <f t="array" ref="BA30">IF($AZ$9=0,0,MMULT($AH30:$AM30, AZ$3:AZ$8)/$AZ$9)</f>
        <v>0</v>
      </c>
      <c r="BB30" s="146">
        <f t="array" ref="BB30">IF($BA$9=0,0,MMULT($AH30:$AM30, BA$3:BA$8)/$BA$9)</f>
        <v>0</v>
      </c>
      <c r="BC30" s="146">
        <f t="array" ref="BC30">IF($BB$9=0,0,MMULT($AH30:$AM30, BB$3:BB$8)/$BB$9)</f>
        <v>0</v>
      </c>
      <c r="BD30" s="146">
        <f t="array" ref="BD30">IF($BC$9=0,0,MMULT($AH30:$AM30, BC$3:BC$8)/$BC$9)</f>
        <v>0</v>
      </c>
      <c r="BE30" s="146">
        <f t="shared" si="14"/>
        <v>0</v>
      </c>
      <c r="BF30" s="146">
        <f t="shared" si="15"/>
        <v>0</v>
      </c>
      <c r="BG30" s="145">
        <f>IF(OR(GradeSheet!$M25="W (Withdrawn)", GradeSheet!$M25="I (Incomplete)"), 0, IF(AU30&gt;=65%, 1, 0))</f>
        <v>0</v>
      </c>
      <c r="BH30" s="145">
        <f>IF(OR(GradeSheet!$M25="W (Withdrawn)", GradeSheet!$M25="I (Incomplete)"), 0, IF(AV30&gt;=65%, 1, 0))</f>
        <v>0</v>
      </c>
      <c r="BI30" s="145">
        <f>IF(OR(GradeSheet!$M25="W (Withdrawn)", GradeSheet!$M25="I (Incomplete)"), 0, IF(AW30&gt;=65%, 1, 0))</f>
        <v>0</v>
      </c>
      <c r="BJ30" s="145">
        <f>IF(OR(GradeSheet!$M25="W (Withdrawn)", GradeSheet!$M25="I (Incomplete)"), 0, IF(AX30&gt;=65%, 1, 0))</f>
        <v>0</v>
      </c>
      <c r="BK30" s="145">
        <f>IF(OR(GradeSheet!$M25="W (Withdrawn)", GradeSheet!$M25="I (Incomplete)"), 0, IF(AY30&gt;=65%, 1, 0))</f>
        <v>0</v>
      </c>
      <c r="BL30" s="145">
        <f>IF(OR(GradeSheet!$M25="W (Withdrawn)", GradeSheet!$M25="I (Incomplete)"), 0, IF(AZ30&gt;=65%, 1, 0))</f>
        <v>0</v>
      </c>
      <c r="BM30" s="145">
        <f>IF(OR(GradeSheet!$M25="W (Withdrawn)", GradeSheet!$M25="I (Incomplete)"), 0, IF(BA30&gt;=65%, 1, 0))</f>
        <v>0</v>
      </c>
      <c r="BN30" s="145">
        <f>IF(OR(GradeSheet!$M25="W (Withdrawn)", GradeSheet!$M25="I (Incomplete)"), 0, IF(BB30&gt;=65%, 1, 0))</f>
        <v>0</v>
      </c>
      <c r="BO30" s="145">
        <f>IF(OR(GradeSheet!$M25="W (Withdrawn)", GradeSheet!$M25="I (Incomplete)"), 0, IF(BC30&gt;=65%, 1, 0))</f>
        <v>0</v>
      </c>
      <c r="BP30" s="145">
        <f>IF(OR(GradeSheet!$M25="W (Withdrawn)", GradeSheet!$M25="I (Incomplete)"), 0, IF(BD30&gt;=65%, 1, 0))</f>
        <v>0</v>
      </c>
      <c r="BQ30" s="145">
        <f>IF(OR(GradeSheet!$M25="W (Withdrawn)", GradeSheet!$M25="I (Incomplete)"), 0, IF(BE30&gt;=65%, 1, 0))</f>
        <v>0</v>
      </c>
      <c r="BR30" s="145">
        <f>IF(OR(GradeSheet!$M25="W (Withdrawn)", GradeSheet!$M25="I (Incomplete)"), 0, IF(BF30&gt;=65%, 1, 0))</f>
        <v>0</v>
      </c>
    </row>
    <row r="31" spans="1:70" ht="15.75" customHeight="1">
      <c r="A31" s="136">
        <v>17</v>
      </c>
      <c r="B31" s="22"/>
      <c r="C31" s="30"/>
      <c r="D31" s="137"/>
      <c r="E31" s="137"/>
      <c r="F31" s="138"/>
      <c r="G31" s="138"/>
      <c r="H31" s="138"/>
      <c r="I31" s="138"/>
      <c r="J31" s="137"/>
      <c r="K31" s="137"/>
      <c r="L31" s="137"/>
      <c r="M31" s="138"/>
      <c r="N31" s="138"/>
      <c r="O31" s="138"/>
      <c r="P31" s="139"/>
      <c r="Q31" s="140"/>
      <c r="R31" s="140"/>
      <c r="S31" s="140"/>
      <c r="T31" s="140"/>
      <c r="U31" s="141"/>
      <c r="V31" s="139"/>
      <c r="W31" s="140"/>
      <c r="X31" s="140"/>
      <c r="Y31" s="140"/>
      <c r="Z31" s="140"/>
      <c r="AA31" s="141"/>
      <c r="AB31" s="142">
        <f t="shared" ref="AB31:AE31" si="46">SUM(V31,D31,J31)</f>
        <v>0</v>
      </c>
      <c r="AC31" s="143">
        <f t="shared" si="46"/>
        <v>0</v>
      </c>
      <c r="AD31" s="148">
        <f t="shared" si="46"/>
        <v>0</v>
      </c>
      <c r="AE31" s="148">
        <f t="shared" si="46"/>
        <v>0</v>
      </c>
      <c r="AF31" s="143">
        <f t="shared" si="8"/>
        <v>0</v>
      </c>
      <c r="AG31" s="148">
        <f t="shared" si="9"/>
        <v>0</v>
      </c>
      <c r="AH31" s="144">
        <f t="shared" ref="AH31:AM31" si="47">IF(AB31 = 0, 0, AB31/AB$14)</f>
        <v>0</v>
      </c>
      <c r="AI31" s="144">
        <f t="shared" si="47"/>
        <v>0</v>
      </c>
      <c r="AJ31" s="144">
        <f t="shared" si="47"/>
        <v>0</v>
      </c>
      <c r="AK31" s="144">
        <f t="shared" si="47"/>
        <v>0</v>
      </c>
      <c r="AL31" s="144">
        <f t="shared" si="47"/>
        <v>0</v>
      </c>
      <c r="AM31" s="144">
        <f t="shared" si="47"/>
        <v>0</v>
      </c>
      <c r="AN31" s="145">
        <v>1</v>
      </c>
      <c r="AO31" s="145">
        <f>IF(OR(GradeSheet!$M26="W (Withdrawn)", GradeSheet!$M26="I (Incomplete)"), 0, IF(AI31&gt;=55%, 1, 0))</f>
        <v>0</v>
      </c>
      <c r="AP31" s="145">
        <f>IF(OR(GradeSheet!$M26="W (Withdrawn)", GradeSheet!$M26="I (Incomplete)"), 0, IF(AJ31&gt;=55%, 1, 0))</f>
        <v>0</v>
      </c>
      <c r="AQ31" s="145">
        <f>IF(OR(GradeSheet!$M26="W (Withdrawn)", GradeSheet!$M26="I (Incomplete)"), 0, IF(AK31&gt;=55%, 1, 0))</f>
        <v>0</v>
      </c>
      <c r="AR31" s="145">
        <f>IF(OR(GradeSheet!$M26="W (Withdrawn)", GradeSheet!$M26="I (Incomplete)"), 0, IF(AL31&gt;=55%, 1, 0))</f>
        <v>0</v>
      </c>
      <c r="AS31" s="145">
        <f>IF(OR(GradeSheet!$M26="W (Withdrawn)", GradeSheet!$M26="I (Incomplete)"), 0, IF(AM31&gt;=55%, 1, 0))</f>
        <v>0</v>
      </c>
      <c r="AT31" s="122"/>
      <c r="AU31" s="146">
        <f t="shared" si="11"/>
        <v>0</v>
      </c>
      <c r="AV31" s="146">
        <f t="shared" si="12"/>
        <v>0</v>
      </c>
      <c r="AW31" s="146">
        <f t="array" ref="AW31">IF($AV$9=0,0,MMULT($AH31:$AM31, AV$3:AV$8)/$AV$9)</f>
        <v>0</v>
      </c>
      <c r="AX31" s="146">
        <f t="array" ref="AX31">IF($AW$9=0,0,MMULT($AH31:$AM31, AW$3:AW$8)/$AW$9)</f>
        <v>0</v>
      </c>
      <c r="AY31" s="146">
        <f t="shared" si="13"/>
        <v>0</v>
      </c>
      <c r="AZ31" s="146">
        <f t="array" ref="AZ31">IF($AY$9=0,0,MMULT($AH31:$AM31, AY$3:AY$8)/$AY$9)</f>
        <v>0</v>
      </c>
      <c r="BA31" s="146">
        <f t="array" ref="BA31">IF($AZ$9=0,0,MMULT($AH31:$AM31, AZ$3:AZ$8)/$AZ$9)</f>
        <v>0</v>
      </c>
      <c r="BB31" s="146">
        <f t="array" ref="BB31">IF($BA$9=0,0,MMULT($AH31:$AM31, BA$3:BA$8)/$BA$9)</f>
        <v>0</v>
      </c>
      <c r="BC31" s="146">
        <f t="array" ref="BC31">IF($BB$9=0,0,MMULT($AH31:$AM31, BB$3:BB$8)/$BB$9)</f>
        <v>0</v>
      </c>
      <c r="BD31" s="146">
        <f t="array" ref="BD31">IF($BC$9=0,0,MMULT($AH31:$AM31, BC$3:BC$8)/$BC$9)</f>
        <v>0</v>
      </c>
      <c r="BE31" s="146">
        <f t="shared" si="14"/>
        <v>0</v>
      </c>
      <c r="BF31" s="146">
        <f t="shared" si="15"/>
        <v>0</v>
      </c>
      <c r="BG31" s="145">
        <f>IF(OR(GradeSheet!$M26="W (Withdrawn)", GradeSheet!$M26="I (Incomplete)"), 0, IF(AU31&gt;=65%, 1, 0))</f>
        <v>0</v>
      </c>
      <c r="BH31" s="145">
        <f>IF(OR(GradeSheet!$M26="W (Withdrawn)", GradeSheet!$M26="I (Incomplete)"), 0, IF(AV31&gt;=65%, 1, 0))</f>
        <v>0</v>
      </c>
      <c r="BI31" s="145">
        <f>IF(OR(GradeSheet!$M26="W (Withdrawn)", GradeSheet!$M26="I (Incomplete)"), 0, IF(AW31&gt;=65%, 1, 0))</f>
        <v>0</v>
      </c>
      <c r="BJ31" s="145">
        <f>IF(OR(GradeSheet!$M26="W (Withdrawn)", GradeSheet!$M26="I (Incomplete)"), 0, IF(AX31&gt;=65%, 1, 0))</f>
        <v>0</v>
      </c>
      <c r="BK31" s="145">
        <f>IF(OR(GradeSheet!$M26="W (Withdrawn)", GradeSheet!$M26="I (Incomplete)"), 0, IF(AY31&gt;=65%, 1, 0))</f>
        <v>0</v>
      </c>
      <c r="BL31" s="145">
        <f>IF(OR(GradeSheet!$M26="W (Withdrawn)", GradeSheet!$M26="I (Incomplete)"), 0, IF(AZ31&gt;=65%, 1, 0))</f>
        <v>0</v>
      </c>
      <c r="BM31" s="145">
        <f>IF(OR(GradeSheet!$M26="W (Withdrawn)", GradeSheet!$M26="I (Incomplete)"), 0, IF(BA31&gt;=65%, 1, 0))</f>
        <v>0</v>
      </c>
      <c r="BN31" s="145">
        <f>IF(OR(GradeSheet!$M26="W (Withdrawn)", GradeSheet!$M26="I (Incomplete)"), 0, IF(BB31&gt;=65%, 1, 0))</f>
        <v>0</v>
      </c>
      <c r="BO31" s="145">
        <f>IF(OR(GradeSheet!$M26="W (Withdrawn)", GradeSheet!$M26="I (Incomplete)"), 0, IF(BC31&gt;=65%, 1, 0))</f>
        <v>0</v>
      </c>
      <c r="BP31" s="145">
        <f>IF(OR(GradeSheet!$M26="W (Withdrawn)", GradeSheet!$M26="I (Incomplete)"), 0, IF(BD31&gt;=65%, 1, 0))</f>
        <v>0</v>
      </c>
      <c r="BQ31" s="145">
        <f>IF(OR(GradeSheet!$M26="W (Withdrawn)", GradeSheet!$M26="I (Incomplete)"), 0, IF(BE31&gt;=65%, 1, 0))</f>
        <v>0</v>
      </c>
      <c r="BR31" s="145">
        <f>IF(OR(GradeSheet!$M26="W (Withdrawn)", GradeSheet!$M26="I (Incomplete)"), 0, IF(BF31&gt;=65%, 1, 0))</f>
        <v>0</v>
      </c>
    </row>
    <row r="32" spans="1:70" ht="15.75" customHeight="1">
      <c r="A32" s="147">
        <v>18</v>
      </c>
      <c r="B32" s="22"/>
      <c r="C32" s="30"/>
      <c r="D32" s="137"/>
      <c r="E32" s="137"/>
      <c r="F32" s="138"/>
      <c r="G32" s="138"/>
      <c r="H32" s="138"/>
      <c r="I32" s="138"/>
      <c r="J32" s="137"/>
      <c r="K32" s="137"/>
      <c r="L32" s="137"/>
      <c r="M32" s="138"/>
      <c r="N32" s="138"/>
      <c r="O32" s="138"/>
      <c r="P32" s="139"/>
      <c r="Q32" s="140"/>
      <c r="R32" s="140"/>
      <c r="S32" s="140"/>
      <c r="T32" s="140"/>
      <c r="U32" s="141"/>
      <c r="V32" s="139"/>
      <c r="W32" s="140"/>
      <c r="X32" s="140"/>
      <c r="Y32" s="140"/>
      <c r="Z32" s="140"/>
      <c r="AA32" s="141"/>
      <c r="AB32" s="142">
        <f t="shared" ref="AB32:AE32" si="48">SUM(V32,D32,J32)</f>
        <v>0</v>
      </c>
      <c r="AC32" s="143">
        <f t="shared" si="48"/>
        <v>0</v>
      </c>
      <c r="AD32" s="148">
        <f t="shared" si="48"/>
        <v>0</v>
      </c>
      <c r="AE32" s="148">
        <f t="shared" si="48"/>
        <v>0</v>
      </c>
      <c r="AF32" s="143">
        <f t="shared" si="8"/>
        <v>0</v>
      </c>
      <c r="AG32" s="148">
        <f t="shared" si="9"/>
        <v>0</v>
      </c>
      <c r="AH32" s="144">
        <f t="shared" ref="AH32:AM32" si="49">IF(AB32 = 0, 0, AB32/AB$14)</f>
        <v>0</v>
      </c>
      <c r="AI32" s="144">
        <f t="shared" si="49"/>
        <v>0</v>
      </c>
      <c r="AJ32" s="144">
        <f t="shared" si="49"/>
        <v>0</v>
      </c>
      <c r="AK32" s="144">
        <f t="shared" si="49"/>
        <v>0</v>
      </c>
      <c r="AL32" s="144">
        <f t="shared" si="49"/>
        <v>0</v>
      </c>
      <c r="AM32" s="144">
        <f t="shared" si="49"/>
        <v>0</v>
      </c>
      <c r="AN32" s="145">
        <f>IF(OR(GradeSheet!$M27="W (Withdrawn)", GradeSheet!$M27="I (Incomplete)"), 0, IF(AH32&gt;=55%, 1, 0))</f>
        <v>0</v>
      </c>
      <c r="AO32" s="145">
        <f>IF(OR(GradeSheet!$M27="W (Withdrawn)", GradeSheet!$M27="I (Incomplete)"), 0, IF(AI32&gt;=55%, 1, 0))</f>
        <v>0</v>
      </c>
      <c r="AP32" s="145">
        <f>IF(OR(GradeSheet!$M27="W (Withdrawn)", GradeSheet!$M27="I (Incomplete)"), 0, IF(AJ32&gt;=55%, 1, 0))</f>
        <v>0</v>
      </c>
      <c r="AQ32" s="145">
        <f>IF(OR(GradeSheet!$M27="W (Withdrawn)", GradeSheet!$M27="I (Incomplete)"), 0, IF(AK32&gt;=55%, 1, 0))</f>
        <v>0</v>
      </c>
      <c r="AR32" s="145">
        <f>IF(OR(GradeSheet!$M27="W (Withdrawn)", GradeSheet!$M27="I (Incomplete)"), 0, IF(AL32&gt;=55%, 1, 0))</f>
        <v>0</v>
      </c>
      <c r="AS32" s="145">
        <f>IF(OR(GradeSheet!$M27="W (Withdrawn)", GradeSheet!$M27="I (Incomplete)"), 0, IF(AM32&gt;=55%, 1, 0))</f>
        <v>0</v>
      </c>
      <c r="AT32" s="122"/>
      <c r="AU32" s="146">
        <f t="shared" si="11"/>
        <v>0</v>
      </c>
      <c r="AV32" s="146">
        <f t="shared" si="12"/>
        <v>0</v>
      </c>
      <c r="AW32" s="146">
        <f t="array" ref="AW32">IF($AV$9=0,0,MMULT($AH32:$AM32, AV$3:AV$8)/$AV$9)</f>
        <v>0</v>
      </c>
      <c r="AX32" s="146">
        <f t="array" ref="AX32">IF($AW$9=0,0,MMULT($AH32:$AM32, AW$3:AW$8)/$AW$9)</f>
        <v>0</v>
      </c>
      <c r="AY32" s="146">
        <f t="shared" si="13"/>
        <v>0</v>
      </c>
      <c r="AZ32" s="146">
        <f t="array" ref="AZ32">IF($AY$9=0,0,MMULT($AH32:$AM32, AY$3:AY$8)/$AY$9)</f>
        <v>0</v>
      </c>
      <c r="BA32" s="146">
        <f t="array" ref="BA32">IF($AZ$9=0,0,MMULT($AH32:$AM32, AZ$3:AZ$8)/$AZ$9)</f>
        <v>0</v>
      </c>
      <c r="BB32" s="146">
        <f t="array" ref="BB32">IF($BA$9=0,0,MMULT($AH32:$AM32, BA$3:BA$8)/$BA$9)</f>
        <v>0</v>
      </c>
      <c r="BC32" s="146">
        <f t="array" ref="BC32">IF($BB$9=0,0,MMULT($AH32:$AM32, BB$3:BB$8)/$BB$9)</f>
        <v>0</v>
      </c>
      <c r="BD32" s="146">
        <f t="array" ref="BD32">IF($BC$9=0,0,MMULT($AH32:$AM32, BC$3:BC$8)/$BC$9)</f>
        <v>0</v>
      </c>
      <c r="BE32" s="146">
        <f t="shared" si="14"/>
        <v>0</v>
      </c>
      <c r="BF32" s="146">
        <f t="shared" si="15"/>
        <v>0</v>
      </c>
      <c r="BG32" s="145">
        <f>IF(OR(GradeSheet!$M27="W (Withdrawn)", GradeSheet!$M27="I (Incomplete)"), 0, IF(AU32&gt;=65%, 1, 0))</f>
        <v>0</v>
      </c>
      <c r="BH32" s="145">
        <f>IF(OR(GradeSheet!$M27="W (Withdrawn)", GradeSheet!$M27="I (Incomplete)"), 0, IF(AV32&gt;=65%, 1, 0))</f>
        <v>0</v>
      </c>
      <c r="BI32" s="145">
        <f>IF(OR(GradeSheet!$M27="W (Withdrawn)", GradeSheet!$M27="I (Incomplete)"), 0, IF(AW32&gt;=65%, 1, 0))</f>
        <v>0</v>
      </c>
      <c r="BJ32" s="145">
        <f>IF(OR(GradeSheet!$M27="W (Withdrawn)", GradeSheet!$M27="I (Incomplete)"), 0, IF(AX32&gt;=65%, 1, 0))</f>
        <v>0</v>
      </c>
      <c r="BK32" s="145">
        <f>IF(OR(GradeSheet!$M27="W (Withdrawn)", GradeSheet!$M27="I (Incomplete)"), 0, IF(AY32&gt;=65%, 1, 0))</f>
        <v>0</v>
      </c>
      <c r="BL32" s="145">
        <f>IF(OR(GradeSheet!$M27="W (Withdrawn)", GradeSheet!$M27="I (Incomplete)"), 0, IF(AZ32&gt;=65%, 1, 0))</f>
        <v>0</v>
      </c>
      <c r="BM32" s="145">
        <f>IF(OR(GradeSheet!$M27="W (Withdrawn)", GradeSheet!$M27="I (Incomplete)"), 0, IF(BA32&gt;=65%, 1, 0))</f>
        <v>0</v>
      </c>
      <c r="BN32" s="145">
        <f>IF(OR(GradeSheet!$M27="W (Withdrawn)", GradeSheet!$M27="I (Incomplete)"), 0, IF(BB32&gt;=65%, 1, 0))</f>
        <v>0</v>
      </c>
      <c r="BO32" s="145">
        <f>IF(OR(GradeSheet!$M27="W (Withdrawn)", GradeSheet!$M27="I (Incomplete)"), 0, IF(BC32&gt;=65%, 1, 0))</f>
        <v>0</v>
      </c>
      <c r="BP32" s="145">
        <f>IF(OR(GradeSheet!$M27="W (Withdrawn)", GradeSheet!$M27="I (Incomplete)"), 0, IF(BD32&gt;=65%, 1, 0))</f>
        <v>0</v>
      </c>
      <c r="BQ32" s="145">
        <f>IF(OR(GradeSheet!$M27="W (Withdrawn)", GradeSheet!$M27="I (Incomplete)"), 0, IF(BE32&gt;=65%, 1, 0))</f>
        <v>0</v>
      </c>
      <c r="BR32" s="145">
        <f>IF(OR(GradeSheet!$M27="W (Withdrawn)", GradeSheet!$M27="I (Incomplete)"), 0, IF(BF32&gt;=65%, 1, 0))</f>
        <v>0</v>
      </c>
    </row>
    <row r="33" spans="1:70" ht="15.75" customHeight="1">
      <c r="A33" s="136">
        <v>19</v>
      </c>
      <c r="B33" s="22"/>
      <c r="C33" s="30"/>
      <c r="D33" s="137"/>
      <c r="E33" s="137"/>
      <c r="F33" s="138"/>
      <c r="G33" s="138"/>
      <c r="H33" s="138"/>
      <c r="I33" s="138"/>
      <c r="J33" s="137"/>
      <c r="K33" s="137"/>
      <c r="L33" s="137"/>
      <c r="M33" s="138"/>
      <c r="N33" s="138"/>
      <c r="O33" s="138"/>
      <c r="P33" s="139"/>
      <c r="Q33" s="140"/>
      <c r="R33" s="140"/>
      <c r="S33" s="140"/>
      <c r="T33" s="140"/>
      <c r="U33" s="141"/>
      <c r="V33" s="139"/>
      <c r="W33" s="140"/>
      <c r="X33" s="140"/>
      <c r="Y33" s="140"/>
      <c r="Z33" s="140"/>
      <c r="AA33" s="141"/>
      <c r="AB33" s="142">
        <f t="shared" ref="AB33:AE33" si="50">SUM(V33,D33,J33)</f>
        <v>0</v>
      </c>
      <c r="AC33" s="143">
        <f t="shared" si="50"/>
        <v>0</v>
      </c>
      <c r="AD33" s="148">
        <f t="shared" si="50"/>
        <v>0</v>
      </c>
      <c r="AE33" s="148">
        <f t="shared" si="50"/>
        <v>0</v>
      </c>
      <c r="AF33" s="143">
        <f t="shared" si="8"/>
        <v>0</v>
      </c>
      <c r="AG33" s="148">
        <f t="shared" si="9"/>
        <v>0</v>
      </c>
      <c r="AH33" s="144">
        <f t="shared" ref="AH33:AM33" si="51">IF(AB33 = 0, 0, AB33/AB$14)</f>
        <v>0</v>
      </c>
      <c r="AI33" s="144">
        <f t="shared" si="51"/>
        <v>0</v>
      </c>
      <c r="AJ33" s="144">
        <f t="shared" si="51"/>
        <v>0</v>
      </c>
      <c r="AK33" s="144">
        <f t="shared" si="51"/>
        <v>0</v>
      </c>
      <c r="AL33" s="144">
        <f t="shared" si="51"/>
        <v>0</v>
      </c>
      <c r="AM33" s="144">
        <f t="shared" si="51"/>
        <v>0</v>
      </c>
      <c r="AN33" s="145">
        <f>IF(OR(GradeSheet!$M28="W (Withdrawn)", GradeSheet!$M28="I (Incomplete)"), 0, IF(AH33&gt;=55%, 1, 0))</f>
        <v>0</v>
      </c>
      <c r="AO33" s="145">
        <f>IF(OR(GradeSheet!$M28="W (Withdrawn)", GradeSheet!$M28="I (Incomplete)"), 0, IF(AI33&gt;=55%, 1, 0))</f>
        <v>0</v>
      </c>
      <c r="AP33" s="145">
        <f>IF(OR(GradeSheet!$M28="W (Withdrawn)", GradeSheet!$M28="I (Incomplete)"), 0, IF(AJ33&gt;=55%, 1, 0))</f>
        <v>0</v>
      </c>
      <c r="AQ33" s="145">
        <f>IF(OR(GradeSheet!$M28="W (Withdrawn)", GradeSheet!$M28="I (Incomplete)"), 0, IF(AK33&gt;=55%, 1, 0))</f>
        <v>0</v>
      </c>
      <c r="AR33" s="145">
        <f>IF(OR(GradeSheet!$M28="W (Withdrawn)", GradeSheet!$M28="I (Incomplete)"), 0, IF(AL33&gt;=55%, 1, 0))</f>
        <v>0</v>
      </c>
      <c r="AS33" s="145">
        <f>IF(OR(GradeSheet!$M28="W (Withdrawn)", GradeSheet!$M28="I (Incomplete)"), 0, IF(AM33&gt;=55%, 1, 0))</f>
        <v>0</v>
      </c>
      <c r="AT33" s="122"/>
      <c r="AU33" s="146">
        <f t="shared" si="11"/>
        <v>0</v>
      </c>
      <c r="AV33" s="146">
        <f t="shared" si="12"/>
        <v>0</v>
      </c>
      <c r="AW33" s="146">
        <f t="array" ref="AW33">IF($AV$9=0,0,MMULT($AH33:$AM33, AV$3:AV$8)/$AV$9)</f>
        <v>0</v>
      </c>
      <c r="AX33" s="146">
        <f t="array" ref="AX33">IF($AW$9=0,0,MMULT($AH33:$AM33, AW$3:AW$8)/$AW$9)</f>
        <v>0</v>
      </c>
      <c r="AY33" s="146">
        <f t="shared" si="13"/>
        <v>0</v>
      </c>
      <c r="AZ33" s="146">
        <f t="array" ref="AZ33">IF($AY$9=0,0,MMULT($AH33:$AM33, AY$3:AY$8)/$AY$9)</f>
        <v>0</v>
      </c>
      <c r="BA33" s="146">
        <f t="array" ref="BA33">IF($AZ$9=0,0,MMULT($AH33:$AM33, AZ$3:AZ$8)/$AZ$9)</f>
        <v>0</v>
      </c>
      <c r="BB33" s="146">
        <f t="array" ref="BB33">IF($BA$9=0,0,MMULT($AH33:$AM33, BA$3:BA$8)/$BA$9)</f>
        <v>0</v>
      </c>
      <c r="BC33" s="146">
        <f t="array" ref="BC33">IF($BB$9=0,0,MMULT($AH33:$AM33, BB$3:BB$8)/$BB$9)</f>
        <v>0</v>
      </c>
      <c r="BD33" s="146">
        <f t="array" ref="BD33">IF($BC$9=0,0,MMULT($AH33:$AM33, BC$3:BC$8)/$BC$9)</f>
        <v>0</v>
      </c>
      <c r="BE33" s="146">
        <f t="shared" si="14"/>
        <v>0</v>
      </c>
      <c r="BF33" s="146">
        <f t="shared" si="15"/>
        <v>0</v>
      </c>
      <c r="BG33" s="145">
        <f>IF(OR(GradeSheet!$M28="W (Withdrawn)", GradeSheet!$M28="I (Incomplete)"), 0, IF(AU33&gt;=65%, 1, 0))</f>
        <v>0</v>
      </c>
      <c r="BH33" s="145">
        <f>IF(OR(GradeSheet!$M28="W (Withdrawn)", GradeSheet!$M28="I (Incomplete)"), 0, IF(AV33&gt;=65%, 1, 0))</f>
        <v>0</v>
      </c>
      <c r="BI33" s="145">
        <f>IF(OR(GradeSheet!$M28="W (Withdrawn)", GradeSheet!$M28="I (Incomplete)"), 0, IF(AW33&gt;=65%, 1, 0))</f>
        <v>0</v>
      </c>
      <c r="BJ33" s="145">
        <f>IF(OR(GradeSheet!$M28="W (Withdrawn)", GradeSheet!$M28="I (Incomplete)"), 0, IF(AX33&gt;=65%, 1, 0))</f>
        <v>0</v>
      </c>
      <c r="BK33" s="145">
        <f>IF(OR(GradeSheet!$M28="W (Withdrawn)", GradeSheet!$M28="I (Incomplete)"), 0, IF(AY33&gt;=65%, 1, 0))</f>
        <v>0</v>
      </c>
      <c r="BL33" s="145">
        <f>IF(OR(GradeSheet!$M28="W (Withdrawn)", GradeSheet!$M28="I (Incomplete)"), 0, IF(AZ33&gt;=65%, 1, 0))</f>
        <v>0</v>
      </c>
      <c r="BM33" s="145">
        <f>IF(OR(GradeSheet!$M28="W (Withdrawn)", GradeSheet!$M28="I (Incomplete)"), 0, IF(BA33&gt;=65%, 1, 0))</f>
        <v>0</v>
      </c>
      <c r="BN33" s="145">
        <f>IF(OR(GradeSheet!$M28="W (Withdrawn)", GradeSheet!$M28="I (Incomplete)"), 0, IF(BB33&gt;=65%, 1, 0))</f>
        <v>0</v>
      </c>
      <c r="BO33" s="145">
        <f>IF(OR(GradeSheet!$M28="W (Withdrawn)", GradeSheet!$M28="I (Incomplete)"), 0, IF(BC33&gt;=65%, 1, 0))</f>
        <v>0</v>
      </c>
      <c r="BP33" s="145">
        <f>IF(OR(GradeSheet!$M28="W (Withdrawn)", GradeSheet!$M28="I (Incomplete)"), 0, IF(BD33&gt;=65%, 1, 0))</f>
        <v>0</v>
      </c>
      <c r="BQ33" s="145">
        <f>IF(OR(GradeSheet!$M28="W (Withdrawn)", GradeSheet!$M28="I (Incomplete)"), 0, IF(BE33&gt;=65%, 1, 0))</f>
        <v>0</v>
      </c>
      <c r="BR33" s="145">
        <f>IF(OR(GradeSheet!$M28="W (Withdrawn)", GradeSheet!$M28="I (Incomplete)"), 0, IF(BF33&gt;=65%, 1, 0))</f>
        <v>0</v>
      </c>
    </row>
    <row r="34" spans="1:70" ht="15.75" customHeight="1">
      <c r="A34" s="147">
        <v>20</v>
      </c>
      <c r="B34" s="22"/>
      <c r="C34" s="30"/>
      <c r="D34" s="137"/>
      <c r="E34" s="137"/>
      <c r="F34" s="138"/>
      <c r="G34" s="138"/>
      <c r="H34" s="138"/>
      <c r="I34" s="138"/>
      <c r="J34" s="137"/>
      <c r="K34" s="137"/>
      <c r="L34" s="137"/>
      <c r="M34" s="138"/>
      <c r="N34" s="138"/>
      <c r="O34" s="138"/>
      <c r="P34" s="139"/>
      <c r="Q34" s="140"/>
      <c r="R34" s="140"/>
      <c r="S34" s="140"/>
      <c r="T34" s="140"/>
      <c r="U34" s="141"/>
      <c r="V34" s="139"/>
      <c r="W34" s="140"/>
      <c r="X34" s="140"/>
      <c r="Y34" s="140"/>
      <c r="Z34" s="140"/>
      <c r="AA34" s="141"/>
      <c r="AB34" s="142">
        <f t="shared" ref="AB34:AE34" si="52">SUM(V34,D34,J34)</f>
        <v>0</v>
      </c>
      <c r="AC34" s="143">
        <f t="shared" si="52"/>
        <v>0</v>
      </c>
      <c r="AD34" s="148">
        <f t="shared" si="52"/>
        <v>0</v>
      </c>
      <c r="AE34" s="148">
        <f t="shared" si="52"/>
        <v>0</v>
      </c>
      <c r="AF34" s="143">
        <f t="shared" si="8"/>
        <v>0</v>
      </c>
      <c r="AG34" s="148">
        <f t="shared" si="9"/>
        <v>0</v>
      </c>
      <c r="AH34" s="144">
        <f t="shared" ref="AH34:AM34" si="53">IF(AB34 = 0, 0, AB34/AB$14)</f>
        <v>0</v>
      </c>
      <c r="AI34" s="144">
        <f t="shared" si="53"/>
        <v>0</v>
      </c>
      <c r="AJ34" s="144">
        <f t="shared" si="53"/>
        <v>0</v>
      </c>
      <c r="AK34" s="144">
        <f t="shared" si="53"/>
        <v>0</v>
      </c>
      <c r="AL34" s="144">
        <f t="shared" si="53"/>
        <v>0</v>
      </c>
      <c r="AM34" s="144">
        <f t="shared" si="53"/>
        <v>0</v>
      </c>
      <c r="AN34" s="145">
        <f>IF(OR(GradeSheet!$M29="W (Withdrawn)", GradeSheet!$M29="I (Incomplete)"), 0, IF(AH34&gt;=55%, 1, 0))</f>
        <v>0</v>
      </c>
      <c r="AO34" s="145">
        <f>IF(OR(GradeSheet!$M29="W (Withdrawn)", GradeSheet!$M29="I (Incomplete)"), 0, IF(AI34&gt;=55%, 1, 0))</f>
        <v>0</v>
      </c>
      <c r="AP34" s="145">
        <f>IF(OR(GradeSheet!$M29="W (Withdrawn)", GradeSheet!$M29="I (Incomplete)"), 0, IF(AJ34&gt;=55%, 1, 0))</f>
        <v>0</v>
      </c>
      <c r="AQ34" s="145">
        <f>IF(OR(GradeSheet!$M29="W (Withdrawn)", GradeSheet!$M29="I (Incomplete)"), 0, IF(AK34&gt;=55%, 1, 0))</f>
        <v>0</v>
      </c>
      <c r="AR34" s="145">
        <f>IF(OR(GradeSheet!$M29="W (Withdrawn)", GradeSheet!$M29="I (Incomplete)"), 0, IF(AL34&gt;=55%, 1, 0))</f>
        <v>0</v>
      </c>
      <c r="AS34" s="145">
        <f>IF(OR(GradeSheet!$M29="W (Withdrawn)", GradeSheet!$M29="I (Incomplete)"), 0, IF(AM34&gt;=55%, 1, 0))</f>
        <v>0</v>
      </c>
      <c r="AT34" s="122"/>
      <c r="AU34" s="146">
        <f t="shared" si="11"/>
        <v>0</v>
      </c>
      <c r="AV34" s="146">
        <f t="shared" si="12"/>
        <v>0</v>
      </c>
      <c r="AW34" s="146">
        <f t="array" ref="AW34">IF($AV$9=0,0,MMULT($AH34:$AM34, AV$3:AV$8)/$AV$9)</f>
        <v>0</v>
      </c>
      <c r="AX34" s="146">
        <f t="array" ref="AX34">IF($AW$9=0,0,MMULT($AH34:$AM34, AW$3:AW$8)/$AW$9)</f>
        <v>0</v>
      </c>
      <c r="AY34" s="146">
        <f t="shared" si="13"/>
        <v>0</v>
      </c>
      <c r="AZ34" s="146">
        <f t="array" ref="AZ34">IF($AY$9=0,0,MMULT($AH34:$AM34, AY$3:AY$8)/$AY$9)</f>
        <v>0</v>
      </c>
      <c r="BA34" s="146">
        <f t="array" ref="BA34">IF($AZ$9=0,0,MMULT($AH34:$AM34, AZ$3:AZ$8)/$AZ$9)</f>
        <v>0</v>
      </c>
      <c r="BB34" s="146">
        <f t="array" ref="BB34">IF($BA$9=0,0,MMULT($AH34:$AM34, BA$3:BA$8)/$BA$9)</f>
        <v>0</v>
      </c>
      <c r="BC34" s="146">
        <f t="array" ref="BC34">IF($BB$9=0,0,MMULT($AH34:$AM34, BB$3:BB$8)/$BB$9)</f>
        <v>0</v>
      </c>
      <c r="BD34" s="146">
        <f t="array" ref="BD34">IF($BC$9=0,0,MMULT($AH34:$AM34, BC$3:BC$8)/$BC$9)</f>
        <v>0</v>
      </c>
      <c r="BE34" s="146">
        <f t="shared" si="14"/>
        <v>0</v>
      </c>
      <c r="BF34" s="146">
        <f t="shared" si="15"/>
        <v>0</v>
      </c>
      <c r="BG34" s="145">
        <f>IF(OR(GradeSheet!$M29="W (Withdrawn)", GradeSheet!$M29="I (Incomplete)"), 0, IF(AU34&gt;=65%, 1, 0))</f>
        <v>0</v>
      </c>
      <c r="BH34" s="145">
        <f>IF(OR(GradeSheet!$M29="W (Withdrawn)", GradeSheet!$M29="I (Incomplete)"), 0, IF(AV34&gt;=65%, 1, 0))</f>
        <v>0</v>
      </c>
      <c r="BI34" s="145">
        <f>IF(OR(GradeSheet!$M29="W (Withdrawn)", GradeSheet!$M29="I (Incomplete)"), 0, IF(AW34&gt;=65%, 1, 0))</f>
        <v>0</v>
      </c>
      <c r="BJ34" s="145">
        <f>IF(OR(GradeSheet!$M29="W (Withdrawn)", GradeSheet!$M29="I (Incomplete)"), 0, IF(AX34&gt;=65%, 1, 0))</f>
        <v>0</v>
      </c>
      <c r="BK34" s="145">
        <f>IF(OR(GradeSheet!$M29="W (Withdrawn)", GradeSheet!$M29="I (Incomplete)"), 0, IF(AY34&gt;=65%, 1, 0))</f>
        <v>0</v>
      </c>
      <c r="BL34" s="145">
        <f>IF(OR(GradeSheet!$M29="W (Withdrawn)", GradeSheet!$M29="I (Incomplete)"), 0, IF(AZ34&gt;=65%, 1, 0))</f>
        <v>0</v>
      </c>
      <c r="BM34" s="145">
        <f>IF(OR(GradeSheet!$M29="W (Withdrawn)", GradeSheet!$M29="I (Incomplete)"), 0, IF(BA34&gt;=65%, 1, 0))</f>
        <v>0</v>
      </c>
      <c r="BN34" s="145">
        <f>IF(OR(GradeSheet!$M29="W (Withdrawn)", GradeSheet!$M29="I (Incomplete)"), 0, IF(BB34&gt;=65%, 1, 0))</f>
        <v>0</v>
      </c>
      <c r="BO34" s="145">
        <f>IF(OR(GradeSheet!$M29="W (Withdrawn)", GradeSheet!$M29="I (Incomplete)"), 0, IF(BC34&gt;=65%, 1, 0))</f>
        <v>0</v>
      </c>
      <c r="BP34" s="145">
        <f>IF(OR(GradeSheet!$M29="W (Withdrawn)", GradeSheet!$M29="I (Incomplete)"), 0, IF(BD34&gt;=65%, 1, 0))</f>
        <v>0</v>
      </c>
      <c r="BQ34" s="145">
        <f>IF(OR(GradeSheet!$M29="W (Withdrawn)", GradeSheet!$M29="I (Incomplete)"), 0, IF(BE34&gt;=65%, 1, 0))</f>
        <v>0</v>
      </c>
      <c r="BR34" s="145">
        <f>IF(OR(GradeSheet!$M29="W (Withdrawn)", GradeSheet!$M29="I (Incomplete)"), 0, IF(BF34&gt;=65%, 1, 0))</f>
        <v>0</v>
      </c>
    </row>
    <row r="35" spans="1:70" ht="15.75" customHeight="1">
      <c r="A35" s="136">
        <v>21</v>
      </c>
      <c r="B35" s="22"/>
      <c r="C35" s="30"/>
      <c r="D35" s="137"/>
      <c r="E35" s="137"/>
      <c r="F35" s="138"/>
      <c r="G35" s="138"/>
      <c r="H35" s="138"/>
      <c r="I35" s="138"/>
      <c r="J35" s="137"/>
      <c r="K35" s="137"/>
      <c r="L35" s="137"/>
      <c r="M35" s="138"/>
      <c r="N35" s="138"/>
      <c r="O35" s="138"/>
      <c r="P35" s="139"/>
      <c r="Q35" s="140"/>
      <c r="R35" s="140"/>
      <c r="S35" s="140"/>
      <c r="T35" s="140"/>
      <c r="U35" s="141"/>
      <c r="V35" s="139"/>
      <c r="W35" s="140"/>
      <c r="X35" s="140"/>
      <c r="Y35" s="140"/>
      <c r="Z35" s="140"/>
      <c r="AA35" s="141"/>
      <c r="AB35" s="142">
        <f t="shared" ref="AB35:AE35" si="54">SUM(V35,D35,J35)</f>
        <v>0</v>
      </c>
      <c r="AC35" s="143">
        <f t="shared" si="54"/>
        <v>0</v>
      </c>
      <c r="AD35" s="148">
        <f t="shared" si="54"/>
        <v>0</v>
      </c>
      <c r="AE35" s="148">
        <f t="shared" si="54"/>
        <v>0</v>
      </c>
      <c r="AF35" s="143">
        <f t="shared" si="8"/>
        <v>0</v>
      </c>
      <c r="AG35" s="148">
        <f t="shared" si="9"/>
        <v>0</v>
      </c>
      <c r="AH35" s="144">
        <f t="shared" ref="AH35:AM35" si="55">IF(AB35 = 0, 0, AB35/AB$14)</f>
        <v>0</v>
      </c>
      <c r="AI35" s="144">
        <f t="shared" si="55"/>
        <v>0</v>
      </c>
      <c r="AJ35" s="144">
        <f t="shared" si="55"/>
        <v>0</v>
      </c>
      <c r="AK35" s="144">
        <f t="shared" si="55"/>
        <v>0</v>
      </c>
      <c r="AL35" s="144">
        <f t="shared" si="55"/>
        <v>0</v>
      </c>
      <c r="AM35" s="144">
        <f t="shared" si="55"/>
        <v>0</v>
      </c>
      <c r="AN35" s="145">
        <f>IF(OR(GradeSheet!$M30="W (Withdrawn)", GradeSheet!$M30="I (Incomplete)"), 0, IF(AH35&gt;=55%, 1, 0))</f>
        <v>0</v>
      </c>
      <c r="AO35" s="145">
        <f>IF(OR(GradeSheet!$M30="W (Withdrawn)", GradeSheet!$M30="I (Incomplete)"), 0, IF(AI35&gt;=55%, 1, 0))</f>
        <v>0</v>
      </c>
      <c r="AP35" s="145">
        <f>IF(OR(GradeSheet!$M30="W (Withdrawn)", GradeSheet!$M30="I (Incomplete)"), 0, IF(AJ35&gt;=55%, 1, 0))</f>
        <v>0</v>
      </c>
      <c r="AQ35" s="145">
        <f>IF(OR(GradeSheet!$M30="W (Withdrawn)", GradeSheet!$M30="I (Incomplete)"), 0, IF(AK35&gt;=55%, 1, 0))</f>
        <v>0</v>
      </c>
      <c r="AR35" s="145">
        <f>IF(OR(GradeSheet!$M30="W (Withdrawn)", GradeSheet!$M30="I (Incomplete)"), 0, IF(AL35&gt;=55%, 1, 0))</f>
        <v>0</v>
      </c>
      <c r="AS35" s="145">
        <f>IF(OR(GradeSheet!$M30="W (Withdrawn)", GradeSheet!$M30="I (Incomplete)"), 0, IF(AM35&gt;=55%, 1, 0))</f>
        <v>0</v>
      </c>
      <c r="AT35" s="122"/>
      <c r="AU35" s="146">
        <f t="shared" si="11"/>
        <v>0</v>
      </c>
      <c r="AV35" s="146">
        <f t="shared" si="12"/>
        <v>0</v>
      </c>
      <c r="AW35" s="146">
        <f t="array" ref="AW35">IF($AV$9=0,0,MMULT($AH35:$AM35, AV$3:AV$8)/$AV$9)</f>
        <v>0</v>
      </c>
      <c r="AX35" s="146">
        <f t="array" ref="AX35">IF($AW$9=0,0,MMULT($AH35:$AM35, AW$3:AW$8)/$AW$9)</f>
        <v>0</v>
      </c>
      <c r="AY35" s="146">
        <f t="shared" si="13"/>
        <v>0</v>
      </c>
      <c r="AZ35" s="146">
        <f t="array" ref="AZ35">IF($AY$9=0,0,MMULT($AH35:$AM35, AY$3:AY$8)/$AY$9)</f>
        <v>0</v>
      </c>
      <c r="BA35" s="146">
        <f t="array" ref="BA35">IF($AZ$9=0,0,MMULT($AH35:$AM35, AZ$3:AZ$8)/$AZ$9)</f>
        <v>0</v>
      </c>
      <c r="BB35" s="146">
        <f t="array" ref="BB35">IF($BA$9=0,0,MMULT($AH35:$AM35, BA$3:BA$8)/$BA$9)</f>
        <v>0</v>
      </c>
      <c r="BC35" s="146">
        <f t="array" ref="BC35">IF($BB$9=0,0,MMULT($AH35:$AM35, BB$3:BB$8)/$BB$9)</f>
        <v>0</v>
      </c>
      <c r="BD35" s="146">
        <f t="array" ref="BD35">IF($BC$9=0,0,MMULT($AH35:$AM35, BC$3:BC$8)/$BC$9)</f>
        <v>0</v>
      </c>
      <c r="BE35" s="146">
        <f t="shared" si="14"/>
        <v>0</v>
      </c>
      <c r="BF35" s="146">
        <f t="shared" si="15"/>
        <v>0</v>
      </c>
      <c r="BG35" s="145">
        <f>IF(OR(GradeSheet!$M30="W (Withdrawn)", GradeSheet!$M30="I (Incomplete)"), 0, IF(AU35&gt;=65%, 1, 0))</f>
        <v>0</v>
      </c>
      <c r="BH35" s="145">
        <f>IF(OR(GradeSheet!$M30="W (Withdrawn)", GradeSheet!$M30="I (Incomplete)"), 0, IF(AV35&gt;=65%, 1, 0))</f>
        <v>0</v>
      </c>
      <c r="BI35" s="145">
        <f>IF(OR(GradeSheet!$M30="W (Withdrawn)", GradeSheet!$M30="I (Incomplete)"), 0, IF(AW35&gt;=65%, 1, 0))</f>
        <v>0</v>
      </c>
      <c r="BJ35" s="145">
        <f>IF(OR(GradeSheet!$M30="W (Withdrawn)", GradeSheet!$M30="I (Incomplete)"), 0, IF(AX35&gt;=65%, 1, 0))</f>
        <v>0</v>
      </c>
      <c r="BK35" s="145">
        <f>IF(OR(GradeSheet!$M30="W (Withdrawn)", GradeSheet!$M30="I (Incomplete)"), 0, IF(AY35&gt;=65%, 1, 0))</f>
        <v>0</v>
      </c>
      <c r="BL35" s="145">
        <f>IF(OR(GradeSheet!$M30="W (Withdrawn)", GradeSheet!$M30="I (Incomplete)"), 0, IF(AZ35&gt;=65%, 1, 0))</f>
        <v>0</v>
      </c>
      <c r="BM35" s="145">
        <f>IF(OR(GradeSheet!$M30="W (Withdrawn)", GradeSheet!$M30="I (Incomplete)"), 0, IF(BA35&gt;=65%, 1, 0))</f>
        <v>0</v>
      </c>
      <c r="BN35" s="145">
        <f>IF(OR(GradeSheet!$M30="W (Withdrawn)", GradeSheet!$M30="I (Incomplete)"), 0, IF(BB35&gt;=65%, 1, 0))</f>
        <v>0</v>
      </c>
      <c r="BO35" s="145">
        <f>IF(OR(GradeSheet!$M30="W (Withdrawn)", GradeSheet!$M30="I (Incomplete)"), 0, IF(BC35&gt;=65%, 1, 0))</f>
        <v>0</v>
      </c>
      <c r="BP35" s="145">
        <f>IF(OR(GradeSheet!$M30="W (Withdrawn)", GradeSheet!$M30="I (Incomplete)"), 0, IF(BD35&gt;=65%, 1, 0))</f>
        <v>0</v>
      </c>
      <c r="BQ35" s="145">
        <f>IF(OR(GradeSheet!$M30="W (Withdrawn)", GradeSheet!$M30="I (Incomplete)"), 0, IF(BE35&gt;=65%, 1, 0))</f>
        <v>0</v>
      </c>
      <c r="BR35" s="145">
        <f>IF(OR(GradeSheet!$M30="W (Withdrawn)", GradeSheet!$M30="I (Incomplete)"), 0, IF(BF35&gt;=65%, 1, 0))</f>
        <v>0</v>
      </c>
    </row>
    <row r="36" spans="1:70" ht="15.75" customHeight="1">
      <c r="A36" s="147">
        <v>22</v>
      </c>
      <c r="B36" s="22"/>
      <c r="C36" s="30"/>
      <c r="D36" s="137"/>
      <c r="E36" s="137"/>
      <c r="F36" s="138"/>
      <c r="G36" s="138"/>
      <c r="H36" s="138"/>
      <c r="I36" s="138"/>
      <c r="J36" s="137"/>
      <c r="K36" s="137"/>
      <c r="L36" s="137"/>
      <c r="M36" s="138"/>
      <c r="N36" s="138"/>
      <c r="O36" s="138"/>
      <c r="P36" s="139"/>
      <c r="Q36" s="140"/>
      <c r="R36" s="140"/>
      <c r="S36" s="140"/>
      <c r="T36" s="140"/>
      <c r="U36" s="141"/>
      <c r="V36" s="139"/>
      <c r="W36" s="140"/>
      <c r="X36" s="140"/>
      <c r="Y36" s="140"/>
      <c r="Z36" s="140"/>
      <c r="AA36" s="141"/>
      <c r="AB36" s="142">
        <f t="shared" ref="AB36:AE36" si="56">SUM(V36,D36,J36)</f>
        <v>0</v>
      </c>
      <c r="AC36" s="143">
        <f t="shared" si="56"/>
        <v>0</v>
      </c>
      <c r="AD36" s="148">
        <f t="shared" si="56"/>
        <v>0</v>
      </c>
      <c r="AE36" s="148">
        <f t="shared" si="56"/>
        <v>0</v>
      </c>
      <c r="AF36" s="143">
        <f t="shared" si="8"/>
        <v>0</v>
      </c>
      <c r="AG36" s="148">
        <f t="shared" si="9"/>
        <v>0</v>
      </c>
      <c r="AH36" s="144">
        <f t="shared" ref="AH36:AM36" si="57">IF(AB36 = 0, 0, AB36/AB$14)</f>
        <v>0</v>
      </c>
      <c r="AI36" s="144">
        <f t="shared" si="57"/>
        <v>0</v>
      </c>
      <c r="AJ36" s="144">
        <f t="shared" si="57"/>
        <v>0</v>
      </c>
      <c r="AK36" s="144">
        <f t="shared" si="57"/>
        <v>0</v>
      </c>
      <c r="AL36" s="144">
        <f t="shared" si="57"/>
        <v>0</v>
      </c>
      <c r="AM36" s="144">
        <f t="shared" si="57"/>
        <v>0</v>
      </c>
      <c r="AN36" s="145">
        <f>IF(OR(GradeSheet!$M31="W (Withdrawn)", GradeSheet!$M31="I (Incomplete)"), 0, IF(AH36&gt;=55%, 1, 0))</f>
        <v>0</v>
      </c>
      <c r="AO36" s="145">
        <f>IF(OR(GradeSheet!$M31="W (Withdrawn)", GradeSheet!$M31="I (Incomplete)"), 0, IF(AI36&gt;=55%, 1, 0))</f>
        <v>0</v>
      </c>
      <c r="AP36" s="145">
        <f>IF(OR(GradeSheet!$M31="W (Withdrawn)", GradeSheet!$M31="I (Incomplete)"), 0, IF(AJ36&gt;=55%, 1, 0))</f>
        <v>0</v>
      </c>
      <c r="AQ36" s="145">
        <f>IF(OR(GradeSheet!$M31="W (Withdrawn)", GradeSheet!$M31="I (Incomplete)"), 0, IF(AK36&gt;=55%, 1, 0))</f>
        <v>0</v>
      </c>
      <c r="AR36" s="145">
        <f>IF(OR(GradeSheet!$M31="W (Withdrawn)", GradeSheet!$M31="I (Incomplete)"), 0, IF(AL36&gt;=55%, 1, 0))</f>
        <v>0</v>
      </c>
      <c r="AS36" s="145">
        <f>IF(OR(GradeSheet!$M31="W (Withdrawn)", GradeSheet!$M31="I (Incomplete)"), 0, IF(AM36&gt;=55%, 1, 0))</f>
        <v>0</v>
      </c>
      <c r="AT36" s="122"/>
      <c r="AU36" s="146">
        <f t="shared" si="11"/>
        <v>0</v>
      </c>
      <c r="AV36" s="146">
        <f t="shared" si="12"/>
        <v>0</v>
      </c>
      <c r="AW36" s="146">
        <f t="array" ref="AW36">IF($AV$9=0,0,MMULT($AH36:$AM36, AV$3:AV$8)/$AV$9)</f>
        <v>0</v>
      </c>
      <c r="AX36" s="146">
        <f t="array" ref="AX36">IF($AW$9=0,0,MMULT($AH36:$AM36, AW$3:AW$8)/$AW$9)</f>
        <v>0</v>
      </c>
      <c r="AY36" s="146">
        <f t="shared" si="13"/>
        <v>0</v>
      </c>
      <c r="AZ36" s="146">
        <f t="array" ref="AZ36">IF($AY$9=0,0,MMULT($AH36:$AM36, AY$3:AY$8)/$AY$9)</f>
        <v>0</v>
      </c>
      <c r="BA36" s="146">
        <f t="array" ref="BA36">IF($AZ$9=0,0,MMULT($AH36:$AM36, AZ$3:AZ$8)/$AZ$9)</f>
        <v>0</v>
      </c>
      <c r="BB36" s="146">
        <f t="array" ref="BB36">IF($BA$9=0,0,MMULT($AH36:$AM36, BA$3:BA$8)/$BA$9)</f>
        <v>0</v>
      </c>
      <c r="BC36" s="146">
        <f t="array" ref="BC36">IF($BB$9=0,0,MMULT($AH36:$AM36, BB$3:BB$8)/$BB$9)</f>
        <v>0</v>
      </c>
      <c r="BD36" s="146">
        <f t="array" ref="BD36">IF($BC$9=0,0,MMULT($AH36:$AM36, BC$3:BC$8)/$BC$9)</f>
        <v>0</v>
      </c>
      <c r="BE36" s="146">
        <f t="shared" si="14"/>
        <v>0</v>
      </c>
      <c r="BF36" s="146">
        <f t="shared" si="15"/>
        <v>0</v>
      </c>
      <c r="BG36" s="145">
        <f>IF(OR(GradeSheet!$M31="W (Withdrawn)", GradeSheet!$M31="I (Incomplete)"), 0, IF(AU36&gt;=65%, 1, 0))</f>
        <v>0</v>
      </c>
      <c r="BH36" s="145">
        <f>IF(OR(GradeSheet!$M31="W (Withdrawn)", GradeSheet!$M31="I (Incomplete)"), 0, IF(AV36&gt;=65%, 1, 0))</f>
        <v>0</v>
      </c>
      <c r="BI36" s="145">
        <f>IF(OR(GradeSheet!$M31="W (Withdrawn)", GradeSheet!$M31="I (Incomplete)"), 0, IF(AW36&gt;=65%, 1, 0))</f>
        <v>0</v>
      </c>
      <c r="BJ36" s="145">
        <f>IF(OR(GradeSheet!$M31="W (Withdrawn)", GradeSheet!$M31="I (Incomplete)"), 0, IF(AX36&gt;=65%, 1, 0))</f>
        <v>0</v>
      </c>
      <c r="BK36" s="145">
        <f>IF(OR(GradeSheet!$M31="W (Withdrawn)", GradeSheet!$M31="I (Incomplete)"), 0, IF(AY36&gt;=65%, 1, 0))</f>
        <v>0</v>
      </c>
      <c r="BL36" s="145">
        <f>IF(OR(GradeSheet!$M31="W (Withdrawn)", GradeSheet!$M31="I (Incomplete)"), 0, IF(AZ36&gt;=65%, 1, 0))</f>
        <v>0</v>
      </c>
      <c r="BM36" s="145">
        <f>IF(OR(GradeSheet!$M31="W (Withdrawn)", GradeSheet!$M31="I (Incomplete)"), 0, IF(BA36&gt;=65%, 1, 0))</f>
        <v>0</v>
      </c>
      <c r="BN36" s="145">
        <f>IF(OR(GradeSheet!$M31="W (Withdrawn)", GradeSheet!$M31="I (Incomplete)"), 0, IF(BB36&gt;=65%, 1, 0))</f>
        <v>0</v>
      </c>
      <c r="BO36" s="145">
        <f>IF(OR(GradeSheet!$M31="W (Withdrawn)", GradeSheet!$M31="I (Incomplete)"), 0, IF(BC36&gt;=65%, 1, 0))</f>
        <v>0</v>
      </c>
      <c r="BP36" s="145">
        <f>IF(OR(GradeSheet!$M31="W (Withdrawn)", GradeSheet!$M31="I (Incomplete)"), 0, IF(BD36&gt;=65%, 1, 0))</f>
        <v>0</v>
      </c>
      <c r="BQ36" s="145">
        <f>IF(OR(GradeSheet!$M31="W (Withdrawn)", GradeSheet!$M31="I (Incomplete)"), 0, IF(BE36&gt;=65%, 1, 0))</f>
        <v>0</v>
      </c>
      <c r="BR36" s="145">
        <f>IF(OR(GradeSheet!$M31="W (Withdrawn)", GradeSheet!$M31="I (Incomplete)"), 0, IF(BF36&gt;=65%, 1, 0))</f>
        <v>0</v>
      </c>
    </row>
    <row r="37" spans="1:70" ht="15.75" customHeight="1">
      <c r="A37" s="136">
        <v>23</v>
      </c>
      <c r="B37" s="22"/>
      <c r="C37" s="30"/>
      <c r="D37" s="137"/>
      <c r="E37" s="137"/>
      <c r="F37" s="138"/>
      <c r="G37" s="138"/>
      <c r="H37" s="138"/>
      <c r="I37" s="138"/>
      <c r="J37" s="137"/>
      <c r="K37" s="137"/>
      <c r="L37" s="137"/>
      <c r="M37" s="138"/>
      <c r="N37" s="138"/>
      <c r="O37" s="138"/>
      <c r="P37" s="139"/>
      <c r="Q37" s="140"/>
      <c r="R37" s="140"/>
      <c r="S37" s="140"/>
      <c r="T37" s="140"/>
      <c r="U37" s="141"/>
      <c r="V37" s="139"/>
      <c r="W37" s="140"/>
      <c r="X37" s="140"/>
      <c r="Y37" s="140"/>
      <c r="Z37" s="140"/>
      <c r="AA37" s="141"/>
      <c r="AB37" s="142">
        <f t="shared" ref="AB37:AE37" si="58">SUM(V37,D37,J37)</f>
        <v>0</v>
      </c>
      <c r="AC37" s="143">
        <f t="shared" si="58"/>
        <v>0</v>
      </c>
      <c r="AD37" s="148">
        <f t="shared" si="58"/>
        <v>0</v>
      </c>
      <c r="AE37" s="148">
        <f t="shared" si="58"/>
        <v>0</v>
      </c>
      <c r="AF37" s="143">
        <f t="shared" si="8"/>
        <v>0</v>
      </c>
      <c r="AG37" s="148">
        <f t="shared" si="9"/>
        <v>0</v>
      </c>
      <c r="AH37" s="144">
        <f t="shared" ref="AH37:AM37" si="59">IF(AB37 = 0, 0, AB37/AB$14)</f>
        <v>0</v>
      </c>
      <c r="AI37" s="144">
        <f t="shared" si="59"/>
        <v>0</v>
      </c>
      <c r="AJ37" s="144">
        <f t="shared" si="59"/>
        <v>0</v>
      </c>
      <c r="AK37" s="144">
        <f t="shared" si="59"/>
        <v>0</v>
      </c>
      <c r="AL37" s="144">
        <f t="shared" si="59"/>
        <v>0</v>
      </c>
      <c r="AM37" s="144">
        <f t="shared" si="59"/>
        <v>0</v>
      </c>
      <c r="AN37" s="145">
        <f>IF(OR(GradeSheet!$M32="W (Withdrawn)", GradeSheet!$M32="I (Incomplete)"), 0, IF(AH37&gt;=55%, 1, 0))</f>
        <v>0</v>
      </c>
      <c r="AO37" s="145">
        <f>IF(OR(GradeSheet!$M32="W (Withdrawn)", GradeSheet!$M32="I (Incomplete)"), 0, IF(AI37&gt;=55%, 1, 0))</f>
        <v>0</v>
      </c>
      <c r="AP37" s="145">
        <f>IF(OR(GradeSheet!$M32="W (Withdrawn)", GradeSheet!$M32="I (Incomplete)"), 0, IF(AJ37&gt;=55%, 1, 0))</f>
        <v>0</v>
      </c>
      <c r="AQ37" s="145">
        <f>IF(OR(GradeSheet!$M32="W (Withdrawn)", GradeSheet!$M32="I (Incomplete)"), 0, IF(AK37&gt;=55%, 1, 0))</f>
        <v>0</v>
      </c>
      <c r="AR37" s="145">
        <f>IF(OR(GradeSheet!$M32="W (Withdrawn)", GradeSheet!$M32="I (Incomplete)"), 0, IF(AL37&gt;=55%, 1, 0))</f>
        <v>0</v>
      </c>
      <c r="AS37" s="145">
        <f>IF(OR(GradeSheet!$M32="W (Withdrawn)", GradeSheet!$M32="I (Incomplete)"), 0, IF(AM37&gt;=55%, 1, 0))</f>
        <v>0</v>
      </c>
      <c r="AT37" s="122"/>
      <c r="AU37" s="146">
        <f t="shared" si="11"/>
        <v>0</v>
      </c>
      <c r="AV37" s="146">
        <f t="shared" si="12"/>
        <v>0</v>
      </c>
      <c r="AW37" s="146">
        <f t="array" ref="AW37">IF($AV$9=0,0,MMULT($AH37:$AM37, AV$3:AV$8)/$AV$9)</f>
        <v>0</v>
      </c>
      <c r="AX37" s="146">
        <f t="array" ref="AX37">IF($AW$9=0,0,MMULT($AH37:$AM37, AW$3:AW$8)/$AW$9)</f>
        <v>0</v>
      </c>
      <c r="AY37" s="146">
        <f t="shared" si="13"/>
        <v>0</v>
      </c>
      <c r="AZ37" s="146">
        <f t="array" ref="AZ37">IF($AY$9=0,0,MMULT($AH37:$AM37, AY$3:AY$8)/$AY$9)</f>
        <v>0</v>
      </c>
      <c r="BA37" s="146">
        <f t="array" ref="BA37">IF($AZ$9=0,0,MMULT($AH37:$AM37, AZ$3:AZ$8)/$AZ$9)</f>
        <v>0</v>
      </c>
      <c r="BB37" s="146">
        <f t="array" ref="BB37">IF($BA$9=0,0,MMULT($AH37:$AM37, BA$3:BA$8)/$BA$9)</f>
        <v>0</v>
      </c>
      <c r="BC37" s="146">
        <f t="array" ref="BC37">IF($BB$9=0,0,MMULT($AH37:$AM37, BB$3:BB$8)/$BB$9)</f>
        <v>0</v>
      </c>
      <c r="BD37" s="146">
        <f t="array" ref="BD37">IF($BC$9=0,0,MMULT($AH37:$AM37, BC$3:BC$8)/$BC$9)</f>
        <v>0</v>
      </c>
      <c r="BE37" s="146">
        <f t="shared" si="14"/>
        <v>0</v>
      </c>
      <c r="BF37" s="146">
        <f t="shared" si="15"/>
        <v>0</v>
      </c>
      <c r="BG37" s="145">
        <f>IF(OR(GradeSheet!$M32="W (Withdrawn)", GradeSheet!$M32="I (Incomplete)"), 0, IF(AU37&gt;=65%, 1, 0))</f>
        <v>0</v>
      </c>
      <c r="BH37" s="145">
        <f>IF(OR(GradeSheet!$M32="W (Withdrawn)", GradeSheet!$M32="I (Incomplete)"), 0, IF(AV37&gt;=65%, 1, 0))</f>
        <v>0</v>
      </c>
      <c r="BI37" s="145">
        <f>IF(OR(GradeSheet!$M32="W (Withdrawn)", GradeSheet!$M32="I (Incomplete)"), 0, IF(AW37&gt;=65%, 1, 0))</f>
        <v>0</v>
      </c>
      <c r="BJ37" s="145">
        <f>IF(OR(GradeSheet!$M32="W (Withdrawn)", GradeSheet!$M32="I (Incomplete)"), 0, IF(AX37&gt;=65%, 1, 0))</f>
        <v>0</v>
      </c>
      <c r="BK37" s="145">
        <f>IF(OR(GradeSheet!$M32="W (Withdrawn)", GradeSheet!$M32="I (Incomplete)"), 0, IF(AY37&gt;=65%, 1, 0))</f>
        <v>0</v>
      </c>
      <c r="BL37" s="145">
        <f>IF(OR(GradeSheet!$M32="W (Withdrawn)", GradeSheet!$M32="I (Incomplete)"), 0, IF(AZ37&gt;=65%, 1, 0))</f>
        <v>0</v>
      </c>
      <c r="BM37" s="145">
        <f>IF(OR(GradeSheet!$M32="W (Withdrawn)", GradeSheet!$M32="I (Incomplete)"), 0, IF(BA37&gt;=65%, 1, 0))</f>
        <v>0</v>
      </c>
      <c r="BN37" s="145">
        <f>IF(OR(GradeSheet!$M32="W (Withdrawn)", GradeSheet!$M32="I (Incomplete)"), 0, IF(BB37&gt;=65%, 1, 0))</f>
        <v>0</v>
      </c>
      <c r="BO37" s="145">
        <f>IF(OR(GradeSheet!$M32="W (Withdrawn)", GradeSheet!$M32="I (Incomplete)"), 0, IF(BC37&gt;=65%, 1, 0))</f>
        <v>0</v>
      </c>
      <c r="BP37" s="145">
        <f>IF(OR(GradeSheet!$M32="W (Withdrawn)", GradeSheet!$M32="I (Incomplete)"), 0, IF(BD37&gt;=65%, 1, 0))</f>
        <v>0</v>
      </c>
      <c r="BQ37" s="145">
        <f>IF(OR(GradeSheet!$M32="W (Withdrawn)", GradeSheet!$M32="I (Incomplete)"), 0, IF(BE37&gt;=65%, 1, 0))</f>
        <v>0</v>
      </c>
      <c r="BR37" s="145">
        <f>IF(OR(GradeSheet!$M32="W (Withdrawn)", GradeSheet!$M32="I (Incomplete)"), 0, IF(BF37&gt;=65%, 1, 0))</f>
        <v>0</v>
      </c>
    </row>
    <row r="38" spans="1:70" ht="15.75" customHeight="1">
      <c r="A38" s="147">
        <v>24</v>
      </c>
      <c r="B38" s="22"/>
      <c r="C38" s="30"/>
      <c r="D38" s="137"/>
      <c r="E38" s="137"/>
      <c r="F38" s="138"/>
      <c r="G38" s="138"/>
      <c r="H38" s="138"/>
      <c r="I38" s="138"/>
      <c r="J38" s="137"/>
      <c r="K38" s="137"/>
      <c r="L38" s="137"/>
      <c r="M38" s="138"/>
      <c r="N38" s="138"/>
      <c r="O38" s="138"/>
      <c r="P38" s="139"/>
      <c r="Q38" s="140"/>
      <c r="R38" s="140"/>
      <c r="S38" s="140"/>
      <c r="T38" s="140"/>
      <c r="U38" s="141"/>
      <c r="V38" s="139"/>
      <c r="W38" s="140"/>
      <c r="X38" s="140"/>
      <c r="Y38" s="140"/>
      <c r="Z38" s="140"/>
      <c r="AA38" s="141"/>
      <c r="AB38" s="142">
        <f t="shared" ref="AB38:AE38" si="60">SUM(V38,D38,J38)</f>
        <v>0</v>
      </c>
      <c r="AC38" s="143">
        <f t="shared" si="60"/>
        <v>0</v>
      </c>
      <c r="AD38" s="148">
        <f t="shared" si="60"/>
        <v>0</v>
      </c>
      <c r="AE38" s="148">
        <f t="shared" si="60"/>
        <v>0</v>
      </c>
      <c r="AF38" s="143">
        <f t="shared" si="8"/>
        <v>0</v>
      </c>
      <c r="AG38" s="148">
        <f t="shared" si="9"/>
        <v>0</v>
      </c>
      <c r="AH38" s="144">
        <f t="shared" ref="AH38:AM38" si="61">IF(AB38 = 0, 0, AB38/AB$14)</f>
        <v>0</v>
      </c>
      <c r="AI38" s="144">
        <f t="shared" si="61"/>
        <v>0</v>
      </c>
      <c r="AJ38" s="144">
        <f t="shared" si="61"/>
        <v>0</v>
      </c>
      <c r="AK38" s="144">
        <f t="shared" si="61"/>
        <v>0</v>
      </c>
      <c r="AL38" s="144">
        <f t="shared" si="61"/>
        <v>0</v>
      </c>
      <c r="AM38" s="144">
        <f t="shared" si="61"/>
        <v>0</v>
      </c>
      <c r="AN38" s="145">
        <v>1</v>
      </c>
      <c r="AO38" s="145">
        <f>IF(OR(GradeSheet!$M33="W (Withdrawn)", GradeSheet!$M33="I (Incomplete)"), 0, IF(AI38&gt;=55%, 1, 0))</f>
        <v>0</v>
      </c>
      <c r="AP38" s="145">
        <f>IF(OR(GradeSheet!$M33="W (Withdrawn)", GradeSheet!$M33="I (Incomplete)"), 0, IF(AJ38&gt;=55%, 1, 0))</f>
        <v>0</v>
      </c>
      <c r="AQ38" s="145">
        <f>IF(OR(GradeSheet!$M33="W (Withdrawn)", GradeSheet!$M33="I (Incomplete)"), 0, IF(AK38&gt;=55%, 1, 0))</f>
        <v>0</v>
      </c>
      <c r="AR38" s="145">
        <f>IF(OR(GradeSheet!$M33="W (Withdrawn)", GradeSheet!$M33="I (Incomplete)"), 0, IF(AL38&gt;=55%, 1, 0))</f>
        <v>0</v>
      </c>
      <c r="AS38" s="145">
        <f>IF(OR(GradeSheet!$M33="W (Withdrawn)", GradeSheet!$M33="I (Incomplete)"), 0, IF(AM38&gt;=55%, 1, 0))</f>
        <v>0</v>
      </c>
      <c r="AT38" s="122"/>
      <c r="AU38" s="146">
        <f t="shared" si="11"/>
        <v>0</v>
      </c>
      <c r="AV38" s="146">
        <f t="shared" si="12"/>
        <v>0</v>
      </c>
      <c r="AW38" s="146">
        <f t="array" ref="AW38">IF($AV$9=0,0,MMULT($AH38:$AM38, AV$3:AV$8)/$AV$9)</f>
        <v>0</v>
      </c>
      <c r="AX38" s="146">
        <f t="array" ref="AX38">IF($AW$9=0,0,MMULT($AH38:$AM38, AW$3:AW$8)/$AW$9)</f>
        <v>0</v>
      </c>
      <c r="AY38" s="146">
        <f t="shared" si="13"/>
        <v>0</v>
      </c>
      <c r="AZ38" s="146">
        <f t="array" ref="AZ38">IF($AY$9=0,0,MMULT($AH38:$AM38, AY$3:AY$8)/$AY$9)</f>
        <v>0</v>
      </c>
      <c r="BA38" s="146">
        <f t="array" ref="BA38">IF($AZ$9=0,0,MMULT($AH38:$AM38, AZ$3:AZ$8)/$AZ$9)</f>
        <v>0</v>
      </c>
      <c r="BB38" s="146">
        <f t="array" ref="BB38">IF($BA$9=0,0,MMULT($AH38:$AM38, BA$3:BA$8)/$BA$9)</f>
        <v>0</v>
      </c>
      <c r="BC38" s="146">
        <f t="array" ref="BC38">IF($BB$9=0,0,MMULT($AH38:$AM38, BB$3:BB$8)/$BB$9)</f>
        <v>0</v>
      </c>
      <c r="BD38" s="146">
        <f t="array" ref="BD38">IF($BC$9=0,0,MMULT($AH38:$AM38, BC$3:BC$8)/$BC$9)</f>
        <v>0</v>
      </c>
      <c r="BE38" s="146">
        <f t="shared" si="14"/>
        <v>0</v>
      </c>
      <c r="BF38" s="146">
        <f t="shared" si="15"/>
        <v>0</v>
      </c>
      <c r="BG38" s="145">
        <f>IF(OR(GradeSheet!$M33="W (Withdrawn)", GradeSheet!$M33="I (Incomplete)"), 0, IF(AU38&gt;=65%, 1, 0))</f>
        <v>0</v>
      </c>
      <c r="BH38" s="145">
        <f>IF(OR(GradeSheet!$M33="W (Withdrawn)", GradeSheet!$M33="I (Incomplete)"), 0, IF(AV38&gt;=65%, 1, 0))</f>
        <v>0</v>
      </c>
      <c r="BI38" s="145">
        <f>IF(OR(GradeSheet!$M33="W (Withdrawn)", GradeSheet!$M33="I (Incomplete)"), 0, IF(AW38&gt;=65%, 1, 0))</f>
        <v>0</v>
      </c>
      <c r="BJ38" s="145">
        <f>IF(OR(GradeSheet!$M33="W (Withdrawn)", GradeSheet!$M33="I (Incomplete)"), 0, IF(AX38&gt;=65%, 1, 0))</f>
        <v>0</v>
      </c>
      <c r="BK38" s="145">
        <f>IF(OR(GradeSheet!$M33="W (Withdrawn)", GradeSheet!$M33="I (Incomplete)"), 0, IF(AY38&gt;=65%, 1, 0))</f>
        <v>0</v>
      </c>
      <c r="BL38" s="145">
        <f>IF(OR(GradeSheet!$M33="W (Withdrawn)", GradeSheet!$M33="I (Incomplete)"), 0, IF(AZ38&gt;=65%, 1, 0))</f>
        <v>0</v>
      </c>
      <c r="BM38" s="145">
        <f>IF(OR(GradeSheet!$M33="W (Withdrawn)", GradeSheet!$M33="I (Incomplete)"), 0, IF(BA38&gt;=65%, 1, 0))</f>
        <v>0</v>
      </c>
      <c r="BN38" s="145">
        <f>IF(OR(GradeSheet!$M33="W (Withdrawn)", GradeSheet!$M33="I (Incomplete)"), 0, IF(BB38&gt;=65%, 1, 0))</f>
        <v>0</v>
      </c>
      <c r="BO38" s="145">
        <f>IF(OR(GradeSheet!$M33="W (Withdrawn)", GradeSheet!$M33="I (Incomplete)"), 0, IF(BC38&gt;=65%, 1, 0))</f>
        <v>0</v>
      </c>
      <c r="BP38" s="145">
        <f>IF(OR(GradeSheet!$M33="W (Withdrawn)", GradeSheet!$M33="I (Incomplete)"), 0, IF(BD38&gt;=65%, 1, 0))</f>
        <v>0</v>
      </c>
      <c r="BQ38" s="145">
        <f>IF(OR(GradeSheet!$M33="W (Withdrawn)", GradeSheet!$M33="I (Incomplete)"), 0, IF(BE38&gt;=65%, 1, 0))</f>
        <v>0</v>
      </c>
      <c r="BR38" s="145">
        <f>IF(OR(GradeSheet!$M33="W (Withdrawn)", GradeSheet!$M33="I (Incomplete)"), 0, IF(BF38&gt;=65%, 1, 0))</f>
        <v>0</v>
      </c>
    </row>
    <row r="39" spans="1:70" ht="15.75" customHeight="1">
      <c r="A39" s="136">
        <v>25</v>
      </c>
      <c r="B39" s="22"/>
      <c r="C39" s="30"/>
      <c r="D39" s="137"/>
      <c r="E39" s="137"/>
      <c r="F39" s="138"/>
      <c r="G39" s="138"/>
      <c r="H39" s="138"/>
      <c r="I39" s="138"/>
      <c r="J39" s="137"/>
      <c r="K39" s="137"/>
      <c r="L39" s="137"/>
      <c r="M39" s="138"/>
      <c r="N39" s="138"/>
      <c r="O39" s="138"/>
      <c r="P39" s="139"/>
      <c r="Q39" s="140"/>
      <c r="R39" s="140"/>
      <c r="S39" s="140"/>
      <c r="T39" s="140"/>
      <c r="U39" s="141"/>
      <c r="V39" s="139"/>
      <c r="W39" s="140"/>
      <c r="X39" s="140"/>
      <c r="Y39" s="140"/>
      <c r="Z39" s="140"/>
      <c r="AA39" s="141"/>
      <c r="AB39" s="142">
        <f t="shared" ref="AB39:AE39" si="62">SUM(V39,D39,J39)</f>
        <v>0</v>
      </c>
      <c r="AC39" s="143">
        <f t="shared" si="62"/>
        <v>0</v>
      </c>
      <c r="AD39" s="148">
        <f t="shared" si="62"/>
        <v>0</v>
      </c>
      <c r="AE39" s="148">
        <f t="shared" si="62"/>
        <v>0</v>
      </c>
      <c r="AF39" s="143">
        <f t="shared" si="8"/>
        <v>0</v>
      </c>
      <c r="AG39" s="148">
        <f t="shared" si="9"/>
        <v>0</v>
      </c>
      <c r="AH39" s="144">
        <f t="shared" ref="AH39:AM39" si="63">IF(AB39 = 0, 0, AB39/AB$14)</f>
        <v>0</v>
      </c>
      <c r="AI39" s="144">
        <f t="shared" si="63"/>
        <v>0</v>
      </c>
      <c r="AJ39" s="144">
        <f t="shared" si="63"/>
        <v>0</v>
      </c>
      <c r="AK39" s="144">
        <f t="shared" si="63"/>
        <v>0</v>
      </c>
      <c r="AL39" s="144">
        <f t="shared" si="63"/>
        <v>0</v>
      </c>
      <c r="AM39" s="144">
        <f t="shared" si="63"/>
        <v>0</v>
      </c>
      <c r="AN39" s="145">
        <f>IF(OR(GradeSheet!$M34="W (Withdrawn)", GradeSheet!$M34="I (Incomplete)"), 0, IF(AH39&gt;=55%, 1, 0))</f>
        <v>0</v>
      </c>
      <c r="AO39" s="145">
        <f>IF(OR(GradeSheet!$M34="W (Withdrawn)", GradeSheet!$M34="I (Incomplete)"), 0, IF(AI39&gt;=55%, 1, 0))</f>
        <v>0</v>
      </c>
      <c r="AP39" s="145">
        <f>IF(OR(GradeSheet!$M34="W (Withdrawn)", GradeSheet!$M34="I (Incomplete)"), 0, IF(AJ39&gt;=55%, 1, 0))</f>
        <v>0</v>
      </c>
      <c r="AQ39" s="145">
        <f>IF(OR(GradeSheet!$M34="W (Withdrawn)", GradeSheet!$M34="I (Incomplete)"), 0, IF(AK39&gt;=55%, 1, 0))</f>
        <v>0</v>
      </c>
      <c r="AR39" s="145">
        <f>IF(OR(GradeSheet!$M34="W (Withdrawn)", GradeSheet!$M34="I (Incomplete)"), 0, IF(AL39&gt;=55%, 1, 0))</f>
        <v>0</v>
      </c>
      <c r="AS39" s="145">
        <f>IF(OR(GradeSheet!$M34="W (Withdrawn)", GradeSheet!$M34="I (Incomplete)"), 0, IF(AM39&gt;=55%, 1, 0))</f>
        <v>0</v>
      </c>
      <c r="AT39" s="122"/>
      <c r="AU39" s="146">
        <f t="shared" si="11"/>
        <v>0</v>
      </c>
      <c r="AV39" s="146">
        <f t="shared" si="12"/>
        <v>0</v>
      </c>
      <c r="AW39" s="146">
        <f t="array" ref="AW39">IF($AV$9=0,0,MMULT($AH39:$AM39, AV$3:AV$8)/$AV$9)</f>
        <v>0</v>
      </c>
      <c r="AX39" s="146">
        <f t="array" ref="AX39">IF($AW$9=0,0,MMULT($AH39:$AM39, AW$3:AW$8)/$AW$9)</f>
        <v>0</v>
      </c>
      <c r="AY39" s="146">
        <f t="shared" si="13"/>
        <v>0</v>
      </c>
      <c r="AZ39" s="146">
        <f t="array" ref="AZ39">IF($AY$9=0,0,MMULT($AH39:$AM39, AY$3:AY$8)/$AY$9)</f>
        <v>0</v>
      </c>
      <c r="BA39" s="146">
        <f t="array" ref="BA39">IF($AZ$9=0,0,MMULT($AH39:$AM39, AZ$3:AZ$8)/$AZ$9)</f>
        <v>0</v>
      </c>
      <c r="BB39" s="146">
        <f t="array" ref="BB39">IF($BA$9=0,0,MMULT($AH39:$AM39, BA$3:BA$8)/$BA$9)</f>
        <v>0</v>
      </c>
      <c r="BC39" s="146">
        <f t="array" ref="BC39">IF($BB$9=0,0,MMULT($AH39:$AM39, BB$3:BB$8)/$BB$9)</f>
        <v>0</v>
      </c>
      <c r="BD39" s="146">
        <f t="array" ref="BD39">IF($BC$9=0,0,MMULT($AH39:$AM39, BC$3:BC$8)/$BC$9)</f>
        <v>0</v>
      </c>
      <c r="BE39" s="146">
        <f t="shared" si="14"/>
        <v>0</v>
      </c>
      <c r="BF39" s="146">
        <f t="shared" si="15"/>
        <v>0</v>
      </c>
      <c r="BG39" s="145">
        <f>IF(OR(GradeSheet!$M34="W (Withdrawn)", GradeSheet!$M34="I (Incomplete)"), 0, IF(AU39&gt;=65%, 1, 0))</f>
        <v>0</v>
      </c>
      <c r="BH39" s="145">
        <f>IF(OR(GradeSheet!$M34="W (Withdrawn)", GradeSheet!$M34="I (Incomplete)"), 0, IF(AV39&gt;=65%, 1, 0))</f>
        <v>0</v>
      </c>
      <c r="BI39" s="145">
        <f>IF(OR(GradeSheet!$M34="W (Withdrawn)", GradeSheet!$M34="I (Incomplete)"), 0, IF(AW39&gt;=65%, 1, 0))</f>
        <v>0</v>
      </c>
      <c r="BJ39" s="145">
        <f>IF(OR(GradeSheet!$M34="W (Withdrawn)", GradeSheet!$M34="I (Incomplete)"), 0, IF(AX39&gt;=65%, 1, 0))</f>
        <v>0</v>
      </c>
      <c r="BK39" s="145">
        <f>IF(OR(GradeSheet!$M34="W (Withdrawn)", GradeSheet!$M34="I (Incomplete)"), 0, IF(AY39&gt;=65%, 1, 0))</f>
        <v>0</v>
      </c>
      <c r="BL39" s="145">
        <f>IF(OR(GradeSheet!$M34="W (Withdrawn)", GradeSheet!$M34="I (Incomplete)"), 0, IF(AZ39&gt;=65%, 1, 0))</f>
        <v>0</v>
      </c>
      <c r="BM39" s="145">
        <f>IF(OR(GradeSheet!$M34="W (Withdrawn)", GradeSheet!$M34="I (Incomplete)"), 0, IF(BA39&gt;=65%, 1, 0))</f>
        <v>0</v>
      </c>
      <c r="BN39" s="145">
        <f>IF(OR(GradeSheet!$M34="W (Withdrawn)", GradeSheet!$M34="I (Incomplete)"), 0, IF(BB39&gt;=65%, 1, 0))</f>
        <v>0</v>
      </c>
      <c r="BO39" s="145">
        <f>IF(OR(GradeSheet!$M34="W (Withdrawn)", GradeSheet!$M34="I (Incomplete)"), 0, IF(BC39&gt;=65%, 1, 0))</f>
        <v>0</v>
      </c>
      <c r="BP39" s="145">
        <f>IF(OR(GradeSheet!$M34="W (Withdrawn)", GradeSheet!$M34="I (Incomplete)"), 0, IF(BD39&gt;=65%, 1, 0))</f>
        <v>0</v>
      </c>
      <c r="BQ39" s="145">
        <f>IF(OR(GradeSheet!$M34="W (Withdrawn)", GradeSheet!$M34="I (Incomplete)"), 0, IF(BE39&gt;=65%, 1, 0))</f>
        <v>0</v>
      </c>
      <c r="BR39" s="145">
        <f>IF(OR(GradeSheet!$M34="W (Withdrawn)", GradeSheet!$M34="I (Incomplete)"), 0, IF(BF39&gt;=65%, 1, 0))</f>
        <v>0</v>
      </c>
    </row>
    <row r="40" spans="1:70" ht="15.75" customHeight="1">
      <c r="A40" s="147">
        <v>26</v>
      </c>
      <c r="B40" s="22"/>
      <c r="C40" s="30"/>
      <c r="D40" s="137"/>
      <c r="E40" s="137"/>
      <c r="F40" s="138"/>
      <c r="G40" s="138"/>
      <c r="H40" s="138"/>
      <c r="I40" s="138"/>
      <c r="J40" s="137"/>
      <c r="K40" s="137"/>
      <c r="L40" s="137"/>
      <c r="M40" s="138"/>
      <c r="N40" s="138"/>
      <c r="O40" s="138"/>
      <c r="P40" s="139"/>
      <c r="Q40" s="140"/>
      <c r="R40" s="140"/>
      <c r="S40" s="140"/>
      <c r="T40" s="140"/>
      <c r="U40" s="141"/>
      <c r="V40" s="139"/>
      <c r="W40" s="140"/>
      <c r="X40" s="140"/>
      <c r="Y40" s="140"/>
      <c r="Z40" s="140"/>
      <c r="AA40" s="141"/>
      <c r="AB40" s="142">
        <f t="shared" ref="AB40:AE40" si="64">SUM(V40,D40,J40)</f>
        <v>0</v>
      </c>
      <c r="AC40" s="143">
        <f t="shared" si="64"/>
        <v>0</v>
      </c>
      <c r="AD40" s="148">
        <f t="shared" si="64"/>
        <v>0</v>
      </c>
      <c r="AE40" s="148">
        <f t="shared" si="64"/>
        <v>0</v>
      </c>
      <c r="AF40" s="143">
        <f t="shared" si="8"/>
        <v>0</v>
      </c>
      <c r="AG40" s="148">
        <f t="shared" si="9"/>
        <v>0</v>
      </c>
      <c r="AH40" s="144">
        <f t="shared" ref="AH40:AM40" si="65">IF(AB40 = 0, 0, AB40/AB$14)</f>
        <v>0</v>
      </c>
      <c r="AI40" s="144">
        <f t="shared" si="65"/>
        <v>0</v>
      </c>
      <c r="AJ40" s="144">
        <f t="shared" si="65"/>
        <v>0</v>
      </c>
      <c r="AK40" s="144">
        <f t="shared" si="65"/>
        <v>0</v>
      </c>
      <c r="AL40" s="144">
        <f t="shared" si="65"/>
        <v>0</v>
      </c>
      <c r="AM40" s="144">
        <f t="shared" si="65"/>
        <v>0</v>
      </c>
      <c r="AN40" s="145">
        <f>IF(OR(GradeSheet!$M35="W (Withdrawn)", GradeSheet!$M35="I (Incomplete)"), 0, IF(AH40&gt;=55%, 1, 0))</f>
        <v>0</v>
      </c>
      <c r="AO40" s="145">
        <f>IF(OR(GradeSheet!$M35="W (Withdrawn)", GradeSheet!$M35="I (Incomplete)"), 0, IF(AI40&gt;=55%, 1, 0))</f>
        <v>0</v>
      </c>
      <c r="AP40" s="145">
        <f>IF(OR(GradeSheet!$M35="W (Withdrawn)", GradeSheet!$M35="I (Incomplete)"), 0, IF(AJ40&gt;=55%, 1, 0))</f>
        <v>0</v>
      </c>
      <c r="AQ40" s="145">
        <f>IF(OR(GradeSheet!$M35="W (Withdrawn)", GradeSheet!$M35="I (Incomplete)"), 0, IF(AK40&gt;=55%, 1, 0))</f>
        <v>0</v>
      </c>
      <c r="AR40" s="145">
        <f>IF(OR(GradeSheet!$M35="W (Withdrawn)", GradeSheet!$M35="I (Incomplete)"), 0, IF(AL40&gt;=55%, 1, 0))</f>
        <v>0</v>
      </c>
      <c r="AS40" s="145">
        <f>IF(OR(GradeSheet!$M35="W (Withdrawn)", GradeSheet!$M35="I (Incomplete)"), 0, IF(AM40&gt;=55%, 1, 0))</f>
        <v>0</v>
      </c>
      <c r="AT40" s="122"/>
      <c r="AU40" s="146">
        <f t="shared" si="11"/>
        <v>0</v>
      </c>
      <c r="AV40" s="146">
        <f t="shared" si="12"/>
        <v>0</v>
      </c>
      <c r="AW40" s="146">
        <f t="array" ref="AW40">IF($AV$9=0,0,MMULT($AH40:$AM40, AV$3:AV$8)/$AV$9)</f>
        <v>0</v>
      </c>
      <c r="AX40" s="146">
        <f t="array" ref="AX40">IF($AW$9=0,0,MMULT($AH40:$AM40, AW$3:AW$8)/$AW$9)</f>
        <v>0</v>
      </c>
      <c r="AY40" s="146">
        <f t="shared" si="13"/>
        <v>0</v>
      </c>
      <c r="AZ40" s="146">
        <f t="array" ref="AZ40">IF($AY$9=0,0,MMULT($AH40:$AM40, AY$3:AY$8)/$AY$9)</f>
        <v>0</v>
      </c>
      <c r="BA40" s="146">
        <f t="array" ref="BA40">IF($AZ$9=0,0,MMULT($AH40:$AM40, AZ$3:AZ$8)/$AZ$9)</f>
        <v>0</v>
      </c>
      <c r="BB40" s="146">
        <f t="array" ref="BB40">IF($BA$9=0,0,MMULT($AH40:$AM40, BA$3:BA$8)/$BA$9)</f>
        <v>0</v>
      </c>
      <c r="BC40" s="146">
        <f t="array" ref="BC40">IF($BB$9=0,0,MMULT($AH40:$AM40, BB$3:BB$8)/$BB$9)</f>
        <v>0</v>
      </c>
      <c r="BD40" s="146">
        <f t="array" ref="BD40">IF($BC$9=0,0,MMULT($AH40:$AM40, BC$3:BC$8)/$BC$9)</f>
        <v>0</v>
      </c>
      <c r="BE40" s="146">
        <f t="shared" si="14"/>
        <v>0</v>
      </c>
      <c r="BF40" s="146">
        <f t="shared" si="15"/>
        <v>0</v>
      </c>
      <c r="BG40" s="145">
        <f>IF(OR(GradeSheet!$M35="W (Withdrawn)", GradeSheet!$M35="I (Incomplete)"), 0, IF(AU40&gt;=65%, 1, 0))</f>
        <v>0</v>
      </c>
      <c r="BH40" s="145">
        <f>IF(OR(GradeSheet!$M35="W (Withdrawn)", GradeSheet!$M35="I (Incomplete)"), 0, IF(AV40&gt;=65%, 1, 0))</f>
        <v>0</v>
      </c>
      <c r="BI40" s="145">
        <f>IF(OR(GradeSheet!$M35="W (Withdrawn)", GradeSheet!$M35="I (Incomplete)"), 0, IF(AW40&gt;=65%, 1, 0))</f>
        <v>0</v>
      </c>
      <c r="BJ40" s="145">
        <f>IF(OR(GradeSheet!$M35="W (Withdrawn)", GradeSheet!$M35="I (Incomplete)"), 0, IF(AX40&gt;=65%, 1, 0))</f>
        <v>0</v>
      </c>
      <c r="BK40" s="145">
        <f>IF(OR(GradeSheet!$M35="W (Withdrawn)", GradeSheet!$M35="I (Incomplete)"), 0, IF(AY40&gt;=65%, 1, 0))</f>
        <v>0</v>
      </c>
      <c r="BL40" s="145">
        <f>IF(OR(GradeSheet!$M35="W (Withdrawn)", GradeSheet!$M35="I (Incomplete)"), 0, IF(AZ40&gt;=65%, 1, 0))</f>
        <v>0</v>
      </c>
      <c r="BM40" s="145">
        <f>IF(OR(GradeSheet!$M35="W (Withdrawn)", GradeSheet!$M35="I (Incomplete)"), 0, IF(BA40&gt;=65%, 1, 0))</f>
        <v>0</v>
      </c>
      <c r="BN40" s="145">
        <f>IF(OR(GradeSheet!$M35="W (Withdrawn)", GradeSheet!$M35="I (Incomplete)"), 0, IF(BB40&gt;=65%, 1, 0))</f>
        <v>0</v>
      </c>
      <c r="BO40" s="145">
        <f>IF(OR(GradeSheet!$M35="W (Withdrawn)", GradeSheet!$M35="I (Incomplete)"), 0, IF(BC40&gt;=65%, 1, 0))</f>
        <v>0</v>
      </c>
      <c r="BP40" s="145">
        <f>IF(OR(GradeSheet!$M35="W (Withdrawn)", GradeSheet!$M35="I (Incomplete)"), 0, IF(BD40&gt;=65%, 1, 0))</f>
        <v>0</v>
      </c>
      <c r="BQ40" s="145">
        <f>IF(OR(GradeSheet!$M35="W (Withdrawn)", GradeSheet!$M35="I (Incomplete)"), 0, IF(BE40&gt;=65%, 1, 0))</f>
        <v>0</v>
      </c>
      <c r="BR40" s="145">
        <f>IF(OR(GradeSheet!$M35="W (Withdrawn)", GradeSheet!$M35="I (Incomplete)"), 0, IF(BF40&gt;=65%, 1, 0))</f>
        <v>0</v>
      </c>
    </row>
    <row r="41" spans="1:70" ht="15.75" customHeight="1">
      <c r="A41" s="136">
        <v>27</v>
      </c>
      <c r="B41" s="22"/>
      <c r="C41" s="30"/>
      <c r="D41" s="137"/>
      <c r="E41" s="137"/>
      <c r="F41" s="138"/>
      <c r="G41" s="138"/>
      <c r="H41" s="138"/>
      <c r="I41" s="138"/>
      <c r="J41" s="137"/>
      <c r="K41" s="137"/>
      <c r="L41" s="137"/>
      <c r="M41" s="138"/>
      <c r="N41" s="138"/>
      <c r="O41" s="138"/>
      <c r="P41" s="139"/>
      <c r="Q41" s="140"/>
      <c r="R41" s="140"/>
      <c r="S41" s="140"/>
      <c r="T41" s="140"/>
      <c r="U41" s="141"/>
      <c r="V41" s="139"/>
      <c r="W41" s="140"/>
      <c r="X41" s="140"/>
      <c r="Y41" s="140"/>
      <c r="Z41" s="140"/>
      <c r="AA41" s="141"/>
      <c r="AB41" s="142">
        <f t="shared" ref="AB41:AE41" si="66">SUM(V41,D41,J41)</f>
        <v>0</v>
      </c>
      <c r="AC41" s="143">
        <f t="shared" si="66"/>
        <v>0</v>
      </c>
      <c r="AD41" s="148">
        <f t="shared" si="66"/>
        <v>0</v>
      </c>
      <c r="AE41" s="148">
        <f t="shared" si="66"/>
        <v>0</v>
      </c>
      <c r="AF41" s="143">
        <f t="shared" si="8"/>
        <v>0</v>
      </c>
      <c r="AG41" s="148">
        <f t="shared" si="9"/>
        <v>0</v>
      </c>
      <c r="AH41" s="144">
        <f t="shared" ref="AH41:AM41" si="67">IF(AB41 = 0, 0, AB41/AB$14)</f>
        <v>0</v>
      </c>
      <c r="AI41" s="144">
        <f t="shared" si="67"/>
        <v>0</v>
      </c>
      <c r="AJ41" s="144">
        <f t="shared" si="67"/>
        <v>0</v>
      </c>
      <c r="AK41" s="144">
        <f t="shared" si="67"/>
        <v>0</v>
      </c>
      <c r="AL41" s="144">
        <f t="shared" si="67"/>
        <v>0</v>
      </c>
      <c r="AM41" s="144">
        <f t="shared" si="67"/>
        <v>0</v>
      </c>
      <c r="AN41" s="145">
        <f>IF(OR(GradeSheet!$M36="W (Withdrawn)", GradeSheet!$M36="I (Incomplete)"), 0, IF(AH41&gt;=55%, 1, 0))</f>
        <v>0</v>
      </c>
      <c r="AO41" s="145">
        <f>IF(OR(GradeSheet!$M36="W (Withdrawn)", GradeSheet!$M36="I (Incomplete)"), 0, IF(AI41&gt;=55%, 1, 0))</f>
        <v>0</v>
      </c>
      <c r="AP41" s="145">
        <f>IF(OR(GradeSheet!$M36="W (Withdrawn)", GradeSheet!$M36="I (Incomplete)"), 0, IF(AJ41&gt;=55%, 1, 0))</f>
        <v>0</v>
      </c>
      <c r="AQ41" s="145">
        <f>IF(OR(GradeSheet!$M36="W (Withdrawn)", GradeSheet!$M36="I (Incomplete)"), 0, IF(AK41&gt;=55%, 1, 0))</f>
        <v>0</v>
      </c>
      <c r="AR41" s="145">
        <f>IF(OR(GradeSheet!$M36="W (Withdrawn)", GradeSheet!$M36="I (Incomplete)"), 0, IF(AL41&gt;=55%, 1, 0))</f>
        <v>0</v>
      </c>
      <c r="AS41" s="145">
        <f>IF(OR(GradeSheet!$M36="W (Withdrawn)", GradeSheet!$M36="I (Incomplete)"), 0, IF(AM41&gt;=55%, 1, 0))</f>
        <v>0</v>
      </c>
      <c r="AT41" s="122"/>
      <c r="AU41" s="146">
        <f t="shared" si="11"/>
        <v>0</v>
      </c>
      <c r="AV41" s="146">
        <f t="shared" si="12"/>
        <v>0</v>
      </c>
      <c r="AW41" s="146">
        <f t="array" ref="AW41">IF($AV$9=0,0,MMULT($AH41:$AM41, AV$3:AV$8)/$AV$9)</f>
        <v>0</v>
      </c>
      <c r="AX41" s="146">
        <f t="array" ref="AX41">IF($AW$9=0,0,MMULT($AH41:$AM41, AW$3:AW$8)/$AW$9)</f>
        <v>0</v>
      </c>
      <c r="AY41" s="146">
        <f t="shared" si="13"/>
        <v>0</v>
      </c>
      <c r="AZ41" s="146">
        <f t="array" ref="AZ41">IF($AY$9=0,0,MMULT($AH41:$AM41, AY$3:AY$8)/$AY$9)</f>
        <v>0</v>
      </c>
      <c r="BA41" s="146">
        <f t="array" ref="BA41">IF($AZ$9=0,0,MMULT($AH41:$AM41, AZ$3:AZ$8)/$AZ$9)</f>
        <v>0</v>
      </c>
      <c r="BB41" s="146">
        <f t="array" ref="BB41">IF($BA$9=0,0,MMULT($AH41:$AM41, BA$3:BA$8)/$BA$9)</f>
        <v>0</v>
      </c>
      <c r="BC41" s="146">
        <f t="array" ref="BC41">IF($BB$9=0,0,MMULT($AH41:$AM41, BB$3:BB$8)/$BB$9)</f>
        <v>0</v>
      </c>
      <c r="BD41" s="146">
        <f t="array" ref="BD41">IF($BC$9=0,0,MMULT($AH41:$AM41, BC$3:BC$8)/$BC$9)</f>
        <v>0</v>
      </c>
      <c r="BE41" s="146">
        <f t="shared" si="14"/>
        <v>0</v>
      </c>
      <c r="BF41" s="146">
        <f t="shared" si="15"/>
        <v>0</v>
      </c>
      <c r="BG41" s="145">
        <f>IF(OR(GradeSheet!$M36="W (Withdrawn)", GradeSheet!$M36="I (Incomplete)"), 0, IF(AU41&gt;=65%, 1, 0))</f>
        <v>0</v>
      </c>
      <c r="BH41" s="145">
        <f>IF(OR(GradeSheet!$M36="W (Withdrawn)", GradeSheet!$M36="I (Incomplete)"), 0, IF(AV41&gt;=65%, 1, 0))</f>
        <v>0</v>
      </c>
      <c r="BI41" s="145">
        <f>IF(OR(GradeSheet!$M36="W (Withdrawn)", GradeSheet!$M36="I (Incomplete)"), 0, IF(AW41&gt;=65%, 1, 0))</f>
        <v>0</v>
      </c>
      <c r="BJ41" s="145">
        <f>IF(OR(GradeSheet!$M36="W (Withdrawn)", GradeSheet!$M36="I (Incomplete)"), 0, IF(AX41&gt;=65%, 1, 0))</f>
        <v>0</v>
      </c>
      <c r="BK41" s="145">
        <f>IF(OR(GradeSheet!$M36="W (Withdrawn)", GradeSheet!$M36="I (Incomplete)"), 0, IF(AY41&gt;=65%, 1, 0))</f>
        <v>0</v>
      </c>
      <c r="BL41" s="145">
        <f>IF(OR(GradeSheet!$M36="W (Withdrawn)", GradeSheet!$M36="I (Incomplete)"), 0, IF(AZ41&gt;=65%, 1, 0))</f>
        <v>0</v>
      </c>
      <c r="BM41" s="145">
        <f>IF(OR(GradeSheet!$M36="W (Withdrawn)", GradeSheet!$M36="I (Incomplete)"), 0, IF(BA41&gt;=65%, 1, 0))</f>
        <v>0</v>
      </c>
      <c r="BN41" s="145">
        <f>IF(OR(GradeSheet!$M36="W (Withdrawn)", GradeSheet!$M36="I (Incomplete)"), 0, IF(BB41&gt;=65%, 1, 0))</f>
        <v>0</v>
      </c>
      <c r="BO41" s="145">
        <f>IF(OR(GradeSheet!$M36="W (Withdrawn)", GradeSheet!$M36="I (Incomplete)"), 0, IF(BC41&gt;=65%, 1, 0))</f>
        <v>0</v>
      </c>
      <c r="BP41" s="145">
        <f>IF(OR(GradeSheet!$M36="W (Withdrawn)", GradeSheet!$M36="I (Incomplete)"), 0, IF(BD41&gt;=65%, 1, 0))</f>
        <v>0</v>
      </c>
      <c r="BQ41" s="145">
        <f>IF(OR(GradeSheet!$M36="W (Withdrawn)", GradeSheet!$M36="I (Incomplete)"), 0, IF(BE41&gt;=65%, 1, 0))</f>
        <v>0</v>
      </c>
      <c r="BR41" s="145">
        <f>IF(OR(GradeSheet!$M36="W (Withdrawn)", GradeSheet!$M36="I (Incomplete)"), 0, IF(BF41&gt;=65%, 1, 0))</f>
        <v>0</v>
      </c>
    </row>
    <row r="42" spans="1:70" ht="15.75" customHeight="1">
      <c r="A42" s="147">
        <v>28</v>
      </c>
      <c r="B42" s="22"/>
      <c r="C42" s="30"/>
      <c r="D42" s="137"/>
      <c r="E42" s="137"/>
      <c r="F42" s="138"/>
      <c r="G42" s="138"/>
      <c r="H42" s="138"/>
      <c r="I42" s="138"/>
      <c r="J42" s="137"/>
      <c r="K42" s="137"/>
      <c r="L42" s="137"/>
      <c r="M42" s="138"/>
      <c r="N42" s="138"/>
      <c r="O42" s="138"/>
      <c r="P42" s="139"/>
      <c r="Q42" s="140"/>
      <c r="R42" s="140"/>
      <c r="S42" s="140"/>
      <c r="T42" s="140"/>
      <c r="U42" s="141"/>
      <c r="V42" s="139"/>
      <c r="W42" s="140"/>
      <c r="X42" s="140"/>
      <c r="Y42" s="140"/>
      <c r="Z42" s="140"/>
      <c r="AA42" s="141"/>
      <c r="AB42" s="142">
        <f t="shared" ref="AB42:AE42" si="68">SUM(V42,D42,J42)</f>
        <v>0</v>
      </c>
      <c r="AC42" s="143">
        <f t="shared" si="68"/>
        <v>0</v>
      </c>
      <c r="AD42" s="148">
        <f t="shared" si="68"/>
        <v>0</v>
      </c>
      <c r="AE42" s="148">
        <f t="shared" si="68"/>
        <v>0</v>
      </c>
      <c r="AF42" s="143">
        <f t="shared" si="8"/>
        <v>0</v>
      </c>
      <c r="AG42" s="148">
        <f t="shared" si="9"/>
        <v>0</v>
      </c>
      <c r="AH42" s="144">
        <f t="shared" ref="AH42:AM42" si="69">IF(AB42 = 0, 0, AB42/AB$14)</f>
        <v>0</v>
      </c>
      <c r="AI42" s="144">
        <f t="shared" si="69"/>
        <v>0</v>
      </c>
      <c r="AJ42" s="144">
        <f t="shared" si="69"/>
        <v>0</v>
      </c>
      <c r="AK42" s="144">
        <f t="shared" si="69"/>
        <v>0</v>
      </c>
      <c r="AL42" s="144">
        <f t="shared" si="69"/>
        <v>0</v>
      </c>
      <c r="AM42" s="144">
        <f t="shared" si="69"/>
        <v>0</v>
      </c>
      <c r="AN42" s="145">
        <f>IF(OR(GradeSheet!$M37="W (Withdrawn)", GradeSheet!$M37="I (Incomplete)"), 0, IF(AH42&gt;=55%, 1, 0))</f>
        <v>0</v>
      </c>
      <c r="AO42" s="145">
        <f>IF(OR(GradeSheet!$M37="W (Withdrawn)", GradeSheet!$M37="I (Incomplete)"), 0, IF(AI42&gt;=55%, 1, 0))</f>
        <v>0</v>
      </c>
      <c r="AP42" s="145">
        <f>IF(OR(GradeSheet!$M37="W (Withdrawn)", GradeSheet!$M37="I (Incomplete)"), 0, IF(AJ42&gt;=55%, 1, 0))</f>
        <v>0</v>
      </c>
      <c r="AQ42" s="145">
        <f>IF(OR(GradeSheet!$M37="W (Withdrawn)", GradeSheet!$M37="I (Incomplete)"), 0, IF(AK42&gt;=55%, 1, 0))</f>
        <v>0</v>
      </c>
      <c r="AR42" s="145">
        <f>IF(OR(GradeSheet!$M37="W (Withdrawn)", GradeSheet!$M37="I (Incomplete)"), 0, IF(AL42&gt;=55%, 1, 0))</f>
        <v>0</v>
      </c>
      <c r="AS42" s="145">
        <f>IF(OR(GradeSheet!$M37="W (Withdrawn)", GradeSheet!$M37="I (Incomplete)"), 0, IF(AM42&gt;=55%, 1, 0))</f>
        <v>0</v>
      </c>
      <c r="AT42" s="122"/>
      <c r="AU42" s="146">
        <f t="shared" si="11"/>
        <v>0</v>
      </c>
      <c r="AV42" s="146">
        <f t="shared" si="12"/>
        <v>0</v>
      </c>
      <c r="AW42" s="146">
        <f t="array" ref="AW42">IF($AV$9=0,0,MMULT($AH42:$AM42, AV$3:AV$8)/$AV$9)</f>
        <v>0</v>
      </c>
      <c r="AX42" s="146">
        <f t="array" ref="AX42">IF($AW$9=0,0,MMULT($AH42:$AM42, AW$3:AW$8)/$AW$9)</f>
        <v>0</v>
      </c>
      <c r="AY42" s="146">
        <f t="shared" si="13"/>
        <v>0</v>
      </c>
      <c r="AZ42" s="146">
        <f t="array" ref="AZ42">IF($AY$9=0,0,MMULT($AH42:$AM42, AY$3:AY$8)/$AY$9)</f>
        <v>0</v>
      </c>
      <c r="BA42" s="146">
        <f t="array" ref="BA42">IF($AZ$9=0,0,MMULT($AH42:$AM42, AZ$3:AZ$8)/$AZ$9)</f>
        <v>0</v>
      </c>
      <c r="BB42" s="146">
        <f t="array" ref="BB42">IF($BA$9=0,0,MMULT($AH42:$AM42, BA$3:BA$8)/$BA$9)</f>
        <v>0</v>
      </c>
      <c r="BC42" s="146">
        <f t="array" ref="BC42">IF($BB$9=0,0,MMULT($AH42:$AM42, BB$3:BB$8)/$BB$9)</f>
        <v>0</v>
      </c>
      <c r="BD42" s="146">
        <f t="array" ref="BD42">IF($BC$9=0,0,MMULT($AH42:$AM42, BC$3:BC$8)/$BC$9)</f>
        <v>0</v>
      </c>
      <c r="BE42" s="146">
        <f t="shared" si="14"/>
        <v>0</v>
      </c>
      <c r="BF42" s="146">
        <f t="shared" si="15"/>
        <v>0</v>
      </c>
      <c r="BG42" s="145">
        <f>IF(OR(GradeSheet!$M37="W (Withdrawn)", GradeSheet!$M37="I (Incomplete)"), 0, IF(AU42&gt;=65%, 1, 0))</f>
        <v>0</v>
      </c>
      <c r="BH42" s="145">
        <f>IF(OR(GradeSheet!$M37="W (Withdrawn)", GradeSheet!$M37="I (Incomplete)"), 0, IF(AV42&gt;=65%, 1, 0))</f>
        <v>0</v>
      </c>
      <c r="BI42" s="145">
        <f>IF(OR(GradeSheet!$M37="W (Withdrawn)", GradeSheet!$M37="I (Incomplete)"), 0, IF(AW42&gt;=65%, 1, 0))</f>
        <v>0</v>
      </c>
      <c r="BJ42" s="145">
        <f>IF(OR(GradeSheet!$M37="W (Withdrawn)", GradeSheet!$M37="I (Incomplete)"), 0, IF(AX42&gt;=65%, 1, 0))</f>
        <v>0</v>
      </c>
      <c r="BK42" s="145">
        <f>IF(OR(GradeSheet!$M37="W (Withdrawn)", GradeSheet!$M37="I (Incomplete)"), 0, IF(AY42&gt;=65%, 1, 0))</f>
        <v>0</v>
      </c>
      <c r="BL42" s="145">
        <f>IF(OR(GradeSheet!$M37="W (Withdrawn)", GradeSheet!$M37="I (Incomplete)"), 0, IF(AZ42&gt;=65%, 1, 0))</f>
        <v>0</v>
      </c>
      <c r="BM42" s="145">
        <f>IF(OR(GradeSheet!$M37="W (Withdrawn)", GradeSheet!$M37="I (Incomplete)"), 0, IF(BA42&gt;=65%, 1, 0))</f>
        <v>0</v>
      </c>
      <c r="BN42" s="145">
        <f>IF(OR(GradeSheet!$M37="W (Withdrawn)", GradeSheet!$M37="I (Incomplete)"), 0, IF(BB42&gt;=65%, 1, 0))</f>
        <v>0</v>
      </c>
      <c r="BO42" s="145">
        <f>IF(OR(GradeSheet!$M37="W (Withdrawn)", GradeSheet!$M37="I (Incomplete)"), 0, IF(BC42&gt;=65%, 1, 0))</f>
        <v>0</v>
      </c>
      <c r="BP42" s="145">
        <f>IF(OR(GradeSheet!$M37="W (Withdrawn)", GradeSheet!$M37="I (Incomplete)"), 0, IF(BD42&gt;=65%, 1, 0))</f>
        <v>0</v>
      </c>
      <c r="BQ42" s="145">
        <f>IF(OR(GradeSheet!$M37="W (Withdrawn)", GradeSheet!$M37="I (Incomplete)"), 0, IF(BE42&gt;=65%, 1, 0))</f>
        <v>0</v>
      </c>
      <c r="BR42" s="145">
        <f>IF(OR(GradeSheet!$M37="W (Withdrawn)", GradeSheet!$M37="I (Incomplete)"), 0, IF(BF42&gt;=65%, 1, 0))</f>
        <v>0</v>
      </c>
    </row>
    <row r="43" spans="1:70" ht="15.75" customHeight="1">
      <c r="A43" s="136">
        <v>29</v>
      </c>
      <c r="B43" s="22"/>
      <c r="C43" s="30"/>
      <c r="D43" s="137"/>
      <c r="E43" s="137"/>
      <c r="F43" s="138"/>
      <c r="G43" s="138"/>
      <c r="H43" s="138"/>
      <c r="I43" s="138"/>
      <c r="J43" s="137"/>
      <c r="K43" s="137"/>
      <c r="L43" s="137"/>
      <c r="M43" s="138"/>
      <c r="N43" s="138"/>
      <c r="O43" s="138"/>
      <c r="P43" s="139"/>
      <c r="Q43" s="140"/>
      <c r="R43" s="140"/>
      <c r="S43" s="140"/>
      <c r="T43" s="140"/>
      <c r="U43" s="141"/>
      <c r="V43" s="139"/>
      <c r="W43" s="140"/>
      <c r="X43" s="140"/>
      <c r="Y43" s="140"/>
      <c r="Z43" s="140"/>
      <c r="AA43" s="141"/>
      <c r="AB43" s="142">
        <f t="shared" ref="AB43:AE43" si="70">SUM(V43,D43,J43)</f>
        <v>0</v>
      </c>
      <c r="AC43" s="143">
        <f t="shared" si="70"/>
        <v>0</v>
      </c>
      <c r="AD43" s="148">
        <f t="shared" si="70"/>
        <v>0</v>
      </c>
      <c r="AE43" s="148">
        <f t="shared" si="70"/>
        <v>0</v>
      </c>
      <c r="AF43" s="143">
        <f t="shared" si="8"/>
        <v>0</v>
      </c>
      <c r="AG43" s="148">
        <f t="shared" si="9"/>
        <v>0</v>
      </c>
      <c r="AH43" s="144">
        <f t="shared" ref="AH43:AM43" si="71">IF(AB43 = 0, 0, AB43/AB$14)</f>
        <v>0</v>
      </c>
      <c r="AI43" s="144">
        <f t="shared" si="71"/>
        <v>0</v>
      </c>
      <c r="AJ43" s="144">
        <f t="shared" si="71"/>
        <v>0</v>
      </c>
      <c r="AK43" s="144">
        <f t="shared" si="71"/>
        <v>0</v>
      </c>
      <c r="AL43" s="144">
        <f t="shared" si="71"/>
        <v>0</v>
      </c>
      <c r="AM43" s="144">
        <f t="shared" si="71"/>
        <v>0</v>
      </c>
      <c r="AN43" s="145">
        <f>IF(OR(GradeSheet!$M38="W (Withdrawn)", GradeSheet!$M38="I (Incomplete)"), 0, IF(AH43&gt;=55%, 1, 0))</f>
        <v>0</v>
      </c>
      <c r="AO43" s="145">
        <f>IF(OR(GradeSheet!$M38="W (Withdrawn)", GradeSheet!$M38="I (Incomplete)"), 0, IF(AI43&gt;=55%, 1, 0))</f>
        <v>0</v>
      </c>
      <c r="AP43" s="145">
        <f>IF(OR(GradeSheet!$M38="W (Withdrawn)", GradeSheet!$M38="I (Incomplete)"), 0, IF(AJ43&gt;=55%, 1, 0))</f>
        <v>0</v>
      </c>
      <c r="AQ43" s="145">
        <f>IF(OR(GradeSheet!$M38="W (Withdrawn)", GradeSheet!$M38="I (Incomplete)"), 0, IF(AK43&gt;=55%, 1, 0))</f>
        <v>0</v>
      </c>
      <c r="AR43" s="145">
        <f>IF(OR(GradeSheet!$M38="W (Withdrawn)", GradeSheet!$M38="I (Incomplete)"), 0, IF(AL43&gt;=55%, 1, 0))</f>
        <v>0</v>
      </c>
      <c r="AS43" s="145">
        <f>IF(OR(GradeSheet!$M38="W (Withdrawn)", GradeSheet!$M38="I (Incomplete)"), 0, IF(AM43&gt;=55%, 1, 0))</f>
        <v>0</v>
      </c>
      <c r="AT43" s="122"/>
      <c r="AU43" s="146">
        <f t="shared" si="11"/>
        <v>0</v>
      </c>
      <c r="AV43" s="146">
        <f t="shared" si="12"/>
        <v>0</v>
      </c>
      <c r="AW43" s="146">
        <f t="array" ref="AW43">IF($AV$9=0,0,MMULT($AH43:$AM43, AV$3:AV$8)/$AV$9)</f>
        <v>0</v>
      </c>
      <c r="AX43" s="146">
        <f t="array" ref="AX43">IF($AW$9=0,0,MMULT($AH43:$AM43, AW$3:AW$8)/$AW$9)</f>
        <v>0</v>
      </c>
      <c r="AY43" s="146">
        <f t="shared" si="13"/>
        <v>0</v>
      </c>
      <c r="AZ43" s="146">
        <f t="array" ref="AZ43">IF($AY$9=0,0,MMULT($AH43:$AM43, AY$3:AY$8)/$AY$9)</f>
        <v>0</v>
      </c>
      <c r="BA43" s="146">
        <f t="array" ref="BA43">IF($AZ$9=0,0,MMULT($AH43:$AM43, AZ$3:AZ$8)/$AZ$9)</f>
        <v>0</v>
      </c>
      <c r="BB43" s="146">
        <f t="array" ref="BB43">IF($BA$9=0,0,MMULT($AH43:$AM43, BA$3:BA$8)/$BA$9)</f>
        <v>0</v>
      </c>
      <c r="BC43" s="146">
        <f t="array" ref="BC43">IF($BB$9=0,0,MMULT($AH43:$AM43, BB$3:BB$8)/$BB$9)</f>
        <v>0</v>
      </c>
      <c r="BD43" s="146">
        <f t="array" ref="BD43">IF($BC$9=0,0,MMULT($AH43:$AM43, BC$3:BC$8)/$BC$9)</f>
        <v>0</v>
      </c>
      <c r="BE43" s="146">
        <f t="shared" si="14"/>
        <v>0</v>
      </c>
      <c r="BF43" s="146">
        <f t="shared" si="15"/>
        <v>0</v>
      </c>
      <c r="BG43" s="145">
        <f>IF(OR(GradeSheet!$M38="W (Withdrawn)", GradeSheet!$M38="I (Incomplete)"), 0, IF(AU43&gt;=65%, 1, 0))</f>
        <v>0</v>
      </c>
      <c r="BH43" s="145">
        <f>IF(OR(GradeSheet!$M38="W (Withdrawn)", GradeSheet!$M38="I (Incomplete)"), 0, IF(AV43&gt;=65%, 1, 0))</f>
        <v>0</v>
      </c>
      <c r="BI43" s="145">
        <f>IF(OR(GradeSheet!$M38="W (Withdrawn)", GradeSheet!$M38="I (Incomplete)"), 0, IF(AW43&gt;=65%, 1, 0))</f>
        <v>0</v>
      </c>
      <c r="BJ43" s="145">
        <f>IF(OR(GradeSheet!$M38="W (Withdrawn)", GradeSheet!$M38="I (Incomplete)"), 0, IF(AX43&gt;=65%, 1, 0))</f>
        <v>0</v>
      </c>
      <c r="BK43" s="145">
        <f>IF(OR(GradeSheet!$M38="W (Withdrawn)", GradeSheet!$M38="I (Incomplete)"), 0, IF(AY43&gt;=65%, 1, 0))</f>
        <v>0</v>
      </c>
      <c r="BL43" s="145">
        <f>IF(OR(GradeSheet!$M38="W (Withdrawn)", GradeSheet!$M38="I (Incomplete)"), 0, IF(AZ43&gt;=65%, 1, 0))</f>
        <v>0</v>
      </c>
      <c r="BM43" s="145">
        <f>IF(OR(GradeSheet!$M38="W (Withdrawn)", GradeSheet!$M38="I (Incomplete)"), 0, IF(BA43&gt;=65%, 1, 0))</f>
        <v>0</v>
      </c>
      <c r="BN43" s="145">
        <f>IF(OR(GradeSheet!$M38="W (Withdrawn)", GradeSheet!$M38="I (Incomplete)"), 0, IF(BB43&gt;=65%, 1, 0))</f>
        <v>0</v>
      </c>
      <c r="BO43" s="145">
        <f>IF(OR(GradeSheet!$M38="W (Withdrawn)", GradeSheet!$M38="I (Incomplete)"), 0, IF(BC43&gt;=65%, 1, 0))</f>
        <v>0</v>
      </c>
      <c r="BP43" s="145">
        <f>IF(OR(GradeSheet!$M38="W (Withdrawn)", GradeSheet!$M38="I (Incomplete)"), 0, IF(BD43&gt;=65%, 1, 0))</f>
        <v>0</v>
      </c>
      <c r="BQ43" s="145">
        <f>IF(OR(GradeSheet!$M38="W (Withdrawn)", GradeSheet!$M38="I (Incomplete)"), 0, IF(BE43&gt;=65%, 1, 0))</f>
        <v>0</v>
      </c>
      <c r="BR43" s="145">
        <f>IF(OR(GradeSheet!$M38="W (Withdrawn)", GradeSheet!$M38="I (Incomplete)"), 0, IF(BF43&gt;=65%, 1, 0))</f>
        <v>0</v>
      </c>
    </row>
    <row r="44" spans="1:70" ht="15.75" customHeight="1">
      <c r="A44" s="147">
        <v>30</v>
      </c>
      <c r="B44" s="22"/>
      <c r="C44" s="30"/>
      <c r="D44" s="137"/>
      <c r="E44" s="137"/>
      <c r="F44" s="138"/>
      <c r="G44" s="138"/>
      <c r="H44" s="138"/>
      <c r="I44" s="138"/>
      <c r="J44" s="137"/>
      <c r="K44" s="137"/>
      <c r="L44" s="137"/>
      <c r="M44" s="138"/>
      <c r="N44" s="138"/>
      <c r="O44" s="138"/>
      <c r="P44" s="139"/>
      <c r="Q44" s="140"/>
      <c r="R44" s="140"/>
      <c r="S44" s="140"/>
      <c r="T44" s="140"/>
      <c r="U44" s="141"/>
      <c r="V44" s="139"/>
      <c r="W44" s="140"/>
      <c r="X44" s="140"/>
      <c r="Y44" s="140"/>
      <c r="Z44" s="140"/>
      <c r="AA44" s="141"/>
      <c r="AB44" s="142">
        <f t="shared" ref="AB44:AE44" si="72">SUM(V44,D44,J44)</f>
        <v>0</v>
      </c>
      <c r="AC44" s="143">
        <f t="shared" si="72"/>
        <v>0</v>
      </c>
      <c r="AD44" s="148">
        <f t="shared" si="72"/>
        <v>0</v>
      </c>
      <c r="AE44" s="148">
        <f t="shared" si="72"/>
        <v>0</v>
      </c>
      <c r="AF44" s="143">
        <f t="shared" si="8"/>
        <v>0</v>
      </c>
      <c r="AG44" s="148">
        <f t="shared" si="9"/>
        <v>0</v>
      </c>
      <c r="AH44" s="144">
        <f t="shared" ref="AH44:AM44" si="73">IF(AB44 = 0, 0, AB44/AB$14)</f>
        <v>0</v>
      </c>
      <c r="AI44" s="144">
        <f t="shared" si="73"/>
        <v>0</v>
      </c>
      <c r="AJ44" s="144">
        <f t="shared" si="73"/>
        <v>0</v>
      </c>
      <c r="AK44" s="144">
        <f t="shared" si="73"/>
        <v>0</v>
      </c>
      <c r="AL44" s="144">
        <f t="shared" si="73"/>
        <v>0</v>
      </c>
      <c r="AM44" s="144">
        <f t="shared" si="73"/>
        <v>0</v>
      </c>
      <c r="AN44" s="145">
        <f>IF(OR(GradeSheet!$M39="W (Withdrawn)", GradeSheet!$M39="I (Incomplete)"), 0, IF(AH44&gt;=55%, 1, 0))</f>
        <v>0</v>
      </c>
      <c r="AO44" s="145">
        <f>IF(OR(GradeSheet!$M39="W (Withdrawn)", GradeSheet!$M39="I (Incomplete)"), 0, IF(AI44&gt;=55%, 1, 0))</f>
        <v>0</v>
      </c>
      <c r="AP44" s="145">
        <f>IF(OR(GradeSheet!$M39="W (Withdrawn)", GradeSheet!$M39="I (Incomplete)"), 0, IF(AJ44&gt;=55%, 1, 0))</f>
        <v>0</v>
      </c>
      <c r="AQ44" s="145">
        <f>IF(OR(GradeSheet!$M39="W (Withdrawn)", GradeSheet!$M39="I (Incomplete)"), 0, IF(AK44&gt;=55%, 1, 0))</f>
        <v>0</v>
      </c>
      <c r="AR44" s="145">
        <f>IF(OR(GradeSheet!$M39="W (Withdrawn)", GradeSheet!$M39="I (Incomplete)"), 0, IF(AL44&gt;=55%, 1, 0))</f>
        <v>0</v>
      </c>
      <c r="AS44" s="145">
        <f>IF(OR(GradeSheet!$M39="W (Withdrawn)", GradeSheet!$M39="I (Incomplete)"), 0, IF(AM44&gt;=55%, 1, 0))</f>
        <v>0</v>
      </c>
      <c r="AT44" s="122"/>
      <c r="AU44" s="146">
        <f t="shared" si="11"/>
        <v>0</v>
      </c>
      <c r="AV44" s="146">
        <f t="shared" si="12"/>
        <v>0</v>
      </c>
      <c r="AW44" s="146">
        <f t="array" ref="AW44">IF($AV$9=0,0,MMULT($AH44:$AM44, AV$3:AV$8)/$AV$9)</f>
        <v>0</v>
      </c>
      <c r="AX44" s="146">
        <f t="array" ref="AX44">IF($AW$9=0,0,MMULT($AH44:$AM44, AW$3:AW$8)/$AW$9)</f>
        <v>0</v>
      </c>
      <c r="AY44" s="146">
        <f t="shared" si="13"/>
        <v>0</v>
      </c>
      <c r="AZ44" s="146">
        <f t="array" ref="AZ44">IF($AY$9=0,0,MMULT($AH44:$AM44, AY$3:AY$8)/$AY$9)</f>
        <v>0</v>
      </c>
      <c r="BA44" s="146">
        <f t="array" ref="BA44">IF($AZ$9=0,0,MMULT($AH44:$AM44, AZ$3:AZ$8)/$AZ$9)</f>
        <v>0</v>
      </c>
      <c r="BB44" s="146">
        <f t="array" ref="BB44">IF($BA$9=0,0,MMULT($AH44:$AM44, BA$3:BA$8)/$BA$9)</f>
        <v>0</v>
      </c>
      <c r="BC44" s="146">
        <f t="array" ref="BC44">IF($BB$9=0,0,MMULT($AH44:$AM44, BB$3:BB$8)/$BB$9)</f>
        <v>0</v>
      </c>
      <c r="BD44" s="146">
        <f t="array" ref="BD44">IF($BC$9=0,0,MMULT($AH44:$AM44, BC$3:BC$8)/$BC$9)</f>
        <v>0</v>
      </c>
      <c r="BE44" s="146">
        <f t="shared" si="14"/>
        <v>0</v>
      </c>
      <c r="BF44" s="146">
        <f t="shared" si="15"/>
        <v>0</v>
      </c>
      <c r="BG44" s="145">
        <f>IF(OR(GradeSheet!$M39="W (Withdrawn)", GradeSheet!$M39="I (Incomplete)"), 0, IF(AU44&gt;=65%, 1, 0))</f>
        <v>0</v>
      </c>
      <c r="BH44" s="145">
        <f>IF(OR(GradeSheet!$M39="W (Withdrawn)", GradeSheet!$M39="I (Incomplete)"), 0, IF(AV44&gt;=65%, 1, 0))</f>
        <v>0</v>
      </c>
      <c r="BI44" s="145">
        <f>IF(OR(GradeSheet!$M39="W (Withdrawn)", GradeSheet!$M39="I (Incomplete)"), 0, IF(AW44&gt;=65%, 1, 0))</f>
        <v>0</v>
      </c>
      <c r="BJ44" s="145">
        <f>IF(OR(GradeSheet!$M39="W (Withdrawn)", GradeSheet!$M39="I (Incomplete)"), 0, IF(AX44&gt;=65%, 1, 0))</f>
        <v>0</v>
      </c>
      <c r="BK44" s="145">
        <f>IF(OR(GradeSheet!$M39="W (Withdrawn)", GradeSheet!$M39="I (Incomplete)"), 0, IF(AY44&gt;=65%, 1, 0))</f>
        <v>0</v>
      </c>
      <c r="BL44" s="145">
        <f>IF(OR(GradeSheet!$M39="W (Withdrawn)", GradeSheet!$M39="I (Incomplete)"), 0, IF(AZ44&gt;=65%, 1, 0))</f>
        <v>0</v>
      </c>
      <c r="BM44" s="145">
        <f>IF(OR(GradeSheet!$M39="W (Withdrawn)", GradeSheet!$M39="I (Incomplete)"), 0, IF(BA44&gt;=65%, 1, 0))</f>
        <v>0</v>
      </c>
      <c r="BN44" s="145">
        <f>IF(OR(GradeSheet!$M39="W (Withdrawn)", GradeSheet!$M39="I (Incomplete)"), 0, IF(BB44&gt;=65%, 1, 0))</f>
        <v>0</v>
      </c>
      <c r="BO44" s="145">
        <f>IF(OR(GradeSheet!$M39="W (Withdrawn)", GradeSheet!$M39="I (Incomplete)"), 0, IF(BC44&gt;=65%, 1, 0))</f>
        <v>0</v>
      </c>
      <c r="BP44" s="145">
        <f>IF(OR(GradeSheet!$M39="W (Withdrawn)", GradeSheet!$M39="I (Incomplete)"), 0, IF(BD44&gt;=65%, 1, 0))</f>
        <v>0</v>
      </c>
      <c r="BQ44" s="145">
        <f>IF(OR(GradeSheet!$M39="W (Withdrawn)", GradeSheet!$M39="I (Incomplete)"), 0, IF(BE44&gt;=65%, 1, 0))</f>
        <v>0</v>
      </c>
      <c r="BR44" s="145">
        <f>IF(OR(GradeSheet!$M39="W (Withdrawn)", GradeSheet!$M39="I (Incomplete)"), 0, IF(BF44&gt;=65%, 1, 0))</f>
        <v>0</v>
      </c>
    </row>
    <row r="45" spans="1:70" ht="15.75" customHeight="1">
      <c r="A45" s="136">
        <v>31</v>
      </c>
      <c r="B45" s="22"/>
      <c r="C45" s="30"/>
      <c r="D45" s="137"/>
      <c r="E45" s="137"/>
      <c r="F45" s="138"/>
      <c r="G45" s="138"/>
      <c r="H45" s="138"/>
      <c r="I45" s="138"/>
      <c r="J45" s="137"/>
      <c r="K45" s="137"/>
      <c r="L45" s="137"/>
      <c r="M45" s="138"/>
      <c r="N45" s="138"/>
      <c r="O45" s="138"/>
      <c r="P45" s="139"/>
      <c r="Q45" s="140"/>
      <c r="R45" s="140"/>
      <c r="S45" s="140"/>
      <c r="T45" s="140"/>
      <c r="U45" s="141"/>
      <c r="V45" s="139"/>
      <c r="W45" s="140"/>
      <c r="X45" s="140"/>
      <c r="Y45" s="140"/>
      <c r="Z45" s="140"/>
      <c r="AA45" s="141"/>
      <c r="AB45" s="142">
        <f t="shared" ref="AB45:AE45" si="74">SUM(V45,D45,J45)</f>
        <v>0</v>
      </c>
      <c r="AC45" s="143">
        <f t="shared" si="74"/>
        <v>0</v>
      </c>
      <c r="AD45" s="148">
        <f t="shared" si="74"/>
        <v>0</v>
      </c>
      <c r="AE45" s="148">
        <f t="shared" si="74"/>
        <v>0</v>
      </c>
      <c r="AF45" s="143">
        <f t="shared" si="8"/>
        <v>0</v>
      </c>
      <c r="AG45" s="148">
        <f t="shared" si="9"/>
        <v>0</v>
      </c>
      <c r="AH45" s="144">
        <f t="shared" ref="AH45:AM45" si="75">IF(AB45 = 0, 0, AB45/AB$14)</f>
        <v>0</v>
      </c>
      <c r="AI45" s="144">
        <f t="shared" si="75"/>
        <v>0</v>
      </c>
      <c r="AJ45" s="144">
        <f t="shared" si="75"/>
        <v>0</v>
      </c>
      <c r="AK45" s="144">
        <f t="shared" si="75"/>
        <v>0</v>
      </c>
      <c r="AL45" s="144">
        <f t="shared" si="75"/>
        <v>0</v>
      </c>
      <c r="AM45" s="144">
        <f t="shared" si="75"/>
        <v>0</v>
      </c>
      <c r="AN45" s="145">
        <f>IF(OR(GradeSheet!$M40="W (Withdrawn)", GradeSheet!$M40="I (Incomplete)"), 0, IF(AH45&gt;=55%, 1, 0))</f>
        <v>0</v>
      </c>
      <c r="AO45" s="145">
        <f>IF(OR(GradeSheet!$M40="W (Withdrawn)", GradeSheet!$M40="I (Incomplete)"), 0, IF(AI45&gt;=55%, 1, 0))</f>
        <v>0</v>
      </c>
      <c r="AP45" s="145">
        <f>IF(OR(GradeSheet!$M40="W (Withdrawn)", GradeSheet!$M40="I (Incomplete)"), 0, IF(AJ45&gt;=55%, 1, 0))</f>
        <v>0</v>
      </c>
      <c r="AQ45" s="145">
        <f>IF(OR(GradeSheet!$M40="W (Withdrawn)", GradeSheet!$M40="I (Incomplete)"), 0, IF(AK45&gt;=55%, 1, 0))</f>
        <v>0</v>
      </c>
      <c r="AR45" s="145">
        <f>IF(OR(GradeSheet!$M40="W (Withdrawn)", GradeSheet!$M40="I (Incomplete)"), 0, IF(AL45&gt;=55%, 1, 0))</f>
        <v>0</v>
      </c>
      <c r="AS45" s="145">
        <f>IF(OR(GradeSheet!$M40="W (Withdrawn)", GradeSheet!$M40="I (Incomplete)"), 0, IF(AM45&gt;=55%, 1, 0))</f>
        <v>0</v>
      </c>
      <c r="AT45" s="122"/>
      <c r="AU45" s="146">
        <f t="shared" si="11"/>
        <v>0</v>
      </c>
      <c r="AV45" s="146">
        <f t="shared" si="12"/>
        <v>0</v>
      </c>
      <c r="AW45" s="146">
        <f t="array" ref="AW45">IF($AV$9=0,0,MMULT($AH45:$AM45, AV$3:AV$8)/$AV$9)</f>
        <v>0</v>
      </c>
      <c r="AX45" s="146">
        <f t="array" ref="AX45">IF($AW$9=0,0,MMULT($AH45:$AM45, AW$3:AW$8)/$AW$9)</f>
        <v>0</v>
      </c>
      <c r="AY45" s="146">
        <f t="shared" si="13"/>
        <v>0</v>
      </c>
      <c r="AZ45" s="146">
        <f t="array" ref="AZ45">IF($AY$9=0,0,MMULT($AH45:$AM45, AY$3:AY$8)/$AY$9)</f>
        <v>0</v>
      </c>
      <c r="BA45" s="146">
        <f t="array" ref="BA45">IF($AZ$9=0,0,MMULT($AH45:$AM45, AZ$3:AZ$8)/$AZ$9)</f>
        <v>0</v>
      </c>
      <c r="BB45" s="146">
        <f t="array" ref="BB45">IF($BA$9=0,0,MMULT($AH45:$AM45, BA$3:BA$8)/$BA$9)</f>
        <v>0</v>
      </c>
      <c r="BC45" s="146">
        <f t="array" ref="BC45">IF($BB$9=0,0,MMULT($AH45:$AM45, BB$3:BB$8)/$BB$9)</f>
        <v>0</v>
      </c>
      <c r="BD45" s="146">
        <f t="array" ref="BD45">IF($BC$9=0,0,MMULT($AH45:$AM45, BC$3:BC$8)/$BC$9)</f>
        <v>0</v>
      </c>
      <c r="BE45" s="146">
        <f t="shared" si="14"/>
        <v>0</v>
      </c>
      <c r="BF45" s="146">
        <f t="shared" si="15"/>
        <v>0</v>
      </c>
      <c r="BG45" s="145">
        <f>IF(OR(GradeSheet!$M40="W (Withdrawn)", GradeSheet!$M40="I (Incomplete)"), 0, IF(AU45&gt;=65%, 1, 0))</f>
        <v>0</v>
      </c>
      <c r="BH45" s="145">
        <f>IF(OR(GradeSheet!$M40="W (Withdrawn)", GradeSheet!$M40="I (Incomplete)"), 0, IF(AV45&gt;=65%, 1, 0))</f>
        <v>0</v>
      </c>
      <c r="BI45" s="145">
        <f>IF(OR(GradeSheet!$M40="W (Withdrawn)", GradeSheet!$M40="I (Incomplete)"), 0, IF(AW45&gt;=65%, 1, 0))</f>
        <v>0</v>
      </c>
      <c r="BJ45" s="145">
        <f>IF(OR(GradeSheet!$M40="W (Withdrawn)", GradeSheet!$M40="I (Incomplete)"), 0, IF(AX45&gt;=65%, 1, 0))</f>
        <v>0</v>
      </c>
      <c r="BK45" s="145">
        <f>IF(OR(GradeSheet!$M40="W (Withdrawn)", GradeSheet!$M40="I (Incomplete)"), 0, IF(AY45&gt;=65%, 1, 0))</f>
        <v>0</v>
      </c>
      <c r="BL45" s="145">
        <f>IF(OR(GradeSheet!$M40="W (Withdrawn)", GradeSheet!$M40="I (Incomplete)"), 0, IF(AZ45&gt;=65%, 1, 0))</f>
        <v>0</v>
      </c>
      <c r="BM45" s="145">
        <f>IF(OR(GradeSheet!$M40="W (Withdrawn)", GradeSheet!$M40="I (Incomplete)"), 0, IF(BA45&gt;=65%, 1, 0))</f>
        <v>0</v>
      </c>
      <c r="BN45" s="145">
        <f>IF(OR(GradeSheet!$M40="W (Withdrawn)", GradeSheet!$M40="I (Incomplete)"), 0, IF(BB45&gt;=65%, 1, 0))</f>
        <v>0</v>
      </c>
      <c r="BO45" s="145">
        <f>IF(OR(GradeSheet!$M40="W (Withdrawn)", GradeSheet!$M40="I (Incomplete)"), 0, IF(BC45&gt;=65%, 1, 0))</f>
        <v>0</v>
      </c>
      <c r="BP45" s="145">
        <f>IF(OR(GradeSheet!$M40="W (Withdrawn)", GradeSheet!$M40="I (Incomplete)"), 0, IF(BD45&gt;=65%, 1, 0))</f>
        <v>0</v>
      </c>
      <c r="BQ45" s="145">
        <f>IF(OR(GradeSheet!$M40="W (Withdrawn)", GradeSheet!$M40="I (Incomplete)"), 0, IF(BE45&gt;=65%, 1, 0))</f>
        <v>0</v>
      </c>
      <c r="BR45" s="145">
        <f>IF(OR(GradeSheet!$M40="W (Withdrawn)", GradeSheet!$M40="I (Incomplete)"), 0, IF(BF45&gt;=65%, 1, 0))</f>
        <v>0</v>
      </c>
    </row>
    <row r="46" spans="1:70" ht="15.75" customHeight="1">
      <c r="A46" s="147">
        <v>32</v>
      </c>
      <c r="B46" s="22"/>
      <c r="C46" s="30"/>
      <c r="D46" s="137"/>
      <c r="E46" s="137"/>
      <c r="F46" s="138"/>
      <c r="G46" s="138"/>
      <c r="H46" s="138"/>
      <c r="I46" s="138"/>
      <c r="J46" s="137"/>
      <c r="K46" s="137"/>
      <c r="L46" s="137"/>
      <c r="M46" s="138"/>
      <c r="N46" s="138"/>
      <c r="O46" s="138"/>
      <c r="P46" s="139"/>
      <c r="Q46" s="140"/>
      <c r="R46" s="140" t="s">
        <v>148</v>
      </c>
      <c r="S46" s="140"/>
      <c r="T46" s="140"/>
      <c r="U46" s="141"/>
      <c r="V46" s="139"/>
      <c r="W46" s="140"/>
      <c r="X46" s="140"/>
      <c r="Y46" s="140"/>
      <c r="Z46" s="140"/>
      <c r="AA46" s="141"/>
      <c r="AB46" s="142">
        <f t="shared" ref="AB46:AE46" si="76">SUM(V46,D46,J46)</f>
        <v>0</v>
      </c>
      <c r="AC46" s="143">
        <f t="shared" si="76"/>
        <v>0</v>
      </c>
      <c r="AD46" s="148">
        <f t="shared" si="76"/>
        <v>0</v>
      </c>
      <c r="AE46" s="148">
        <f t="shared" si="76"/>
        <v>0</v>
      </c>
      <c r="AF46" s="143">
        <f t="shared" si="8"/>
        <v>0</v>
      </c>
      <c r="AG46" s="148">
        <f t="shared" si="9"/>
        <v>0</v>
      </c>
      <c r="AH46" s="144">
        <f t="shared" ref="AH46:AM46" si="77">IF(AB46 = 0, 0, AB46/AB$14)</f>
        <v>0</v>
      </c>
      <c r="AI46" s="144">
        <f t="shared" si="77"/>
        <v>0</v>
      </c>
      <c r="AJ46" s="144">
        <f t="shared" si="77"/>
        <v>0</v>
      </c>
      <c r="AK46" s="144">
        <f t="shared" si="77"/>
        <v>0</v>
      </c>
      <c r="AL46" s="144">
        <f t="shared" si="77"/>
        <v>0</v>
      </c>
      <c r="AM46" s="144">
        <f t="shared" si="77"/>
        <v>0</v>
      </c>
      <c r="AN46" s="145">
        <f>IF(OR(GradeSheet!$M41="W (Withdrawn)", GradeSheet!$M41="I (Incomplete)"), 0, IF(AH46&gt;=55%, 1, 0))</f>
        <v>0</v>
      </c>
      <c r="AO46" s="145">
        <f>IF(OR(GradeSheet!$M41="W (Withdrawn)", GradeSheet!$M41="I (Incomplete)"), 0, IF(AI46&gt;=55%, 1, 0))</f>
        <v>0</v>
      </c>
      <c r="AP46" s="145">
        <f>IF(OR(GradeSheet!$M41="W (Withdrawn)", GradeSheet!$M41="I (Incomplete)"), 0, IF(AJ46&gt;=55%, 1, 0))</f>
        <v>0</v>
      </c>
      <c r="AQ46" s="145">
        <f>IF(OR(GradeSheet!$M41="W (Withdrawn)", GradeSheet!$M41="I (Incomplete)"), 0, IF(AK46&gt;=55%, 1, 0))</f>
        <v>0</v>
      </c>
      <c r="AR46" s="145">
        <f>IF(OR(GradeSheet!$M41="W (Withdrawn)", GradeSheet!$M41="I (Incomplete)"), 0, IF(AL46&gt;=55%, 1, 0))</f>
        <v>0</v>
      </c>
      <c r="AS46" s="145">
        <f>IF(OR(GradeSheet!$M41="W (Withdrawn)", GradeSheet!$M41="I (Incomplete)"), 0, IF(AM46&gt;=55%, 1, 0))</f>
        <v>0</v>
      </c>
      <c r="AT46" s="122"/>
      <c r="AU46" s="146">
        <f t="shared" si="11"/>
        <v>0</v>
      </c>
      <c r="AV46" s="146">
        <f t="shared" si="12"/>
        <v>0</v>
      </c>
      <c r="AW46" s="146">
        <f t="array" ref="AW46">IF($AV$9=0,0,MMULT($AH46:$AM46, AV$3:AV$8)/$AV$9)</f>
        <v>0</v>
      </c>
      <c r="AX46" s="146">
        <f t="array" ref="AX46">IF($AW$9=0,0,MMULT($AH46:$AM46, AW$3:AW$8)/$AW$9)</f>
        <v>0</v>
      </c>
      <c r="AY46" s="146">
        <f t="shared" si="13"/>
        <v>0</v>
      </c>
      <c r="AZ46" s="146">
        <f t="array" ref="AZ46">IF($AY$9=0,0,MMULT($AH46:$AM46, AY$3:AY$8)/$AY$9)</f>
        <v>0</v>
      </c>
      <c r="BA46" s="146">
        <f t="array" ref="BA46">IF($AZ$9=0,0,MMULT($AH46:$AM46, AZ$3:AZ$8)/$AZ$9)</f>
        <v>0</v>
      </c>
      <c r="BB46" s="146">
        <f t="array" ref="BB46">IF($BA$9=0,0,MMULT($AH46:$AM46, BA$3:BA$8)/$BA$9)</f>
        <v>0</v>
      </c>
      <c r="BC46" s="146">
        <f t="array" ref="BC46">IF($BB$9=0,0,MMULT($AH46:$AM46, BB$3:BB$8)/$BB$9)</f>
        <v>0</v>
      </c>
      <c r="BD46" s="146">
        <f t="array" ref="BD46">IF($BC$9=0,0,MMULT($AH46:$AM46, BC$3:BC$8)/$BC$9)</f>
        <v>0</v>
      </c>
      <c r="BE46" s="146">
        <f t="shared" si="14"/>
        <v>0</v>
      </c>
      <c r="BF46" s="146">
        <f t="shared" si="15"/>
        <v>0</v>
      </c>
      <c r="BG46" s="145">
        <f>IF(OR(GradeSheet!$M41="W (Withdrawn)", GradeSheet!$M41="I (Incomplete)"), 0, IF(AU46&gt;=65%, 1, 0))</f>
        <v>0</v>
      </c>
      <c r="BH46" s="145">
        <f>IF(OR(GradeSheet!$M41="W (Withdrawn)", GradeSheet!$M41="I (Incomplete)"), 0, IF(AV46&gt;=65%, 1, 0))</f>
        <v>0</v>
      </c>
      <c r="BI46" s="145">
        <f>IF(OR(GradeSheet!$M41="W (Withdrawn)", GradeSheet!$M41="I (Incomplete)"), 0, IF(AW46&gt;=65%, 1, 0))</f>
        <v>0</v>
      </c>
      <c r="BJ46" s="145">
        <f>IF(OR(GradeSheet!$M41="W (Withdrawn)", GradeSheet!$M41="I (Incomplete)"), 0, IF(AX46&gt;=65%, 1, 0))</f>
        <v>0</v>
      </c>
      <c r="BK46" s="145">
        <f>IF(OR(GradeSheet!$M41="W (Withdrawn)", GradeSheet!$M41="I (Incomplete)"), 0, IF(AY46&gt;=65%, 1, 0))</f>
        <v>0</v>
      </c>
      <c r="BL46" s="145">
        <f>IF(OR(GradeSheet!$M41="W (Withdrawn)", GradeSheet!$M41="I (Incomplete)"), 0, IF(AZ46&gt;=65%, 1, 0))</f>
        <v>0</v>
      </c>
      <c r="BM46" s="145">
        <f>IF(OR(GradeSheet!$M41="W (Withdrawn)", GradeSheet!$M41="I (Incomplete)"), 0, IF(BA46&gt;=65%, 1, 0))</f>
        <v>0</v>
      </c>
      <c r="BN46" s="145">
        <f>IF(OR(GradeSheet!$M41="W (Withdrawn)", GradeSheet!$M41="I (Incomplete)"), 0, IF(BB46&gt;=65%, 1, 0))</f>
        <v>0</v>
      </c>
      <c r="BO46" s="145">
        <f>IF(OR(GradeSheet!$M41="W (Withdrawn)", GradeSheet!$M41="I (Incomplete)"), 0, IF(BC46&gt;=65%, 1, 0))</f>
        <v>0</v>
      </c>
      <c r="BP46" s="145">
        <f>IF(OR(GradeSheet!$M41="W (Withdrawn)", GradeSheet!$M41="I (Incomplete)"), 0, IF(BD46&gt;=65%, 1, 0))</f>
        <v>0</v>
      </c>
      <c r="BQ46" s="145">
        <f>IF(OR(GradeSheet!$M41="W (Withdrawn)", GradeSheet!$M41="I (Incomplete)"), 0, IF(BE46&gt;=65%, 1, 0))</f>
        <v>0</v>
      </c>
      <c r="BR46" s="145">
        <f>IF(OR(GradeSheet!$M41="W (Withdrawn)", GradeSheet!$M41="I (Incomplete)"), 0, IF(BF46&gt;=65%, 1, 0))</f>
        <v>0</v>
      </c>
    </row>
    <row r="47" spans="1:70" ht="15.75" customHeight="1">
      <c r="A47" s="136">
        <v>33</v>
      </c>
      <c r="B47" s="22"/>
      <c r="C47" s="30"/>
      <c r="D47" s="137"/>
      <c r="E47" s="137"/>
      <c r="F47" s="138"/>
      <c r="G47" s="138"/>
      <c r="H47" s="138"/>
      <c r="I47" s="138"/>
      <c r="J47" s="137"/>
      <c r="K47" s="137"/>
      <c r="L47" s="137"/>
      <c r="M47" s="138"/>
      <c r="N47" s="138"/>
      <c r="O47" s="138"/>
      <c r="P47" s="139"/>
      <c r="Q47" s="140"/>
      <c r="R47" s="140"/>
      <c r="S47" s="140"/>
      <c r="T47" s="140"/>
      <c r="U47" s="141"/>
      <c r="V47" s="139"/>
      <c r="W47" s="140"/>
      <c r="X47" s="140"/>
      <c r="Y47" s="140"/>
      <c r="Z47" s="140"/>
      <c r="AA47" s="141"/>
      <c r="AB47" s="142">
        <f t="shared" ref="AB47:AE47" si="78">SUM(V47,D47,J47)</f>
        <v>0</v>
      </c>
      <c r="AC47" s="143">
        <f t="shared" si="78"/>
        <v>0</v>
      </c>
      <c r="AD47" s="148">
        <f t="shared" si="78"/>
        <v>0</v>
      </c>
      <c r="AE47" s="148">
        <f t="shared" si="78"/>
        <v>0</v>
      </c>
      <c r="AF47" s="143">
        <f t="shared" si="8"/>
        <v>0</v>
      </c>
      <c r="AG47" s="148">
        <f t="shared" si="9"/>
        <v>0</v>
      </c>
      <c r="AH47" s="144">
        <f t="shared" ref="AH47:AM47" si="79">IF(AB47 = 0, 0, AB47/AB$14)</f>
        <v>0</v>
      </c>
      <c r="AI47" s="144">
        <f t="shared" si="79"/>
        <v>0</v>
      </c>
      <c r="AJ47" s="144">
        <f t="shared" si="79"/>
        <v>0</v>
      </c>
      <c r="AK47" s="144">
        <f t="shared" si="79"/>
        <v>0</v>
      </c>
      <c r="AL47" s="144">
        <f t="shared" si="79"/>
        <v>0</v>
      </c>
      <c r="AM47" s="144">
        <f t="shared" si="79"/>
        <v>0</v>
      </c>
      <c r="AN47" s="145">
        <f>IF(OR(GradeSheet!$M42="W (Withdrawn)", GradeSheet!$M42="I (Incomplete)"), 0, IF(AH47&gt;=55%, 1, 0))</f>
        <v>0</v>
      </c>
      <c r="AO47" s="145">
        <f>IF(OR(GradeSheet!$M42="W (Withdrawn)", GradeSheet!$M42="I (Incomplete)"), 0, IF(AI47&gt;=55%, 1, 0))</f>
        <v>0</v>
      </c>
      <c r="AP47" s="145">
        <f>IF(OR(GradeSheet!$M42="W (Withdrawn)", GradeSheet!$M42="I (Incomplete)"), 0, IF(AJ47&gt;=55%, 1, 0))</f>
        <v>0</v>
      </c>
      <c r="AQ47" s="145">
        <f>IF(OR(GradeSheet!$M42="W (Withdrawn)", GradeSheet!$M42="I (Incomplete)"), 0, IF(AK47&gt;=55%, 1, 0))</f>
        <v>0</v>
      </c>
      <c r="AR47" s="145">
        <f>IF(OR(GradeSheet!$M42="W (Withdrawn)", GradeSheet!$M42="I (Incomplete)"), 0, IF(AL47&gt;=55%, 1, 0))</f>
        <v>0</v>
      </c>
      <c r="AS47" s="145">
        <f>IF(OR(GradeSheet!$M42="W (Withdrawn)", GradeSheet!$M42="I (Incomplete)"), 0, IF(AM47&gt;=55%, 1, 0))</f>
        <v>0</v>
      </c>
      <c r="AT47" s="122"/>
      <c r="AU47" s="146">
        <f t="shared" si="11"/>
        <v>0</v>
      </c>
      <c r="AV47" s="146">
        <f t="shared" si="12"/>
        <v>0</v>
      </c>
      <c r="AW47" s="146">
        <f t="array" ref="AW47">IF($AV$9=0,0,MMULT($AH47:$AM47, AV$3:AV$8)/$AV$9)</f>
        <v>0</v>
      </c>
      <c r="AX47" s="146">
        <f t="array" ref="AX47">IF($AW$9=0,0,MMULT($AH47:$AM47, AW$3:AW$8)/$AW$9)</f>
        <v>0</v>
      </c>
      <c r="AY47" s="146">
        <f t="shared" si="13"/>
        <v>0</v>
      </c>
      <c r="AZ47" s="146">
        <f t="array" ref="AZ47">IF($AY$9=0,0,MMULT($AH47:$AM47, AY$3:AY$8)/$AY$9)</f>
        <v>0</v>
      </c>
      <c r="BA47" s="146">
        <f t="array" ref="BA47">IF($AZ$9=0,0,MMULT($AH47:$AM47, AZ$3:AZ$8)/$AZ$9)</f>
        <v>0</v>
      </c>
      <c r="BB47" s="146">
        <f t="array" ref="BB47">IF($BA$9=0,0,MMULT($AH47:$AM47, BA$3:BA$8)/$BA$9)</f>
        <v>0</v>
      </c>
      <c r="BC47" s="146">
        <f t="array" ref="BC47">IF($BB$9=0,0,MMULT($AH47:$AM47, BB$3:BB$8)/$BB$9)</f>
        <v>0</v>
      </c>
      <c r="BD47" s="146">
        <f t="array" ref="BD47">IF($BC$9=0,0,MMULT($AH47:$AM47, BC$3:BC$8)/$BC$9)</f>
        <v>0</v>
      </c>
      <c r="BE47" s="146">
        <f t="shared" si="14"/>
        <v>0</v>
      </c>
      <c r="BF47" s="146">
        <f t="shared" si="15"/>
        <v>0</v>
      </c>
      <c r="BG47" s="145">
        <f>IF(OR(GradeSheet!$M42="W (Withdrawn)", GradeSheet!$M42="I (Incomplete)"), 0, IF(AU47&gt;=65%, 1, 0))</f>
        <v>0</v>
      </c>
      <c r="BH47" s="145">
        <f>IF(OR(GradeSheet!$M42="W (Withdrawn)", GradeSheet!$M42="I (Incomplete)"), 0, IF(AV47&gt;=65%, 1, 0))</f>
        <v>0</v>
      </c>
      <c r="BI47" s="145">
        <f>IF(OR(GradeSheet!$M42="W (Withdrawn)", GradeSheet!$M42="I (Incomplete)"), 0, IF(AW47&gt;=65%, 1, 0))</f>
        <v>0</v>
      </c>
      <c r="BJ47" s="145">
        <f>IF(OR(GradeSheet!$M42="W (Withdrawn)", GradeSheet!$M42="I (Incomplete)"), 0, IF(AX47&gt;=65%, 1, 0))</f>
        <v>0</v>
      </c>
      <c r="BK47" s="145">
        <f>IF(OR(GradeSheet!$M42="W (Withdrawn)", GradeSheet!$M42="I (Incomplete)"), 0, IF(AY47&gt;=65%, 1, 0))</f>
        <v>0</v>
      </c>
      <c r="BL47" s="145">
        <f>IF(OR(GradeSheet!$M42="W (Withdrawn)", GradeSheet!$M42="I (Incomplete)"), 0, IF(AZ47&gt;=65%, 1, 0))</f>
        <v>0</v>
      </c>
      <c r="BM47" s="145">
        <f>IF(OR(GradeSheet!$M42="W (Withdrawn)", GradeSheet!$M42="I (Incomplete)"), 0, IF(BA47&gt;=65%, 1, 0))</f>
        <v>0</v>
      </c>
      <c r="BN47" s="145">
        <f>IF(OR(GradeSheet!$M42="W (Withdrawn)", GradeSheet!$M42="I (Incomplete)"), 0, IF(BB47&gt;=65%, 1, 0))</f>
        <v>0</v>
      </c>
      <c r="BO47" s="145">
        <f>IF(OR(GradeSheet!$M42="W (Withdrawn)", GradeSheet!$M42="I (Incomplete)"), 0, IF(BC47&gt;=65%, 1, 0))</f>
        <v>0</v>
      </c>
      <c r="BP47" s="145">
        <f>IF(OR(GradeSheet!$M42="W (Withdrawn)", GradeSheet!$M42="I (Incomplete)"), 0, IF(BD47&gt;=65%, 1, 0))</f>
        <v>0</v>
      </c>
      <c r="BQ47" s="145">
        <f>IF(OR(GradeSheet!$M42="W (Withdrawn)", GradeSheet!$M42="I (Incomplete)"), 0, IF(BE47&gt;=65%, 1, 0))</f>
        <v>0</v>
      </c>
      <c r="BR47" s="145">
        <f>IF(OR(GradeSheet!$M42="W (Withdrawn)", GradeSheet!$M42="I (Incomplete)"), 0, IF(BF47&gt;=65%, 1, 0))</f>
        <v>0</v>
      </c>
    </row>
    <row r="48" spans="1:70" ht="15.75" customHeight="1">
      <c r="A48" s="147">
        <v>34</v>
      </c>
      <c r="B48" s="22"/>
      <c r="C48" s="30"/>
      <c r="D48" s="137"/>
      <c r="E48" s="137"/>
      <c r="F48" s="138"/>
      <c r="G48" s="138"/>
      <c r="H48" s="138"/>
      <c r="I48" s="138"/>
      <c r="J48" s="137"/>
      <c r="K48" s="137"/>
      <c r="L48" s="137"/>
      <c r="M48" s="138"/>
      <c r="N48" s="138"/>
      <c r="O48" s="138"/>
      <c r="P48" s="139"/>
      <c r="Q48" s="140"/>
      <c r="R48" s="140"/>
      <c r="S48" s="140"/>
      <c r="T48" s="140"/>
      <c r="U48" s="141"/>
      <c r="V48" s="139"/>
      <c r="W48" s="140"/>
      <c r="X48" s="140"/>
      <c r="Y48" s="140"/>
      <c r="Z48" s="140"/>
      <c r="AA48" s="141"/>
      <c r="AB48" s="142">
        <f t="shared" ref="AB48:AE48" si="80">SUM(V48,D48,J48)</f>
        <v>0</v>
      </c>
      <c r="AC48" s="143">
        <f t="shared" si="80"/>
        <v>0</v>
      </c>
      <c r="AD48" s="148">
        <f t="shared" si="80"/>
        <v>0</v>
      </c>
      <c r="AE48" s="148">
        <f t="shared" si="80"/>
        <v>0</v>
      </c>
      <c r="AF48" s="143">
        <f t="shared" si="8"/>
        <v>0</v>
      </c>
      <c r="AG48" s="148">
        <f t="shared" si="9"/>
        <v>0</v>
      </c>
      <c r="AH48" s="144">
        <f t="shared" ref="AH48:AM48" si="81">IF(AB48 = 0, 0, AB48/AB$14)</f>
        <v>0</v>
      </c>
      <c r="AI48" s="144">
        <f t="shared" si="81"/>
        <v>0</v>
      </c>
      <c r="AJ48" s="144">
        <f t="shared" si="81"/>
        <v>0</v>
      </c>
      <c r="AK48" s="144">
        <f t="shared" si="81"/>
        <v>0</v>
      </c>
      <c r="AL48" s="144">
        <f t="shared" si="81"/>
        <v>0</v>
      </c>
      <c r="AM48" s="144">
        <f t="shared" si="81"/>
        <v>0</v>
      </c>
      <c r="AN48" s="145">
        <f>IF(OR(GradeSheet!$M43="W (Withdrawn)", GradeSheet!$M43="I (Incomplete)"), 0, IF(AH48&gt;=55%, 1, 0))</f>
        <v>0</v>
      </c>
      <c r="AO48" s="145">
        <f>IF(OR(GradeSheet!$M43="W (Withdrawn)", GradeSheet!$M43="I (Incomplete)"), 0, IF(AI48&gt;=55%, 1, 0))</f>
        <v>0</v>
      </c>
      <c r="AP48" s="145">
        <f>IF(OR(GradeSheet!$M43="W (Withdrawn)", GradeSheet!$M43="I (Incomplete)"), 0, IF(AJ48&gt;=55%, 1, 0))</f>
        <v>0</v>
      </c>
      <c r="AQ48" s="145">
        <f>IF(OR(GradeSheet!$M43="W (Withdrawn)", GradeSheet!$M43="I (Incomplete)"), 0, IF(AK48&gt;=55%, 1, 0))</f>
        <v>0</v>
      </c>
      <c r="AR48" s="145">
        <f>IF(OR(GradeSheet!$M43="W (Withdrawn)", GradeSheet!$M43="I (Incomplete)"), 0, IF(AL48&gt;=55%, 1, 0))</f>
        <v>0</v>
      </c>
      <c r="AS48" s="145">
        <f>IF(OR(GradeSheet!$M43="W (Withdrawn)", GradeSheet!$M43="I (Incomplete)"), 0, IF(AM48&gt;=55%, 1, 0))</f>
        <v>0</v>
      </c>
      <c r="AT48" s="122"/>
      <c r="AU48" s="146">
        <f t="shared" si="11"/>
        <v>0</v>
      </c>
      <c r="AV48" s="146">
        <f t="shared" si="12"/>
        <v>0</v>
      </c>
      <c r="AW48" s="146">
        <f t="array" ref="AW48">IF($AV$9=0,0,MMULT($AH48:$AM48, AV$3:AV$8)/$AV$9)</f>
        <v>0</v>
      </c>
      <c r="AX48" s="146">
        <f t="array" ref="AX48">IF($AW$9=0,0,MMULT($AH48:$AM48, AW$3:AW$8)/$AW$9)</f>
        <v>0</v>
      </c>
      <c r="AY48" s="146">
        <f t="shared" si="13"/>
        <v>0</v>
      </c>
      <c r="AZ48" s="146">
        <f t="array" ref="AZ48">IF($AY$9=0,0,MMULT($AH48:$AM48, AY$3:AY$8)/$AY$9)</f>
        <v>0</v>
      </c>
      <c r="BA48" s="146">
        <f t="array" ref="BA48">IF($AZ$9=0,0,MMULT($AH48:$AM48, AZ$3:AZ$8)/$AZ$9)</f>
        <v>0</v>
      </c>
      <c r="BB48" s="146">
        <f t="array" ref="BB48">IF($BA$9=0,0,MMULT($AH48:$AM48, BA$3:BA$8)/$BA$9)</f>
        <v>0</v>
      </c>
      <c r="BC48" s="146">
        <f t="array" ref="BC48">IF($BB$9=0,0,MMULT($AH48:$AM48, BB$3:BB$8)/$BB$9)</f>
        <v>0</v>
      </c>
      <c r="BD48" s="146">
        <f t="array" ref="BD48">IF($BC$9=0,0,MMULT($AH48:$AM48, BC$3:BC$8)/$BC$9)</f>
        <v>0</v>
      </c>
      <c r="BE48" s="146">
        <f t="shared" si="14"/>
        <v>0</v>
      </c>
      <c r="BF48" s="146">
        <f t="shared" si="15"/>
        <v>0</v>
      </c>
      <c r="BG48" s="145">
        <f>IF(OR(GradeSheet!$M43="W (Withdrawn)", GradeSheet!$M43="I (Incomplete)"), 0, IF(AU48&gt;=65%, 1, 0))</f>
        <v>0</v>
      </c>
      <c r="BH48" s="145">
        <f>IF(OR(GradeSheet!$M43="W (Withdrawn)", GradeSheet!$M43="I (Incomplete)"), 0, IF(AV48&gt;=65%, 1, 0))</f>
        <v>0</v>
      </c>
      <c r="BI48" s="145">
        <f>IF(OR(GradeSheet!$M43="W (Withdrawn)", GradeSheet!$M43="I (Incomplete)"), 0, IF(AW48&gt;=65%, 1, 0))</f>
        <v>0</v>
      </c>
      <c r="BJ48" s="145">
        <f>IF(OR(GradeSheet!$M43="W (Withdrawn)", GradeSheet!$M43="I (Incomplete)"), 0, IF(AX48&gt;=65%, 1, 0))</f>
        <v>0</v>
      </c>
      <c r="BK48" s="145">
        <f>IF(OR(GradeSheet!$M43="W (Withdrawn)", GradeSheet!$M43="I (Incomplete)"), 0, IF(AY48&gt;=65%, 1, 0))</f>
        <v>0</v>
      </c>
      <c r="BL48" s="145">
        <f>IF(OR(GradeSheet!$M43="W (Withdrawn)", GradeSheet!$M43="I (Incomplete)"), 0, IF(AZ48&gt;=65%, 1, 0))</f>
        <v>0</v>
      </c>
      <c r="BM48" s="145">
        <f>IF(OR(GradeSheet!$M43="W (Withdrawn)", GradeSheet!$M43="I (Incomplete)"), 0, IF(BA48&gt;=65%, 1, 0))</f>
        <v>0</v>
      </c>
      <c r="BN48" s="145">
        <f>IF(OR(GradeSheet!$M43="W (Withdrawn)", GradeSheet!$M43="I (Incomplete)"), 0, IF(BB48&gt;=65%, 1, 0))</f>
        <v>0</v>
      </c>
      <c r="BO48" s="145">
        <f>IF(OR(GradeSheet!$M43="W (Withdrawn)", GradeSheet!$M43="I (Incomplete)"), 0, IF(BC48&gt;=65%, 1, 0))</f>
        <v>0</v>
      </c>
      <c r="BP48" s="145">
        <f>IF(OR(GradeSheet!$M43="W (Withdrawn)", GradeSheet!$M43="I (Incomplete)"), 0, IF(BD48&gt;=65%, 1, 0))</f>
        <v>0</v>
      </c>
      <c r="BQ48" s="145">
        <f>IF(OR(GradeSheet!$M43="W (Withdrawn)", GradeSheet!$M43="I (Incomplete)"), 0, IF(BE48&gt;=65%, 1, 0))</f>
        <v>0</v>
      </c>
      <c r="BR48" s="145">
        <f>IF(OR(GradeSheet!$M43="W (Withdrawn)", GradeSheet!$M43="I (Incomplete)"), 0, IF(BF48&gt;=65%, 1, 0))</f>
        <v>0</v>
      </c>
    </row>
    <row r="49" spans="1:70" ht="15.75" customHeight="1">
      <c r="A49" s="136">
        <v>35</v>
      </c>
      <c r="B49" s="22"/>
      <c r="C49" s="30"/>
      <c r="D49" s="137"/>
      <c r="E49" s="137"/>
      <c r="F49" s="138"/>
      <c r="G49" s="138"/>
      <c r="H49" s="138"/>
      <c r="I49" s="138"/>
      <c r="J49" s="137"/>
      <c r="K49" s="137"/>
      <c r="L49" s="137"/>
      <c r="M49" s="138"/>
      <c r="N49" s="138"/>
      <c r="O49" s="138"/>
      <c r="P49" s="139"/>
      <c r="Q49" s="140"/>
      <c r="R49" s="140"/>
      <c r="S49" s="140"/>
      <c r="T49" s="140"/>
      <c r="U49" s="141"/>
      <c r="V49" s="139"/>
      <c r="W49" s="140"/>
      <c r="X49" s="140"/>
      <c r="Y49" s="140"/>
      <c r="Z49" s="140"/>
      <c r="AA49" s="141"/>
      <c r="AB49" s="142">
        <f t="shared" ref="AB49:AE49" si="82">SUM(V49,D49,J49)</f>
        <v>0</v>
      </c>
      <c r="AC49" s="143">
        <f t="shared" si="82"/>
        <v>0</v>
      </c>
      <c r="AD49" s="148">
        <f t="shared" si="82"/>
        <v>0</v>
      </c>
      <c r="AE49" s="148">
        <f t="shared" si="82"/>
        <v>0</v>
      </c>
      <c r="AF49" s="143">
        <f t="shared" si="8"/>
        <v>0</v>
      </c>
      <c r="AG49" s="148">
        <f t="shared" si="9"/>
        <v>0</v>
      </c>
      <c r="AH49" s="144">
        <f t="shared" ref="AH49:AM49" si="83">IF(AB49 = 0, 0, AB49/AB$14)</f>
        <v>0</v>
      </c>
      <c r="AI49" s="144">
        <f t="shared" si="83"/>
        <v>0</v>
      </c>
      <c r="AJ49" s="144">
        <f t="shared" si="83"/>
        <v>0</v>
      </c>
      <c r="AK49" s="144">
        <f t="shared" si="83"/>
        <v>0</v>
      </c>
      <c r="AL49" s="144">
        <f t="shared" si="83"/>
        <v>0</v>
      </c>
      <c r="AM49" s="144">
        <f t="shared" si="83"/>
        <v>0</v>
      </c>
      <c r="AN49" s="145">
        <f>IF(OR(GradeSheet!$M44="W (Withdrawn)", GradeSheet!$M44="I (Incomplete)"), 0, IF(AH49&gt;=55%, 1, 0))</f>
        <v>0</v>
      </c>
      <c r="AO49" s="145">
        <f>IF(OR(GradeSheet!$M44="W (Withdrawn)", GradeSheet!$M44="I (Incomplete)"), 0, IF(AI49&gt;=55%, 1, 0))</f>
        <v>0</v>
      </c>
      <c r="AP49" s="145">
        <f>IF(OR(GradeSheet!$M44="W (Withdrawn)", GradeSheet!$M44="I (Incomplete)"), 0, IF(AJ49&gt;=55%, 1, 0))</f>
        <v>0</v>
      </c>
      <c r="AQ49" s="145">
        <f>IF(OR(GradeSheet!$M44="W (Withdrawn)", GradeSheet!$M44="I (Incomplete)"), 0, IF(AK49&gt;=55%, 1, 0))</f>
        <v>0</v>
      </c>
      <c r="AR49" s="145">
        <f>IF(OR(GradeSheet!$M44="W (Withdrawn)", GradeSheet!$M44="I (Incomplete)"), 0, IF(AL49&gt;=55%, 1, 0))</f>
        <v>0</v>
      </c>
      <c r="AS49" s="145">
        <f>IF(OR(GradeSheet!$M44="W (Withdrawn)", GradeSheet!$M44="I (Incomplete)"), 0, IF(AM49&gt;=55%, 1, 0))</f>
        <v>0</v>
      </c>
      <c r="AT49" s="122"/>
      <c r="AU49" s="146">
        <f t="shared" si="11"/>
        <v>0</v>
      </c>
      <c r="AV49" s="146">
        <f t="shared" si="12"/>
        <v>0</v>
      </c>
      <c r="AW49" s="146">
        <f t="array" ref="AW49">IF($AV$9=0,0,MMULT($AH49:$AM49, AV$3:AV$8)/$AV$9)</f>
        <v>0</v>
      </c>
      <c r="AX49" s="146">
        <f t="array" ref="AX49">IF($AW$9=0,0,MMULT($AH49:$AM49, AW$3:AW$8)/$AW$9)</f>
        <v>0</v>
      </c>
      <c r="AY49" s="146">
        <f t="shared" si="13"/>
        <v>0</v>
      </c>
      <c r="AZ49" s="146">
        <f t="array" ref="AZ49">IF($AY$9=0,0,MMULT($AH49:$AM49, AY$3:AY$8)/$AY$9)</f>
        <v>0</v>
      </c>
      <c r="BA49" s="146">
        <f t="array" ref="BA49">IF($AZ$9=0,0,MMULT($AH49:$AM49, AZ$3:AZ$8)/$AZ$9)</f>
        <v>0</v>
      </c>
      <c r="BB49" s="146">
        <f t="array" ref="BB49">IF($BA$9=0,0,MMULT($AH49:$AM49, BA$3:BA$8)/$BA$9)</f>
        <v>0</v>
      </c>
      <c r="BC49" s="146">
        <f t="array" ref="BC49">IF($BB$9=0,0,MMULT($AH49:$AM49, BB$3:BB$8)/$BB$9)</f>
        <v>0</v>
      </c>
      <c r="BD49" s="146">
        <f t="array" ref="BD49">IF($BC$9=0,0,MMULT($AH49:$AM49, BC$3:BC$8)/$BC$9)</f>
        <v>0</v>
      </c>
      <c r="BE49" s="146">
        <f t="shared" si="14"/>
        <v>0</v>
      </c>
      <c r="BF49" s="146">
        <f t="shared" si="15"/>
        <v>0</v>
      </c>
      <c r="BG49" s="145">
        <f>IF(OR(GradeSheet!$M44="W (Withdrawn)", GradeSheet!$M44="I (Incomplete)"), 0, IF(AU49&gt;=65%, 1, 0))</f>
        <v>0</v>
      </c>
      <c r="BH49" s="145">
        <f>IF(OR(GradeSheet!$M44="W (Withdrawn)", GradeSheet!$M44="I (Incomplete)"), 0, IF(AV49&gt;=65%, 1, 0))</f>
        <v>0</v>
      </c>
      <c r="BI49" s="145">
        <f>IF(OR(GradeSheet!$M44="W (Withdrawn)", GradeSheet!$M44="I (Incomplete)"), 0, IF(AW49&gt;=65%, 1, 0))</f>
        <v>0</v>
      </c>
      <c r="BJ49" s="145">
        <f>IF(OR(GradeSheet!$M44="W (Withdrawn)", GradeSheet!$M44="I (Incomplete)"), 0, IF(AX49&gt;=65%, 1, 0))</f>
        <v>0</v>
      </c>
      <c r="BK49" s="145">
        <f>IF(OR(GradeSheet!$M44="W (Withdrawn)", GradeSheet!$M44="I (Incomplete)"), 0, IF(AY49&gt;=65%, 1, 0))</f>
        <v>0</v>
      </c>
      <c r="BL49" s="145">
        <f>IF(OR(GradeSheet!$M44="W (Withdrawn)", GradeSheet!$M44="I (Incomplete)"), 0, IF(AZ49&gt;=65%, 1, 0))</f>
        <v>0</v>
      </c>
      <c r="BM49" s="145">
        <f>IF(OR(GradeSheet!$M44="W (Withdrawn)", GradeSheet!$M44="I (Incomplete)"), 0, IF(BA49&gt;=65%, 1, 0))</f>
        <v>0</v>
      </c>
      <c r="BN49" s="145">
        <f>IF(OR(GradeSheet!$M44="W (Withdrawn)", GradeSheet!$M44="I (Incomplete)"), 0, IF(BB49&gt;=65%, 1, 0))</f>
        <v>0</v>
      </c>
      <c r="BO49" s="145">
        <f>IF(OR(GradeSheet!$M44="W (Withdrawn)", GradeSheet!$M44="I (Incomplete)"), 0, IF(BC49&gt;=65%, 1, 0))</f>
        <v>0</v>
      </c>
      <c r="BP49" s="145">
        <f>IF(OR(GradeSheet!$M44="W (Withdrawn)", GradeSheet!$M44="I (Incomplete)"), 0, IF(BD49&gt;=65%, 1, 0))</f>
        <v>0</v>
      </c>
      <c r="BQ49" s="145">
        <f>IF(OR(GradeSheet!$M44="W (Withdrawn)", GradeSheet!$M44="I (Incomplete)"), 0, IF(BE49&gt;=65%, 1, 0))</f>
        <v>0</v>
      </c>
      <c r="BR49" s="145">
        <f>IF(OR(GradeSheet!$M44="W (Withdrawn)", GradeSheet!$M44="I (Incomplete)"), 0, IF(BF49&gt;=65%, 1, 0))</f>
        <v>0</v>
      </c>
    </row>
    <row r="50" spans="1:70" ht="15.75" customHeight="1">
      <c r="A50" s="147">
        <v>36</v>
      </c>
      <c r="B50" s="22"/>
      <c r="C50" s="30"/>
      <c r="D50" s="137"/>
      <c r="E50" s="137"/>
      <c r="F50" s="138"/>
      <c r="G50" s="138"/>
      <c r="H50" s="138"/>
      <c r="I50" s="138"/>
      <c r="J50" s="137"/>
      <c r="K50" s="137"/>
      <c r="L50" s="137"/>
      <c r="M50" s="138"/>
      <c r="N50" s="138"/>
      <c r="O50" s="138"/>
      <c r="P50" s="139"/>
      <c r="Q50" s="140"/>
      <c r="R50" s="140"/>
      <c r="S50" s="140"/>
      <c r="T50" s="140"/>
      <c r="U50" s="141"/>
      <c r="V50" s="139"/>
      <c r="W50" s="140"/>
      <c r="X50" s="140"/>
      <c r="Y50" s="140"/>
      <c r="Z50" s="140"/>
      <c r="AA50" s="141"/>
      <c r="AB50" s="142">
        <f t="shared" ref="AB50:AE50" si="84">SUM(V50,D50,J50)</f>
        <v>0</v>
      </c>
      <c r="AC50" s="143">
        <f t="shared" si="84"/>
        <v>0</v>
      </c>
      <c r="AD50" s="148">
        <f t="shared" si="84"/>
        <v>0</v>
      </c>
      <c r="AE50" s="148">
        <f t="shared" si="84"/>
        <v>0</v>
      </c>
      <c r="AF50" s="143">
        <f t="shared" si="8"/>
        <v>0</v>
      </c>
      <c r="AG50" s="148">
        <f t="shared" si="9"/>
        <v>0</v>
      </c>
      <c r="AH50" s="144">
        <f t="shared" ref="AH50:AM50" si="85">IF(AB50 = 0, 0, AB50/AB$14)</f>
        <v>0</v>
      </c>
      <c r="AI50" s="144">
        <f t="shared" si="85"/>
        <v>0</v>
      </c>
      <c r="AJ50" s="144">
        <f t="shared" si="85"/>
        <v>0</v>
      </c>
      <c r="AK50" s="144">
        <f t="shared" si="85"/>
        <v>0</v>
      </c>
      <c r="AL50" s="144">
        <f t="shared" si="85"/>
        <v>0</v>
      </c>
      <c r="AM50" s="144">
        <f t="shared" si="85"/>
        <v>0</v>
      </c>
      <c r="AN50" s="145">
        <f>IF(OR(GradeSheet!$M45="W (Withdrawn)", GradeSheet!$M45="I (Incomplete)"), 0, IF(AH50&gt;=55%, 1, 0))</f>
        <v>0</v>
      </c>
      <c r="AO50" s="145">
        <f>IF(OR(GradeSheet!$M45="W (Withdrawn)", GradeSheet!$M45="I (Incomplete)"), 0, IF(AI50&gt;=55%, 1, 0))</f>
        <v>0</v>
      </c>
      <c r="AP50" s="145">
        <f>IF(OR(GradeSheet!$M45="W (Withdrawn)", GradeSheet!$M45="I (Incomplete)"), 0, IF(AJ50&gt;=55%, 1, 0))</f>
        <v>0</v>
      </c>
      <c r="AQ50" s="145">
        <f>IF(OR(GradeSheet!$M45="W (Withdrawn)", GradeSheet!$M45="I (Incomplete)"), 0, IF(AK50&gt;=55%, 1, 0))</f>
        <v>0</v>
      </c>
      <c r="AR50" s="145">
        <f>IF(OR(GradeSheet!$M45="W (Withdrawn)", GradeSheet!$M45="I (Incomplete)"), 0, IF(AL50&gt;=55%, 1, 0))</f>
        <v>0</v>
      </c>
      <c r="AS50" s="145">
        <f>IF(OR(GradeSheet!$M45="W (Withdrawn)", GradeSheet!$M45="I (Incomplete)"), 0, IF(AM50&gt;=55%, 1, 0))</f>
        <v>0</v>
      </c>
      <c r="AT50" s="122"/>
      <c r="AU50" s="146">
        <f t="shared" si="11"/>
        <v>0</v>
      </c>
      <c r="AV50" s="146">
        <f t="shared" si="12"/>
        <v>0</v>
      </c>
      <c r="AW50" s="146">
        <f t="array" ref="AW50">IF($AV$9=0,0,MMULT($AH50:$AM50, AV$3:AV$8)/$AV$9)</f>
        <v>0</v>
      </c>
      <c r="AX50" s="146">
        <f t="array" ref="AX50">IF($AW$9=0,0,MMULT($AH50:$AM50, AW$3:AW$8)/$AW$9)</f>
        <v>0</v>
      </c>
      <c r="AY50" s="146">
        <f t="shared" si="13"/>
        <v>0</v>
      </c>
      <c r="AZ50" s="146">
        <f t="array" ref="AZ50">IF($AY$9=0,0,MMULT($AH50:$AM50, AY$3:AY$8)/$AY$9)</f>
        <v>0</v>
      </c>
      <c r="BA50" s="146">
        <f t="array" ref="BA50">IF($AZ$9=0,0,MMULT($AH50:$AM50, AZ$3:AZ$8)/$AZ$9)</f>
        <v>0</v>
      </c>
      <c r="BB50" s="146">
        <f t="array" ref="BB50">IF($BA$9=0,0,MMULT($AH50:$AM50, BA$3:BA$8)/$BA$9)</f>
        <v>0</v>
      </c>
      <c r="BC50" s="146">
        <f t="array" ref="BC50">IF($BB$9=0,0,MMULT($AH50:$AM50, BB$3:BB$8)/$BB$9)</f>
        <v>0</v>
      </c>
      <c r="BD50" s="146">
        <f t="array" ref="BD50">IF($BC$9=0,0,MMULT($AH50:$AM50, BC$3:BC$8)/$BC$9)</f>
        <v>0</v>
      </c>
      <c r="BE50" s="146">
        <f t="shared" si="14"/>
        <v>0</v>
      </c>
      <c r="BF50" s="146">
        <f t="shared" si="15"/>
        <v>0</v>
      </c>
      <c r="BG50" s="145">
        <f>IF(OR(GradeSheet!$M45="W (Withdrawn)", GradeSheet!$M45="I (Incomplete)"), 0, IF(AU50&gt;=65%, 1, 0))</f>
        <v>0</v>
      </c>
      <c r="BH50" s="145">
        <f>IF(OR(GradeSheet!$M45="W (Withdrawn)", GradeSheet!$M45="I (Incomplete)"), 0, IF(AV50&gt;=65%, 1, 0))</f>
        <v>0</v>
      </c>
      <c r="BI50" s="145">
        <f>IF(OR(GradeSheet!$M45="W (Withdrawn)", GradeSheet!$M45="I (Incomplete)"), 0, IF(AW50&gt;=65%, 1, 0))</f>
        <v>0</v>
      </c>
      <c r="BJ50" s="145">
        <f>IF(OR(GradeSheet!$M45="W (Withdrawn)", GradeSheet!$M45="I (Incomplete)"), 0, IF(AX50&gt;=65%, 1, 0))</f>
        <v>0</v>
      </c>
      <c r="BK50" s="145">
        <f>IF(OR(GradeSheet!$M45="W (Withdrawn)", GradeSheet!$M45="I (Incomplete)"), 0, IF(AY50&gt;=65%, 1, 0))</f>
        <v>0</v>
      </c>
      <c r="BL50" s="145">
        <f>IF(OR(GradeSheet!$M45="W (Withdrawn)", GradeSheet!$M45="I (Incomplete)"), 0, IF(AZ50&gt;=65%, 1, 0))</f>
        <v>0</v>
      </c>
      <c r="BM50" s="145">
        <f>IF(OR(GradeSheet!$M45="W (Withdrawn)", GradeSheet!$M45="I (Incomplete)"), 0, IF(BA50&gt;=65%, 1, 0))</f>
        <v>0</v>
      </c>
      <c r="BN50" s="145">
        <f>IF(OR(GradeSheet!$M45="W (Withdrawn)", GradeSheet!$M45="I (Incomplete)"), 0, IF(BB50&gt;=65%, 1, 0))</f>
        <v>0</v>
      </c>
      <c r="BO50" s="145">
        <f>IF(OR(GradeSheet!$M45="W (Withdrawn)", GradeSheet!$M45="I (Incomplete)"), 0, IF(BC50&gt;=65%, 1, 0))</f>
        <v>0</v>
      </c>
      <c r="BP50" s="145">
        <f>IF(OR(GradeSheet!$M45="W (Withdrawn)", GradeSheet!$M45="I (Incomplete)"), 0, IF(BD50&gt;=65%, 1, 0))</f>
        <v>0</v>
      </c>
      <c r="BQ50" s="145">
        <f>IF(OR(GradeSheet!$M45="W (Withdrawn)", GradeSheet!$M45="I (Incomplete)"), 0, IF(BE50&gt;=65%, 1, 0))</f>
        <v>0</v>
      </c>
      <c r="BR50" s="145">
        <f>IF(OR(GradeSheet!$M45="W (Withdrawn)", GradeSheet!$M45="I (Incomplete)"), 0, IF(BF50&gt;=65%, 1, 0))</f>
        <v>0</v>
      </c>
    </row>
    <row r="51" spans="1:70" ht="15.75" customHeight="1">
      <c r="A51" s="136">
        <v>37</v>
      </c>
      <c r="B51" s="22"/>
      <c r="C51" s="30"/>
      <c r="D51" s="137"/>
      <c r="E51" s="137"/>
      <c r="F51" s="138"/>
      <c r="G51" s="138"/>
      <c r="H51" s="138"/>
      <c r="I51" s="138"/>
      <c r="J51" s="137"/>
      <c r="K51" s="137"/>
      <c r="L51" s="137"/>
      <c r="M51" s="138"/>
      <c r="N51" s="138"/>
      <c r="O51" s="138"/>
      <c r="P51" s="139"/>
      <c r="Q51" s="140"/>
      <c r="R51" s="140"/>
      <c r="S51" s="140"/>
      <c r="T51" s="140"/>
      <c r="U51" s="141"/>
      <c r="V51" s="139"/>
      <c r="W51" s="140"/>
      <c r="X51" s="140"/>
      <c r="Y51" s="140"/>
      <c r="Z51" s="140"/>
      <c r="AA51" s="141"/>
      <c r="AB51" s="142">
        <f t="shared" ref="AB51:AE51" si="86">SUM(V51,D51,J51)</f>
        <v>0</v>
      </c>
      <c r="AC51" s="143">
        <f t="shared" si="86"/>
        <v>0</v>
      </c>
      <c r="AD51" s="148">
        <f t="shared" si="86"/>
        <v>0</v>
      </c>
      <c r="AE51" s="148">
        <f t="shared" si="86"/>
        <v>0</v>
      </c>
      <c r="AF51" s="143">
        <f t="shared" si="8"/>
        <v>0</v>
      </c>
      <c r="AG51" s="148">
        <f t="shared" si="9"/>
        <v>0</v>
      </c>
      <c r="AH51" s="144">
        <f t="shared" ref="AH51:AM51" si="87">IF(AB51 = 0, 0, AB51/AB$14)</f>
        <v>0</v>
      </c>
      <c r="AI51" s="144">
        <f t="shared" si="87"/>
        <v>0</v>
      </c>
      <c r="AJ51" s="144">
        <f t="shared" si="87"/>
        <v>0</v>
      </c>
      <c r="AK51" s="144">
        <f t="shared" si="87"/>
        <v>0</v>
      </c>
      <c r="AL51" s="144">
        <f t="shared" si="87"/>
        <v>0</v>
      </c>
      <c r="AM51" s="144">
        <f t="shared" si="87"/>
        <v>0</v>
      </c>
      <c r="AN51" s="145">
        <f>IF(OR(GradeSheet!$M46="W (Withdrawn)", GradeSheet!$M46="I (Incomplete)"), 0, IF(AH51&gt;=55%, 1, 0))</f>
        <v>0</v>
      </c>
      <c r="AO51" s="145">
        <f>IF(OR(GradeSheet!$M46="W (Withdrawn)", GradeSheet!$M46="I (Incomplete)"), 0, IF(AI51&gt;=55%, 1, 0))</f>
        <v>0</v>
      </c>
      <c r="AP51" s="145">
        <f>IF(OR(GradeSheet!$M46="W (Withdrawn)", GradeSheet!$M46="I (Incomplete)"), 0, IF(AJ51&gt;=55%, 1, 0))</f>
        <v>0</v>
      </c>
      <c r="AQ51" s="145">
        <f>IF(OR(GradeSheet!$M46="W (Withdrawn)", GradeSheet!$M46="I (Incomplete)"), 0, IF(AK51&gt;=55%, 1, 0))</f>
        <v>0</v>
      </c>
      <c r="AR51" s="145">
        <f>IF(OR(GradeSheet!$M46="W (Withdrawn)", GradeSheet!$M46="I (Incomplete)"), 0, IF(AL51&gt;=55%, 1, 0))</f>
        <v>0</v>
      </c>
      <c r="AS51" s="145">
        <f>IF(OR(GradeSheet!$M46="W (Withdrawn)", GradeSheet!$M46="I (Incomplete)"), 0, IF(AM51&gt;=55%, 1, 0))</f>
        <v>0</v>
      </c>
      <c r="AT51" s="122"/>
      <c r="AU51" s="146">
        <f t="shared" si="11"/>
        <v>0</v>
      </c>
      <c r="AV51" s="146">
        <f t="shared" si="12"/>
        <v>0</v>
      </c>
      <c r="AW51" s="146">
        <f t="array" ref="AW51">IF($AV$9=0,0,MMULT($AH51:$AM51, AV$3:AV$8)/$AV$9)</f>
        <v>0</v>
      </c>
      <c r="AX51" s="146">
        <f t="array" ref="AX51">IF($AW$9=0,0,MMULT($AH51:$AM51, AW$3:AW$8)/$AW$9)</f>
        <v>0</v>
      </c>
      <c r="AY51" s="146">
        <f t="shared" si="13"/>
        <v>0</v>
      </c>
      <c r="AZ51" s="146">
        <f t="array" ref="AZ51">IF($AY$9=0,0,MMULT($AH51:$AM51, AY$3:AY$8)/$AY$9)</f>
        <v>0</v>
      </c>
      <c r="BA51" s="146">
        <f t="array" ref="BA51">IF($AZ$9=0,0,MMULT($AH51:$AM51, AZ$3:AZ$8)/$AZ$9)</f>
        <v>0</v>
      </c>
      <c r="BB51" s="146">
        <f t="array" ref="BB51">IF($BA$9=0,0,MMULT($AH51:$AM51, BA$3:BA$8)/$BA$9)</f>
        <v>0</v>
      </c>
      <c r="BC51" s="146">
        <f t="array" ref="BC51">IF($BB$9=0,0,MMULT($AH51:$AM51, BB$3:BB$8)/$BB$9)</f>
        <v>0</v>
      </c>
      <c r="BD51" s="146">
        <f t="array" ref="BD51">IF($BC$9=0,0,MMULT($AH51:$AM51, BC$3:BC$8)/$BC$9)</f>
        <v>0</v>
      </c>
      <c r="BE51" s="146">
        <f t="shared" si="14"/>
        <v>0</v>
      </c>
      <c r="BF51" s="146">
        <f t="shared" si="15"/>
        <v>0</v>
      </c>
      <c r="BG51" s="145">
        <f>IF(OR(GradeSheet!$M46="W (Withdrawn)", GradeSheet!$M46="I (Incomplete)"), 0, IF(AU51&gt;=65%, 1, 0))</f>
        <v>0</v>
      </c>
      <c r="BH51" s="145">
        <f>IF(OR(GradeSheet!$M46="W (Withdrawn)", GradeSheet!$M46="I (Incomplete)"), 0, IF(AV51&gt;=65%, 1, 0))</f>
        <v>0</v>
      </c>
      <c r="BI51" s="145">
        <f>IF(OR(GradeSheet!$M46="W (Withdrawn)", GradeSheet!$M46="I (Incomplete)"), 0, IF(AW51&gt;=65%, 1, 0))</f>
        <v>0</v>
      </c>
      <c r="BJ51" s="145">
        <f>IF(OR(GradeSheet!$M46="W (Withdrawn)", GradeSheet!$M46="I (Incomplete)"), 0, IF(AX51&gt;=65%, 1, 0))</f>
        <v>0</v>
      </c>
      <c r="BK51" s="145">
        <f>IF(OR(GradeSheet!$M46="W (Withdrawn)", GradeSheet!$M46="I (Incomplete)"), 0, IF(AY51&gt;=65%, 1, 0))</f>
        <v>0</v>
      </c>
      <c r="BL51" s="145">
        <f>IF(OR(GradeSheet!$M46="W (Withdrawn)", GradeSheet!$M46="I (Incomplete)"), 0, IF(AZ51&gt;=65%, 1, 0))</f>
        <v>0</v>
      </c>
      <c r="BM51" s="145">
        <f>IF(OR(GradeSheet!$M46="W (Withdrawn)", GradeSheet!$M46="I (Incomplete)"), 0, IF(BA51&gt;=65%, 1, 0))</f>
        <v>0</v>
      </c>
      <c r="BN51" s="145">
        <f>IF(OR(GradeSheet!$M46="W (Withdrawn)", GradeSheet!$M46="I (Incomplete)"), 0, IF(BB51&gt;=65%, 1, 0))</f>
        <v>0</v>
      </c>
      <c r="BO51" s="145">
        <f>IF(OR(GradeSheet!$M46="W (Withdrawn)", GradeSheet!$M46="I (Incomplete)"), 0, IF(BC51&gt;=65%, 1, 0))</f>
        <v>0</v>
      </c>
      <c r="BP51" s="145">
        <f>IF(OR(GradeSheet!$M46="W (Withdrawn)", GradeSheet!$M46="I (Incomplete)"), 0, IF(BD51&gt;=65%, 1, 0))</f>
        <v>0</v>
      </c>
      <c r="BQ51" s="145">
        <f>IF(OR(GradeSheet!$M46="W (Withdrawn)", GradeSheet!$M46="I (Incomplete)"), 0, IF(BE51&gt;=65%, 1, 0))</f>
        <v>0</v>
      </c>
      <c r="BR51" s="145">
        <f>IF(OR(GradeSheet!$M46="W (Withdrawn)", GradeSheet!$M46="I (Incomplete)"), 0, IF(BF51&gt;=65%, 1, 0))</f>
        <v>0</v>
      </c>
    </row>
    <row r="52" spans="1:70" ht="15.75" customHeight="1">
      <c r="A52" s="147">
        <v>38</v>
      </c>
      <c r="B52" s="22"/>
      <c r="C52" s="30"/>
      <c r="D52" s="137"/>
      <c r="E52" s="137"/>
      <c r="F52" s="138"/>
      <c r="G52" s="138"/>
      <c r="H52" s="138"/>
      <c r="I52" s="138"/>
      <c r="J52" s="137"/>
      <c r="K52" s="137"/>
      <c r="L52" s="137"/>
      <c r="M52" s="138"/>
      <c r="N52" s="138"/>
      <c r="O52" s="138"/>
      <c r="P52" s="139"/>
      <c r="Q52" s="140"/>
      <c r="R52" s="140"/>
      <c r="S52" s="140"/>
      <c r="T52" s="140"/>
      <c r="U52" s="141"/>
      <c r="V52" s="139"/>
      <c r="W52" s="140"/>
      <c r="X52" s="140"/>
      <c r="Y52" s="140"/>
      <c r="Z52" s="140"/>
      <c r="AA52" s="141"/>
      <c r="AB52" s="142">
        <f t="shared" ref="AB52:AE52" si="88">SUM(V52,D52,J52)</f>
        <v>0</v>
      </c>
      <c r="AC52" s="143">
        <f t="shared" si="88"/>
        <v>0</v>
      </c>
      <c r="AD52" s="148">
        <f t="shared" si="88"/>
        <v>0</v>
      </c>
      <c r="AE52" s="148">
        <f t="shared" si="88"/>
        <v>0</v>
      </c>
      <c r="AF52" s="143">
        <f t="shared" si="8"/>
        <v>0</v>
      </c>
      <c r="AG52" s="148">
        <f t="shared" si="9"/>
        <v>0</v>
      </c>
      <c r="AH52" s="144">
        <f t="shared" ref="AH52:AM52" si="89">IF(AB52 = 0, 0, AB52/AB$14)</f>
        <v>0</v>
      </c>
      <c r="AI52" s="144">
        <f t="shared" si="89"/>
        <v>0</v>
      </c>
      <c r="AJ52" s="144">
        <f t="shared" si="89"/>
        <v>0</v>
      </c>
      <c r="AK52" s="144">
        <f t="shared" si="89"/>
        <v>0</v>
      </c>
      <c r="AL52" s="144">
        <f t="shared" si="89"/>
        <v>0</v>
      </c>
      <c r="AM52" s="144">
        <f t="shared" si="89"/>
        <v>0</v>
      </c>
      <c r="AN52" s="145">
        <f>IF(OR(GradeSheet!$M47="W (Withdrawn)", GradeSheet!$M47="I (Incomplete)"), 0, IF(AH52&gt;=55%, 1, 0))</f>
        <v>0</v>
      </c>
      <c r="AO52" s="145">
        <f>IF(OR(GradeSheet!$M47="W (Withdrawn)", GradeSheet!$M47="I (Incomplete)"), 0, IF(AI52&gt;=55%, 1, 0))</f>
        <v>0</v>
      </c>
      <c r="AP52" s="145">
        <f>IF(OR(GradeSheet!$M47="W (Withdrawn)", GradeSheet!$M47="I (Incomplete)"), 0, IF(AJ52&gt;=55%, 1, 0))</f>
        <v>0</v>
      </c>
      <c r="AQ52" s="145">
        <f>IF(OR(GradeSheet!$M47="W (Withdrawn)", GradeSheet!$M47="I (Incomplete)"), 0, IF(AK52&gt;=55%, 1, 0))</f>
        <v>0</v>
      </c>
      <c r="AR52" s="145">
        <f>IF(OR(GradeSheet!$M47="W (Withdrawn)", GradeSheet!$M47="I (Incomplete)"), 0, IF(AL52&gt;=55%, 1, 0))</f>
        <v>0</v>
      </c>
      <c r="AS52" s="145">
        <f>IF(OR(GradeSheet!$M47="W (Withdrawn)", GradeSheet!$M47="I (Incomplete)"), 0, IF(AM52&gt;=55%, 1, 0))</f>
        <v>0</v>
      </c>
      <c r="AT52" s="122"/>
      <c r="AU52" s="146">
        <f t="shared" si="11"/>
        <v>0</v>
      </c>
      <c r="AV52" s="146">
        <f t="shared" si="12"/>
        <v>0</v>
      </c>
      <c r="AW52" s="146">
        <f t="array" ref="AW52">IF($AV$9=0,0,MMULT($AH52:$AM52, AV$3:AV$8)/$AV$9)</f>
        <v>0</v>
      </c>
      <c r="AX52" s="146">
        <f t="array" ref="AX52">IF($AW$9=0,0,MMULT($AH52:$AM52, AW$3:AW$8)/$AW$9)</f>
        <v>0</v>
      </c>
      <c r="AY52" s="146">
        <f t="shared" si="13"/>
        <v>0</v>
      </c>
      <c r="AZ52" s="146">
        <f t="array" ref="AZ52">IF($AY$9=0,0,MMULT($AH52:$AM52, AY$3:AY$8)/$AY$9)</f>
        <v>0</v>
      </c>
      <c r="BA52" s="146">
        <f t="array" ref="BA52">IF($AZ$9=0,0,MMULT($AH52:$AM52, AZ$3:AZ$8)/$AZ$9)</f>
        <v>0</v>
      </c>
      <c r="BB52" s="146">
        <f t="array" ref="BB52">IF($BA$9=0,0,MMULT($AH52:$AM52, BA$3:BA$8)/$BA$9)</f>
        <v>0</v>
      </c>
      <c r="BC52" s="146">
        <f t="array" ref="BC52">IF($BB$9=0,0,MMULT($AH52:$AM52, BB$3:BB$8)/$BB$9)</f>
        <v>0</v>
      </c>
      <c r="BD52" s="146">
        <f t="array" ref="BD52">IF($BC$9=0,0,MMULT($AH52:$AM52, BC$3:BC$8)/$BC$9)</f>
        <v>0</v>
      </c>
      <c r="BE52" s="146">
        <f t="shared" si="14"/>
        <v>0</v>
      </c>
      <c r="BF52" s="146">
        <f t="shared" si="15"/>
        <v>0</v>
      </c>
      <c r="BG52" s="145">
        <f>IF(OR(GradeSheet!$M47="W (Withdrawn)", GradeSheet!$M47="I (Incomplete)"), 0, IF(AU52&gt;=65%, 1, 0))</f>
        <v>0</v>
      </c>
      <c r="BH52" s="145">
        <f>IF(OR(GradeSheet!$M47="W (Withdrawn)", GradeSheet!$M47="I (Incomplete)"), 0, IF(AV52&gt;=65%, 1, 0))</f>
        <v>0</v>
      </c>
      <c r="BI52" s="145">
        <f>IF(OR(GradeSheet!$M47="W (Withdrawn)", GradeSheet!$M47="I (Incomplete)"), 0, IF(AW52&gt;=65%, 1, 0))</f>
        <v>0</v>
      </c>
      <c r="BJ52" s="145">
        <f>IF(OR(GradeSheet!$M47="W (Withdrawn)", GradeSheet!$M47="I (Incomplete)"), 0, IF(AX52&gt;=65%, 1, 0))</f>
        <v>0</v>
      </c>
      <c r="BK52" s="145">
        <f>IF(OR(GradeSheet!$M47="W (Withdrawn)", GradeSheet!$M47="I (Incomplete)"), 0, IF(AY52&gt;=65%, 1, 0))</f>
        <v>0</v>
      </c>
      <c r="BL52" s="145">
        <f>IF(OR(GradeSheet!$M47="W (Withdrawn)", GradeSheet!$M47="I (Incomplete)"), 0, IF(AZ52&gt;=65%, 1, 0))</f>
        <v>0</v>
      </c>
      <c r="BM52" s="145">
        <f>IF(OR(GradeSheet!$M47="W (Withdrawn)", GradeSheet!$M47="I (Incomplete)"), 0, IF(BA52&gt;=65%, 1, 0))</f>
        <v>0</v>
      </c>
      <c r="BN52" s="145">
        <f>IF(OR(GradeSheet!$M47="W (Withdrawn)", GradeSheet!$M47="I (Incomplete)"), 0, IF(BB52&gt;=65%, 1, 0))</f>
        <v>0</v>
      </c>
      <c r="BO52" s="145">
        <f>IF(OR(GradeSheet!$M47="W (Withdrawn)", GradeSheet!$M47="I (Incomplete)"), 0, IF(BC52&gt;=65%, 1, 0))</f>
        <v>0</v>
      </c>
      <c r="BP52" s="145">
        <f>IF(OR(GradeSheet!$M47="W (Withdrawn)", GradeSheet!$M47="I (Incomplete)"), 0, IF(BD52&gt;=65%, 1, 0))</f>
        <v>0</v>
      </c>
      <c r="BQ52" s="145">
        <f>IF(OR(GradeSheet!$M47="W (Withdrawn)", GradeSheet!$M47="I (Incomplete)"), 0, IF(BE52&gt;=65%, 1, 0))</f>
        <v>0</v>
      </c>
      <c r="BR52" s="145">
        <f>IF(OR(GradeSheet!$M47="W (Withdrawn)", GradeSheet!$M47="I (Incomplete)"), 0, IF(BF52&gt;=65%, 1, 0))</f>
        <v>0</v>
      </c>
    </row>
    <row r="53" spans="1:70" ht="15.75" customHeight="1">
      <c r="A53" s="136">
        <v>39</v>
      </c>
      <c r="B53" s="22"/>
      <c r="C53" s="30"/>
      <c r="D53" s="137"/>
      <c r="E53" s="137"/>
      <c r="F53" s="138"/>
      <c r="G53" s="138"/>
      <c r="H53" s="138"/>
      <c r="I53" s="138"/>
      <c r="J53" s="137"/>
      <c r="K53" s="137"/>
      <c r="L53" s="137"/>
      <c r="M53" s="138"/>
      <c r="N53" s="138"/>
      <c r="O53" s="138"/>
      <c r="P53" s="139"/>
      <c r="Q53" s="140"/>
      <c r="R53" s="140"/>
      <c r="S53" s="140"/>
      <c r="T53" s="140"/>
      <c r="U53" s="141"/>
      <c r="V53" s="139"/>
      <c r="W53" s="140"/>
      <c r="X53" s="140"/>
      <c r="Y53" s="140"/>
      <c r="Z53" s="140"/>
      <c r="AA53" s="141"/>
      <c r="AB53" s="142">
        <f t="shared" ref="AB53:AE53" si="90">SUM(V53,D53,J53)</f>
        <v>0</v>
      </c>
      <c r="AC53" s="143">
        <f t="shared" si="90"/>
        <v>0</v>
      </c>
      <c r="AD53" s="148">
        <f t="shared" si="90"/>
        <v>0</v>
      </c>
      <c r="AE53" s="148">
        <f t="shared" si="90"/>
        <v>0</v>
      </c>
      <c r="AF53" s="143">
        <f t="shared" si="8"/>
        <v>0</v>
      </c>
      <c r="AG53" s="148">
        <f t="shared" si="9"/>
        <v>0</v>
      </c>
      <c r="AH53" s="144">
        <f t="shared" ref="AH53:AM53" si="91">IF(AB53 = 0, 0, AB53/AB$14)</f>
        <v>0</v>
      </c>
      <c r="AI53" s="144">
        <f t="shared" si="91"/>
        <v>0</v>
      </c>
      <c r="AJ53" s="144">
        <f t="shared" si="91"/>
        <v>0</v>
      </c>
      <c r="AK53" s="144">
        <f t="shared" si="91"/>
        <v>0</v>
      </c>
      <c r="AL53" s="144">
        <f t="shared" si="91"/>
        <v>0</v>
      </c>
      <c r="AM53" s="144">
        <f t="shared" si="91"/>
        <v>0</v>
      </c>
      <c r="AN53" s="145">
        <f>IF(OR(GradeSheet!$M48="W (Withdrawn)", GradeSheet!$M48="I (Incomplete)"), 0, IF(AH53&gt;=55%, 1, 0))</f>
        <v>0</v>
      </c>
      <c r="AO53" s="145">
        <f>IF(OR(GradeSheet!$M48="W (Withdrawn)", GradeSheet!$M48="I (Incomplete)"), 0, IF(AI53&gt;=55%, 1, 0))</f>
        <v>0</v>
      </c>
      <c r="AP53" s="145">
        <f>IF(OR(GradeSheet!$M48="W (Withdrawn)", GradeSheet!$M48="I (Incomplete)"), 0, IF(AJ53&gt;=55%, 1, 0))</f>
        <v>0</v>
      </c>
      <c r="AQ53" s="145">
        <f>IF(OR(GradeSheet!$M48="W (Withdrawn)", GradeSheet!$M48="I (Incomplete)"), 0, IF(AK53&gt;=55%, 1, 0))</f>
        <v>0</v>
      </c>
      <c r="AR53" s="145">
        <f>IF(OR(GradeSheet!$M48="W (Withdrawn)", GradeSheet!$M48="I (Incomplete)"), 0, IF(AL53&gt;=55%, 1, 0))</f>
        <v>0</v>
      </c>
      <c r="AS53" s="145">
        <f>IF(OR(GradeSheet!$M48="W (Withdrawn)", GradeSheet!$M48="I (Incomplete)"), 0, IF(AM53&gt;=55%, 1, 0))</f>
        <v>0</v>
      </c>
      <c r="AT53" s="122"/>
      <c r="AU53" s="146">
        <f t="shared" si="11"/>
        <v>0</v>
      </c>
      <c r="AV53" s="146">
        <f t="shared" si="12"/>
        <v>0</v>
      </c>
      <c r="AW53" s="146">
        <f t="array" ref="AW53">IF($AV$9=0,0,MMULT($AH53:$AM53, AV$3:AV$8)/$AV$9)</f>
        <v>0</v>
      </c>
      <c r="AX53" s="146">
        <f t="array" ref="AX53">IF($AW$9=0,0,MMULT($AH53:$AM53, AW$3:AW$8)/$AW$9)</f>
        <v>0</v>
      </c>
      <c r="AY53" s="146">
        <f t="shared" si="13"/>
        <v>0</v>
      </c>
      <c r="AZ53" s="146">
        <f t="array" ref="AZ53">IF($AY$9=0,0,MMULT($AH53:$AM53, AY$3:AY$8)/$AY$9)</f>
        <v>0</v>
      </c>
      <c r="BA53" s="146">
        <f t="array" ref="BA53">IF($AZ$9=0,0,MMULT($AH53:$AM53, AZ$3:AZ$8)/$AZ$9)</f>
        <v>0</v>
      </c>
      <c r="BB53" s="146">
        <f t="array" ref="BB53">IF($BA$9=0,0,MMULT($AH53:$AM53, BA$3:BA$8)/$BA$9)</f>
        <v>0</v>
      </c>
      <c r="BC53" s="146">
        <f t="array" ref="BC53">IF($BB$9=0,0,MMULT($AH53:$AM53, BB$3:BB$8)/$BB$9)</f>
        <v>0</v>
      </c>
      <c r="BD53" s="146">
        <f t="array" ref="BD53">IF($BC$9=0,0,MMULT($AH53:$AM53, BC$3:BC$8)/$BC$9)</f>
        <v>0</v>
      </c>
      <c r="BE53" s="146">
        <f t="shared" si="14"/>
        <v>0</v>
      </c>
      <c r="BF53" s="146">
        <f t="shared" si="15"/>
        <v>0</v>
      </c>
      <c r="BG53" s="145">
        <f>IF(OR(GradeSheet!$M48="W (Withdrawn)", GradeSheet!$M48="I (Incomplete)"), 0, IF(AU53&gt;=65%, 1, 0))</f>
        <v>0</v>
      </c>
      <c r="BH53" s="145">
        <f>IF(OR(GradeSheet!$M48="W (Withdrawn)", GradeSheet!$M48="I (Incomplete)"), 0, IF(AV53&gt;=65%, 1, 0))</f>
        <v>0</v>
      </c>
      <c r="BI53" s="145">
        <f>IF(OR(GradeSheet!$M48="W (Withdrawn)", GradeSheet!$M48="I (Incomplete)"), 0, IF(AW53&gt;=65%, 1, 0))</f>
        <v>0</v>
      </c>
      <c r="BJ53" s="145">
        <f>IF(OR(GradeSheet!$M48="W (Withdrawn)", GradeSheet!$M48="I (Incomplete)"), 0, IF(AX53&gt;=65%, 1, 0))</f>
        <v>0</v>
      </c>
      <c r="BK53" s="145">
        <f>IF(OR(GradeSheet!$M48="W (Withdrawn)", GradeSheet!$M48="I (Incomplete)"), 0, IF(AY53&gt;=65%, 1, 0))</f>
        <v>0</v>
      </c>
      <c r="BL53" s="145">
        <f>IF(OR(GradeSheet!$M48="W (Withdrawn)", GradeSheet!$M48="I (Incomplete)"), 0, IF(AZ53&gt;=65%, 1, 0))</f>
        <v>0</v>
      </c>
      <c r="BM53" s="145">
        <f>IF(OR(GradeSheet!$M48="W (Withdrawn)", GradeSheet!$M48="I (Incomplete)"), 0, IF(BA53&gt;=65%, 1, 0))</f>
        <v>0</v>
      </c>
      <c r="BN53" s="145">
        <f>IF(OR(GradeSheet!$M48="W (Withdrawn)", GradeSheet!$M48="I (Incomplete)"), 0, IF(BB53&gt;=65%, 1, 0))</f>
        <v>0</v>
      </c>
      <c r="BO53" s="145">
        <f>IF(OR(GradeSheet!$M48="W (Withdrawn)", GradeSheet!$M48="I (Incomplete)"), 0, IF(BC53&gt;=65%, 1, 0))</f>
        <v>0</v>
      </c>
      <c r="BP53" s="145">
        <f>IF(OR(GradeSheet!$M48="W (Withdrawn)", GradeSheet!$M48="I (Incomplete)"), 0, IF(BD53&gt;=65%, 1, 0))</f>
        <v>0</v>
      </c>
      <c r="BQ53" s="145">
        <f>IF(OR(GradeSheet!$M48="W (Withdrawn)", GradeSheet!$M48="I (Incomplete)"), 0, IF(BE53&gt;=65%, 1, 0))</f>
        <v>0</v>
      </c>
      <c r="BR53" s="145">
        <f>IF(OR(GradeSheet!$M48="W (Withdrawn)", GradeSheet!$M48="I (Incomplete)"), 0, IF(BF53&gt;=65%, 1, 0))</f>
        <v>0</v>
      </c>
    </row>
    <row r="54" spans="1:70" ht="15.75" customHeight="1">
      <c r="A54" s="147">
        <v>40</v>
      </c>
      <c r="B54" s="22"/>
      <c r="C54" s="30"/>
      <c r="D54" s="137"/>
      <c r="E54" s="137"/>
      <c r="F54" s="138"/>
      <c r="G54" s="138"/>
      <c r="H54" s="138"/>
      <c r="I54" s="138"/>
      <c r="J54" s="137"/>
      <c r="K54" s="137"/>
      <c r="L54" s="137"/>
      <c r="M54" s="138"/>
      <c r="N54" s="138"/>
      <c r="O54" s="138"/>
      <c r="P54" s="139"/>
      <c r="Q54" s="140"/>
      <c r="R54" s="140"/>
      <c r="S54" s="140"/>
      <c r="T54" s="140"/>
      <c r="U54" s="141"/>
      <c r="V54" s="139"/>
      <c r="W54" s="140"/>
      <c r="X54" s="140"/>
      <c r="Y54" s="140"/>
      <c r="Z54" s="140"/>
      <c r="AA54" s="141"/>
      <c r="AB54" s="142">
        <f t="shared" ref="AB54:AE54" si="92">SUM(V54,D54,J54)</f>
        <v>0</v>
      </c>
      <c r="AC54" s="143">
        <f t="shared" si="92"/>
        <v>0</v>
      </c>
      <c r="AD54" s="148">
        <f t="shared" si="92"/>
        <v>0</v>
      </c>
      <c r="AE54" s="148">
        <f t="shared" si="92"/>
        <v>0</v>
      </c>
      <c r="AF54" s="143">
        <f t="shared" si="8"/>
        <v>0</v>
      </c>
      <c r="AG54" s="148">
        <f t="shared" si="9"/>
        <v>0</v>
      </c>
      <c r="AH54" s="144">
        <f t="shared" ref="AH54:AM54" si="93">IF(AB54 = 0, 0, AB54/AB$14)</f>
        <v>0</v>
      </c>
      <c r="AI54" s="144">
        <f t="shared" si="93"/>
        <v>0</v>
      </c>
      <c r="AJ54" s="144">
        <f t="shared" si="93"/>
        <v>0</v>
      </c>
      <c r="AK54" s="144">
        <f t="shared" si="93"/>
        <v>0</v>
      </c>
      <c r="AL54" s="144">
        <f t="shared" si="93"/>
        <v>0</v>
      </c>
      <c r="AM54" s="144">
        <f t="shared" si="93"/>
        <v>0</v>
      </c>
      <c r="AN54" s="118">
        <f>IF(OR(GradeSheet!$M49="W (Withdrawn)", GradeSheet!$M49="I (Incomplete)"), 0, IF(AH54&gt;=55%, 1, 0))</f>
        <v>0</v>
      </c>
      <c r="AO54" s="118">
        <f>IF(OR(GradeSheet!$M49="W (Withdrawn)", GradeSheet!$M49="I (Incomplete)"), 0, IF(AI54&gt;=55%, 1, 0))</f>
        <v>0</v>
      </c>
      <c r="AP54" s="118">
        <f>IF(OR(GradeSheet!$M49="W (Withdrawn)", GradeSheet!$M49="I (Incomplete)"), 0, IF(AJ54&gt;=55%, 1, 0))</f>
        <v>0</v>
      </c>
      <c r="AQ54" s="118">
        <f>IF(OR(GradeSheet!$M49="W (Withdrawn)", GradeSheet!$M49="I (Incomplete)"), 0, IF(AK54&gt;=55%, 1, 0))</f>
        <v>0</v>
      </c>
      <c r="AR54" s="118">
        <f>IF(OR(GradeSheet!$M49="W (Withdrawn)", GradeSheet!$M49="I (Incomplete)"), 0, IF(AL54&gt;=55%, 1, 0))</f>
        <v>0</v>
      </c>
      <c r="AS54" s="118">
        <f>IF(OR(GradeSheet!$M49="W (Withdrawn)", GradeSheet!$M49="I (Incomplete)"), 0, IF(AM54&gt;=55%, 1, 0))</f>
        <v>0</v>
      </c>
      <c r="AT54" s="122"/>
      <c r="AU54" s="146">
        <f t="shared" si="11"/>
        <v>0</v>
      </c>
      <c r="AV54" s="146">
        <f t="shared" si="12"/>
        <v>0</v>
      </c>
      <c r="AW54" s="146">
        <f t="array" ref="AW54">IF($AV$9=0,0,MMULT($AH54:$AM54, AV$3:AV$8)/$AV$9)</f>
        <v>0</v>
      </c>
      <c r="AX54" s="146">
        <f t="array" ref="AX54">IF($AW$9=0,0,MMULT($AH54:$AM54, AW$3:AW$8)/$AW$9)</f>
        <v>0</v>
      </c>
      <c r="AY54" s="146">
        <f t="shared" si="13"/>
        <v>0</v>
      </c>
      <c r="AZ54" s="146">
        <f t="array" ref="AZ54">IF($AY$9=0,0,MMULT($AH54:$AM54, AY$3:AY$8)/$AY$9)</f>
        <v>0</v>
      </c>
      <c r="BA54" s="146">
        <f t="array" ref="BA54">IF($AZ$9=0,0,MMULT($AH54:$AM54, AZ$3:AZ$8)/$AZ$9)</f>
        <v>0</v>
      </c>
      <c r="BB54" s="146">
        <f t="array" ref="BB54">IF($BA$9=0,0,MMULT($AH54:$AM54, BA$3:BA$8)/$BA$9)</f>
        <v>0</v>
      </c>
      <c r="BC54" s="146">
        <f t="array" ref="BC54">IF($BB$9=0,0,MMULT($AH54:$AM54, BB$3:BB$8)/$BB$9)</f>
        <v>0</v>
      </c>
      <c r="BD54" s="146">
        <f t="array" ref="BD54">IF($BC$9=0,0,MMULT($AH54:$AM54, BC$3:BC$8)/$BC$9)</f>
        <v>0</v>
      </c>
      <c r="BE54" s="146">
        <f t="shared" si="14"/>
        <v>0</v>
      </c>
      <c r="BF54" s="146">
        <f t="shared" si="15"/>
        <v>0</v>
      </c>
      <c r="BG54" s="118">
        <f>IF(OR(GradeSheet!$M49="W (Withdrawn)", GradeSheet!$M49="I (Incomplete)"), 0, IF(AU54&gt;=65%, 1, 0))</f>
        <v>0</v>
      </c>
      <c r="BH54" s="118">
        <f>IF(OR(GradeSheet!$M49="W (Withdrawn)", GradeSheet!$M49="I (Incomplete)"), 0, IF(AV54&gt;=65%, 1, 0))</f>
        <v>0</v>
      </c>
      <c r="BI54" s="118">
        <f>IF(OR(GradeSheet!$M49="W (Withdrawn)", GradeSheet!$M49="I (Incomplete)"), 0, IF(AW54&gt;=65%, 1, 0))</f>
        <v>0</v>
      </c>
      <c r="BJ54" s="118">
        <f>IF(OR(GradeSheet!$M49="W (Withdrawn)", GradeSheet!$M49="I (Incomplete)"), 0, IF(AX54&gt;=65%, 1, 0))</f>
        <v>0</v>
      </c>
      <c r="BK54" s="118">
        <f>IF(OR(GradeSheet!$M49="W (Withdrawn)", GradeSheet!$M49="I (Incomplete)"), 0, IF(AY54&gt;=65%, 1, 0))</f>
        <v>0</v>
      </c>
      <c r="BL54" s="118">
        <f>IF(OR(GradeSheet!$M49="W (Withdrawn)", GradeSheet!$M49="I (Incomplete)"), 0, IF(AZ54&gt;=65%, 1, 0))</f>
        <v>0</v>
      </c>
      <c r="BM54" s="118">
        <f>IF(OR(GradeSheet!$M49="W (Withdrawn)", GradeSheet!$M49="I (Incomplete)"), 0, IF(BA54&gt;=65%, 1, 0))</f>
        <v>0</v>
      </c>
      <c r="BN54" s="118">
        <f>IF(OR(GradeSheet!$M49="W (Withdrawn)", GradeSheet!$M49="I (Incomplete)"), 0, IF(BB54&gt;=65%, 1, 0))</f>
        <v>0</v>
      </c>
      <c r="BO54" s="118">
        <f>IF(OR(GradeSheet!$M49="W (Withdrawn)", GradeSheet!$M49="I (Incomplete)"), 0, IF(BC54&gt;=65%, 1, 0))</f>
        <v>0</v>
      </c>
      <c r="BP54" s="118">
        <f>IF(OR(GradeSheet!$M49="W (Withdrawn)", GradeSheet!$M49="I (Incomplete)"), 0, IF(BD54&gt;=65%, 1, 0))</f>
        <v>0</v>
      </c>
      <c r="BQ54" s="118">
        <f>IF(OR(GradeSheet!$M49="W (Withdrawn)", GradeSheet!$M49="I (Incomplete)"), 0, IF(BE54&gt;=65%, 1, 0))</f>
        <v>0</v>
      </c>
      <c r="BR54" s="118">
        <f>IF(OR(GradeSheet!$M49="W (Withdrawn)", GradeSheet!$M49="I (Incomplete)"), 0, IF(BF54&gt;=65%, 1, 0))</f>
        <v>0</v>
      </c>
    </row>
    <row r="55" spans="1:70" ht="15.75" customHeight="1">
      <c r="A55" s="147">
        <v>41</v>
      </c>
      <c r="B55" s="22"/>
      <c r="C55" s="30"/>
      <c r="D55" s="137"/>
      <c r="E55" s="137"/>
      <c r="F55" s="138"/>
      <c r="G55" s="138"/>
      <c r="H55" s="138"/>
      <c r="I55" s="138"/>
      <c r="J55" s="137"/>
      <c r="K55" s="137"/>
      <c r="L55" s="137"/>
      <c r="M55" s="138"/>
      <c r="N55" s="138"/>
      <c r="O55" s="138"/>
      <c r="P55" s="139"/>
      <c r="Q55" s="140"/>
      <c r="R55" s="140"/>
      <c r="S55" s="140"/>
      <c r="T55" s="140"/>
      <c r="U55" s="141"/>
      <c r="V55" s="139"/>
      <c r="W55" s="140"/>
      <c r="X55" s="140"/>
      <c r="Y55" s="140"/>
      <c r="Z55" s="140"/>
      <c r="AA55" s="141"/>
      <c r="AB55" s="142">
        <f t="shared" ref="AB55:AE55" si="94">SUM(V55,D55,J55)</f>
        <v>0</v>
      </c>
      <c r="AC55" s="143">
        <f t="shared" si="94"/>
        <v>0</v>
      </c>
      <c r="AD55" s="148">
        <f t="shared" si="94"/>
        <v>0</v>
      </c>
      <c r="AE55" s="148">
        <f t="shared" si="94"/>
        <v>0</v>
      </c>
      <c r="AF55" s="143">
        <f t="shared" si="8"/>
        <v>0</v>
      </c>
      <c r="AG55" s="148">
        <f t="shared" si="9"/>
        <v>0</v>
      </c>
      <c r="AH55" s="144">
        <f t="shared" ref="AH55:AM55" si="95">IF(AB55 = 0, 0, AB55/AB$14)</f>
        <v>0</v>
      </c>
      <c r="AI55" s="144">
        <f t="shared" si="95"/>
        <v>0</v>
      </c>
      <c r="AJ55" s="144">
        <f t="shared" si="95"/>
        <v>0</v>
      </c>
      <c r="AK55" s="144">
        <f t="shared" si="95"/>
        <v>0</v>
      </c>
      <c r="AL55" s="144">
        <f t="shared" si="95"/>
        <v>0</v>
      </c>
      <c r="AM55" s="144">
        <f t="shared" si="95"/>
        <v>0</v>
      </c>
      <c r="AN55" s="118">
        <f>IF(OR(GradeSheet!$M50="W (Withdrawn)", GradeSheet!$M50="I (Incomplete)"), 0, IF(AH55&gt;=55%, 1, 0))</f>
        <v>0</v>
      </c>
      <c r="AO55" s="118">
        <f>IF(OR(GradeSheet!$M50="W (Withdrawn)", GradeSheet!$M50="I (Incomplete)"), 0, IF(AI55&gt;=55%, 1, 0))</f>
        <v>0</v>
      </c>
      <c r="AP55" s="118">
        <f>IF(OR(GradeSheet!$M50="W (Withdrawn)", GradeSheet!$M50="I (Incomplete)"), 0, IF(AJ55&gt;=55%, 1, 0))</f>
        <v>0</v>
      </c>
      <c r="AQ55" s="118">
        <f>IF(OR(GradeSheet!$M50="W (Withdrawn)", GradeSheet!$M50="I (Incomplete)"), 0, IF(AK55&gt;=55%, 1, 0))</f>
        <v>0</v>
      </c>
      <c r="AR55" s="118">
        <f>IF(OR(GradeSheet!$M50="W (Withdrawn)", GradeSheet!$M50="I (Incomplete)"), 0, IF(AL55&gt;=55%, 1, 0))</f>
        <v>0</v>
      </c>
      <c r="AS55" s="118">
        <f>IF(OR(GradeSheet!$M50="W (Withdrawn)", GradeSheet!$M50="I (Incomplete)"), 0, IF(AM55&gt;=55%, 1, 0))</f>
        <v>0</v>
      </c>
      <c r="AT55" s="122"/>
      <c r="AU55" s="146">
        <f t="shared" si="11"/>
        <v>0</v>
      </c>
      <c r="AV55" s="146">
        <f t="shared" si="12"/>
        <v>0</v>
      </c>
      <c r="AW55" s="146">
        <f t="array" ref="AW55">IF($AV$9=0,0,MMULT($AH55:$AM55, AV$3:AV$8)/$AV$9)</f>
        <v>0</v>
      </c>
      <c r="AX55" s="146">
        <f t="array" ref="AX55">IF($AW$9=0,0,MMULT($AH55:$AM55, AW$3:AW$8)/$AW$9)</f>
        <v>0</v>
      </c>
      <c r="AY55" s="146">
        <f t="shared" si="13"/>
        <v>0</v>
      </c>
      <c r="AZ55" s="146">
        <f t="array" ref="AZ55">IF($AY$9=0,0,MMULT($AH55:$AM55, AY$3:AY$8)/$AY$9)</f>
        <v>0</v>
      </c>
      <c r="BA55" s="146">
        <f t="array" ref="BA55">IF($AZ$9=0,0,MMULT($AH55:$AM55, AZ$3:AZ$8)/$AZ$9)</f>
        <v>0</v>
      </c>
      <c r="BB55" s="146">
        <f t="array" ref="BB55">IF($BA$9=0,0,MMULT($AH55:$AM55, BA$3:BA$8)/$BA$9)</f>
        <v>0</v>
      </c>
      <c r="BC55" s="146">
        <f t="array" ref="BC55">IF($BB$9=0,0,MMULT($AH55:$AM55, BB$3:BB$8)/$BB$9)</f>
        <v>0</v>
      </c>
      <c r="BD55" s="146">
        <f t="array" ref="BD55">IF($BC$9=0,0,MMULT($AH55:$AM55, BC$3:BC$8)/$BC$9)</f>
        <v>0</v>
      </c>
      <c r="BE55" s="146">
        <f t="shared" si="14"/>
        <v>0</v>
      </c>
      <c r="BF55" s="146">
        <f t="shared" si="15"/>
        <v>0</v>
      </c>
      <c r="BG55" s="118">
        <f>IF(OR(GradeSheet!$M50="W (Withdrawn)", GradeSheet!$M50="I (Incomplete)"), 0, IF(AU55&gt;=65%, 1, 0))</f>
        <v>0</v>
      </c>
      <c r="BH55" s="118">
        <f>IF(OR(GradeSheet!$M50="W (Withdrawn)", GradeSheet!$M50="I (Incomplete)"), 0, IF(AV55&gt;=65%, 1, 0))</f>
        <v>0</v>
      </c>
      <c r="BI55" s="118">
        <f>IF(OR(GradeSheet!$M50="W (Withdrawn)", GradeSheet!$M50="I (Incomplete)"), 0, IF(AW55&gt;=65%, 1, 0))</f>
        <v>0</v>
      </c>
      <c r="BJ55" s="118">
        <f>IF(OR(GradeSheet!$M50="W (Withdrawn)", GradeSheet!$M50="I (Incomplete)"), 0, IF(AX55&gt;=65%, 1, 0))</f>
        <v>0</v>
      </c>
      <c r="BK55" s="118">
        <f>IF(OR(GradeSheet!$M50="W (Withdrawn)", GradeSheet!$M50="I (Incomplete)"), 0, IF(AY55&gt;=65%, 1, 0))</f>
        <v>0</v>
      </c>
      <c r="BL55" s="118">
        <f>IF(OR(GradeSheet!$M50="W (Withdrawn)", GradeSheet!$M50="I (Incomplete)"), 0, IF(AZ55&gt;=65%, 1, 0))</f>
        <v>0</v>
      </c>
      <c r="BM55" s="118">
        <f>IF(OR(GradeSheet!$M50="W (Withdrawn)", GradeSheet!$M50="I (Incomplete)"), 0, IF(BA55&gt;=65%, 1, 0))</f>
        <v>0</v>
      </c>
      <c r="BN55" s="118">
        <f>IF(OR(GradeSheet!$M50="W (Withdrawn)", GradeSheet!$M50="I (Incomplete)"), 0, IF(BB55&gt;=65%, 1, 0))</f>
        <v>0</v>
      </c>
      <c r="BO55" s="118">
        <f>IF(OR(GradeSheet!$M50="W (Withdrawn)", GradeSheet!$M50="I (Incomplete)"), 0, IF(BC55&gt;=65%, 1, 0))</f>
        <v>0</v>
      </c>
      <c r="BP55" s="118">
        <f>IF(OR(GradeSheet!$M50="W (Withdrawn)", GradeSheet!$M50="I (Incomplete)"), 0, IF(BD55&gt;=65%, 1, 0))</f>
        <v>0</v>
      </c>
      <c r="BQ55" s="118">
        <f>IF(OR(GradeSheet!$M50="W (Withdrawn)", GradeSheet!$M50="I (Incomplete)"), 0, IF(BE55&gt;=65%, 1, 0))</f>
        <v>0</v>
      </c>
      <c r="BR55" s="118">
        <f>IF(OR(GradeSheet!$M50="W (Withdrawn)", GradeSheet!$M50="I (Incomplete)"), 0, IF(BF55&gt;=65%, 1, 0))</f>
        <v>0</v>
      </c>
    </row>
    <row r="56" spans="1:70" ht="15.75" customHeight="1">
      <c r="A56" s="149">
        <v>42</v>
      </c>
      <c r="B56" s="22"/>
      <c r="C56" s="30"/>
      <c r="D56" s="150"/>
      <c r="E56" s="151"/>
      <c r="F56" s="152"/>
      <c r="G56" s="153"/>
      <c r="H56" s="153"/>
      <c r="I56" s="153"/>
      <c r="J56" s="137"/>
      <c r="K56" s="137"/>
      <c r="L56" s="137"/>
      <c r="M56" s="153"/>
      <c r="N56" s="153"/>
      <c r="O56" s="154"/>
      <c r="P56" s="153"/>
      <c r="Q56" s="153"/>
      <c r="R56" s="153"/>
      <c r="S56" s="153"/>
      <c r="T56" s="153"/>
      <c r="U56" s="154"/>
      <c r="V56" s="153"/>
      <c r="W56" s="153"/>
      <c r="X56" s="153"/>
      <c r="Y56" s="153"/>
      <c r="Z56" s="153"/>
      <c r="AA56" s="154"/>
      <c r="AB56" s="142">
        <f t="shared" ref="AB56:AE56" si="96">SUM(V56,D56,J56)</f>
        <v>0</v>
      </c>
      <c r="AC56" s="143">
        <f t="shared" si="96"/>
        <v>0</v>
      </c>
      <c r="AD56" s="155">
        <f t="shared" si="96"/>
        <v>0</v>
      </c>
      <c r="AE56" s="155">
        <f t="shared" si="96"/>
        <v>0</v>
      </c>
      <c r="AF56" s="155">
        <f t="shared" si="8"/>
        <v>0</v>
      </c>
      <c r="AG56" s="155">
        <f t="shared" si="9"/>
        <v>0</v>
      </c>
      <c r="AH56" s="144">
        <f t="shared" ref="AH56:AM56" si="97">IF(AB56 = 0, 0, AB56/AB$14)</f>
        <v>0</v>
      </c>
      <c r="AI56" s="156">
        <f t="shared" si="97"/>
        <v>0</v>
      </c>
      <c r="AJ56" s="156">
        <f t="shared" si="97"/>
        <v>0</v>
      </c>
      <c r="AK56" s="156">
        <f t="shared" si="97"/>
        <v>0</v>
      </c>
      <c r="AL56" s="156">
        <f t="shared" si="97"/>
        <v>0</v>
      </c>
      <c r="AM56" s="156">
        <f t="shared" si="97"/>
        <v>0</v>
      </c>
      <c r="AN56" s="157">
        <f>IF(OR(GradeSheet!$M51="W (Withdrawn)", GradeSheet!$M51="I (Incomplete)"), 0, IF(AH56&gt;=55%, 1, 0))</f>
        <v>0</v>
      </c>
      <c r="AO56" s="157">
        <f>IF(OR(GradeSheet!$M51="W (Withdrawn)", GradeSheet!$M51="I (Incomplete)"), 0, IF(AI56&gt;=55%, 1, 0))</f>
        <v>0</v>
      </c>
      <c r="AP56" s="157">
        <f>IF(OR(GradeSheet!$M51="W (Withdrawn)", GradeSheet!$M51="I (Incomplete)"), 0, IF(AJ56&gt;=55%, 1, 0))</f>
        <v>0</v>
      </c>
      <c r="AQ56" s="157">
        <f>IF(OR(GradeSheet!$M51="W (Withdrawn)", GradeSheet!$M51="I (Incomplete)"), 0, IF(AK56&gt;=55%, 1, 0))</f>
        <v>0</v>
      </c>
      <c r="AR56" s="157">
        <f>IF(OR(GradeSheet!$M51="W (Withdrawn)", GradeSheet!$M51="I (Incomplete)"), 0, IF(AL56&gt;=55%, 1, 0))</f>
        <v>0</v>
      </c>
      <c r="AS56" s="158">
        <f>IF(OR(GradeSheet!$M51="W (Withdrawn)", GradeSheet!$M51="I (Incomplete)"), 0, IF(AM56&gt;=55%, 1, 0))</f>
        <v>0</v>
      </c>
      <c r="AT56" s="159"/>
      <c r="AU56" s="160">
        <f t="array" ref="AU56">IF($AT$9=0,0,MMULT($AH56:$AM56, AT$3:AT$8)/$AT$9)</f>
        <v>0</v>
      </c>
      <c r="AV56" s="160">
        <f t="array" ref="AV56">IF($AU$9=0,0,MMULT($AH56:$AM56, AU$3:AU$8)/$AU$9)</f>
        <v>0</v>
      </c>
      <c r="AW56" s="160">
        <f t="array" ref="AW56">IF($AV$9=0,0,MMULT($AH56:$AM56, AV$3:AV$8)/$AV$9)</f>
        <v>0</v>
      </c>
      <c r="AX56" s="160">
        <f t="array" ref="AX56">IF($AW$9=0,0,MMULT($AH56:$AM56, AW$3:AW$8)/$AW$9)</f>
        <v>0</v>
      </c>
      <c r="AY56" s="160">
        <f t="array" ref="AY56">IF($AX$9=0,0,MMULT($AH56:$AM56, AX$3:AX$8)/$AX$9)</f>
        <v>0</v>
      </c>
      <c r="AZ56" s="160">
        <f t="array" ref="AZ56">IF($AY$9=0,0,MMULT($AH56:$AM56, AY$3:AY$8)/$AY$9)</f>
        <v>0</v>
      </c>
      <c r="BA56" s="160">
        <f t="array" ref="BA56">IF($AZ$9=0,0,MMULT($AH56:$AM56, AZ$3:AZ$8)/$AZ$9)</f>
        <v>0</v>
      </c>
      <c r="BB56" s="160">
        <f t="array" ref="BB56">IF($BA$9=0,0,MMULT($AH56:$AM56, BA$3:BA$8)/$BA$9)</f>
        <v>0</v>
      </c>
      <c r="BC56" s="160">
        <f t="array" ref="BC56">IF($BB$9=0,0,MMULT($AH56:$AM56, BB$3:BB$8)/$BB$9)</f>
        <v>0</v>
      </c>
      <c r="BD56" s="160">
        <f t="array" ref="BD56">IF($BC$9=0,0,MMULT($AH56:$AM56, BC$3:BC$8)/$BC$9)</f>
        <v>0</v>
      </c>
      <c r="BE56" s="160">
        <f t="array" ref="BE56">IF($BD$9=0,0,MMULT($AH56:$AM56, BD$3:BD$8)/$BD$9)</f>
        <v>0</v>
      </c>
      <c r="BF56" s="160">
        <f t="array" ref="BF56">IF($BE$9=0,0,MMULT($AH56:$AM56, BE$3:BE$8)/$BE$9)</f>
        <v>0</v>
      </c>
      <c r="BG56" s="157">
        <f>IF(OR(GradeSheet!$M51="W (Withdrawn)", GradeSheet!$M51="I (Incomplete)"), 0, IF(AU56&gt;=65%, 1, 0))</f>
        <v>0</v>
      </c>
      <c r="BH56" s="157">
        <f>IF(OR(GradeSheet!$M51="W (Withdrawn)", GradeSheet!$M51="I (Incomplete)"), 0, IF(AV56&gt;=65%, 1, 0))</f>
        <v>0</v>
      </c>
      <c r="BI56" s="157">
        <f>IF(OR(GradeSheet!$M51="W (Withdrawn)", GradeSheet!$M51="I (Incomplete)"), 0, IF(AW56&gt;=65%, 1, 0))</f>
        <v>0</v>
      </c>
      <c r="BJ56" s="157">
        <f>IF(OR(GradeSheet!$M51="W (Withdrawn)", GradeSheet!$M51="I (Incomplete)"), 0, IF(AX56&gt;=65%, 1, 0))</f>
        <v>0</v>
      </c>
      <c r="BK56" s="157">
        <f>IF(OR(GradeSheet!$M51="W (Withdrawn)", GradeSheet!$M51="I (Incomplete)"), 0, IF(AY56&gt;=65%, 1, 0))</f>
        <v>0</v>
      </c>
      <c r="BL56" s="157">
        <f>IF(OR(GradeSheet!$M51="W (Withdrawn)", GradeSheet!$M51="I (Incomplete)"), 0, IF(AZ56&gt;=65%, 1, 0))</f>
        <v>0</v>
      </c>
      <c r="BM56" s="157">
        <f>IF(OR(GradeSheet!$M51="W (Withdrawn)", GradeSheet!$M51="I (Incomplete)"), 0, IF(BA56&gt;=65%, 1, 0))</f>
        <v>0</v>
      </c>
      <c r="BN56" s="157">
        <f>IF(OR(GradeSheet!$M51="W (Withdrawn)", GradeSheet!$M51="I (Incomplete)"), 0, IF(BB56&gt;=65%, 1, 0))</f>
        <v>0</v>
      </c>
      <c r="BO56" s="157">
        <f>IF(OR(GradeSheet!$M51="W (Withdrawn)", GradeSheet!$M51="I (Incomplete)"), 0, IF(BC56&gt;=65%, 1, 0))</f>
        <v>0</v>
      </c>
      <c r="BP56" s="157">
        <f>IF(OR(GradeSheet!$M51="W (Withdrawn)", GradeSheet!$M51="I (Incomplete)"), 0, IF(BD56&gt;=65%, 1, 0))</f>
        <v>0</v>
      </c>
      <c r="BQ56" s="157">
        <f>IF(OR(GradeSheet!$M51="W (Withdrawn)", GradeSheet!$M51="I (Incomplete)"), 0, IF(BE56&gt;=65%, 1, 0))</f>
        <v>0</v>
      </c>
      <c r="BR56" s="158">
        <f>IF(OR(GradeSheet!$M51="W (Withdrawn)", GradeSheet!$M51="I (Incomplete)"), 0, IF(BF56&gt;=65%, 1, 0))</f>
        <v>0</v>
      </c>
    </row>
    <row r="57" spans="1:70" ht="15.75" customHeight="1">
      <c r="A57" s="161"/>
      <c r="B57" s="162"/>
      <c r="C57" s="163"/>
      <c r="D57" s="164"/>
      <c r="E57" s="164"/>
      <c r="F57" s="165"/>
      <c r="G57" s="165"/>
      <c r="H57" s="165"/>
      <c r="I57" s="165"/>
      <c r="J57" s="164"/>
      <c r="K57" s="164"/>
      <c r="L57" s="164"/>
      <c r="M57" s="165"/>
      <c r="N57" s="165"/>
      <c r="O57" s="166"/>
      <c r="P57" s="165"/>
      <c r="Q57" s="165"/>
      <c r="R57" s="165"/>
      <c r="S57" s="165"/>
      <c r="T57" s="165"/>
      <c r="U57" s="166"/>
      <c r="V57" s="165"/>
      <c r="W57" s="165"/>
      <c r="X57" s="165"/>
      <c r="Y57" s="165"/>
      <c r="Z57" s="165"/>
      <c r="AA57" s="166"/>
      <c r="AB57" s="167"/>
      <c r="AC57" s="167"/>
      <c r="AD57" s="167"/>
      <c r="AE57" s="167"/>
      <c r="AF57" s="167"/>
      <c r="AG57" s="167"/>
      <c r="AH57" s="168"/>
      <c r="AI57" s="168"/>
      <c r="AJ57" s="168"/>
      <c r="AK57" s="168"/>
      <c r="AL57" s="168"/>
      <c r="AM57" s="168"/>
      <c r="AN57" s="169"/>
      <c r="AO57" s="169"/>
      <c r="AP57" s="169"/>
      <c r="AQ57" s="169"/>
      <c r="AR57" s="169"/>
      <c r="AS57" s="158"/>
      <c r="AT57" s="170"/>
      <c r="AU57" s="171"/>
      <c r="AV57" s="171"/>
      <c r="AW57" s="171"/>
      <c r="AX57" s="171"/>
      <c r="AY57" s="171"/>
      <c r="AZ57" s="171"/>
      <c r="BA57" s="171"/>
      <c r="BB57" s="171"/>
      <c r="BC57" s="171"/>
      <c r="BD57" s="171"/>
      <c r="BE57" s="171"/>
      <c r="BF57" s="171"/>
      <c r="BG57" s="169"/>
      <c r="BH57" s="169"/>
      <c r="BI57" s="169"/>
      <c r="BJ57" s="169"/>
      <c r="BK57" s="169"/>
      <c r="BL57" s="169"/>
      <c r="BM57" s="169"/>
      <c r="BN57" s="169"/>
      <c r="BO57" s="169"/>
      <c r="BP57" s="169"/>
      <c r="BQ57" s="169"/>
      <c r="BR57" s="169"/>
    </row>
    <row r="58" spans="1:70" ht="15.75" customHeight="1">
      <c r="A58" s="172">
        <v>42</v>
      </c>
      <c r="B58" s="237" t="s">
        <v>149</v>
      </c>
      <c r="C58" s="229"/>
      <c r="D58" s="173" t="e">
        <f t="shared" ref="D58:W58" si="98">AVERAGE(D15:D56)</f>
        <v>#DIV/0!</v>
      </c>
      <c r="E58" s="173" t="e">
        <f t="shared" si="98"/>
        <v>#DIV/0!</v>
      </c>
      <c r="F58" s="173" t="e">
        <f t="shared" si="98"/>
        <v>#DIV/0!</v>
      </c>
      <c r="G58" s="173" t="e">
        <f t="shared" si="98"/>
        <v>#DIV/0!</v>
      </c>
      <c r="H58" s="173" t="e">
        <f t="shared" si="98"/>
        <v>#DIV/0!</v>
      </c>
      <c r="I58" s="173" t="e">
        <f t="shared" si="98"/>
        <v>#DIV/0!</v>
      </c>
      <c r="J58" s="173" t="e">
        <f t="shared" si="98"/>
        <v>#DIV/0!</v>
      </c>
      <c r="K58" s="173" t="e">
        <f t="shared" si="98"/>
        <v>#DIV/0!</v>
      </c>
      <c r="L58" s="173" t="e">
        <f t="shared" si="98"/>
        <v>#DIV/0!</v>
      </c>
      <c r="M58" s="173" t="e">
        <f t="shared" si="98"/>
        <v>#DIV/0!</v>
      </c>
      <c r="N58" s="173" t="e">
        <f t="shared" si="98"/>
        <v>#DIV/0!</v>
      </c>
      <c r="O58" s="173" t="e">
        <f t="shared" si="98"/>
        <v>#DIV/0!</v>
      </c>
      <c r="P58" s="173" t="e">
        <f t="shared" si="98"/>
        <v>#DIV/0!</v>
      </c>
      <c r="Q58" s="173" t="e">
        <f t="shared" si="98"/>
        <v>#DIV/0!</v>
      </c>
      <c r="R58" s="173" t="e">
        <f t="shared" si="98"/>
        <v>#DIV/0!</v>
      </c>
      <c r="S58" s="173" t="e">
        <f t="shared" si="98"/>
        <v>#DIV/0!</v>
      </c>
      <c r="T58" s="173" t="e">
        <f t="shared" si="98"/>
        <v>#DIV/0!</v>
      </c>
      <c r="U58" s="173" t="e">
        <f t="shared" si="98"/>
        <v>#DIV/0!</v>
      </c>
      <c r="V58" s="173" t="e">
        <f t="shared" si="98"/>
        <v>#DIV/0!</v>
      </c>
      <c r="W58" s="173" t="e">
        <f t="shared" si="98"/>
        <v>#DIV/0!</v>
      </c>
      <c r="X58" s="174" t="e">
        <f t="shared" ref="X58:AF58" si="99">AVERAGE(X15:X54)</f>
        <v>#DIV/0!</v>
      </c>
      <c r="Y58" s="174" t="e">
        <f t="shared" si="99"/>
        <v>#DIV/0!</v>
      </c>
      <c r="Z58" s="174" t="e">
        <f t="shared" si="99"/>
        <v>#DIV/0!</v>
      </c>
      <c r="AA58" s="174" t="e">
        <f t="shared" si="99"/>
        <v>#DIV/0!</v>
      </c>
      <c r="AB58" s="173">
        <f t="shared" si="99"/>
        <v>0</v>
      </c>
      <c r="AC58" s="173">
        <f t="shared" si="99"/>
        <v>0</v>
      </c>
      <c r="AD58" s="173">
        <f t="shared" si="99"/>
        <v>0</v>
      </c>
      <c r="AE58" s="173">
        <f t="shared" si="99"/>
        <v>0</v>
      </c>
      <c r="AF58" s="173">
        <f t="shared" si="99"/>
        <v>0</v>
      </c>
      <c r="AG58" s="173">
        <f>AVERAGE(AG15:AG55)</f>
        <v>0</v>
      </c>
      <c r="AH58" s="129">
        <f>(SUMIFS(AH15:AH56,GradeSheet!M10:'GradeSheet'!M51,"&lt;&gt;W (Withdrawn)",GradeSheet!M10:'GradeSheet'!M51,"&lt;&gt;I (Incomplete)"))/($A$58-GradeSheet!$H$65-GradeSheet!$H$66)</f>
        <v>0</v>
      </c>
      <c r="AI58" s="129">
        <f>(SUMIFS(AI15:AI56,GradeSheet!N10:'GradeSheet'!N51,"&lt;&gt;W (Withdrawn)",GradeSheet!N10:'GradeSheet'!N51,"&lt;&gt;I (Incomplete)"))/($A$58-GradeSheet!$H$65-GradeSheet!$H$66)</f>
        <v>0</v>
      </c>
      <c r="AJ58" s="129">
        <f>(SUMIFS(AJ15:AJ56,GradeSheet!O10:'GradeSheet'!O51,"&lt;&gt;W (Withdrawn)",GradeSheet!O10:'GradeSheet'!O51,"&lt;&gt;I (Incomplete)"))/($A$58-GradeSheet!$H$65-GradeSheet!$H$66)</f>
        <v>0</v>
      </c>
      <c r="AK58" s="129">
        <f>(SUMIFS(AK15:AK56,GradeSheet!P10:'GradeSheet'!P51,"&lt;&gt;W (Withdrawn)",GradeSheet!P10:'GradeSheet'!P51,"&lt;&gt;I (Incomplete)"))/($A$58-GradeSheet!$H$65-GradeSheet!$H$66)</f>
        <v>0</v>
      </c>
      <c r="AL58" s="129">
        <f>(SUMIFS(AL15:AL56,GradeSheet!Q10:'GradeSheet'!Q51,"&lt;&gt;W (Withdrawn)",GradeSheet!Q10:'GradeSheet'!Q51,"&lt;&gt;I (Incomplete)"))/($A$58-GradeSheet!$H$65-GradeSheet!$H$66)</f>
        <v>0</v>
      </c>
      <c r="AM58" s="129">
        <f>(SUMIFS(AM15:AM56,GradeSheet!R10:'GradeSheet'!R51,"&lt;&gt;W (Withdrawn)",GradeSheet!R10:'GradeSheet'!R51,"&lt;&gt;I (Incomplete)"))/($A$58-GradeSheet!$H$65-GradeSheet!$H$66)</f>
        <v>0</v>
      </c>
      <c r="AN58" s="126">
        <f t="shared" ref="AN58:AS58" si="100">SUM(AN15:AN54)</f>
        <v>4</v>
      </c>
      <c r="AO58" s="126">
        <f t="shared" si="100"/>
        <v>0</v>
      </c>
      <c r="AP58" s="126">
        <f t="shared" si="100"/>
        <v>0</v>
      </c>
      <c r="AQ58" s="126">
        <f t="shared" si="100"/>
        <v>0</v>
      </c>
      <c r="AR58" s="126">
        <f t="shared" si="100"/>
        <v>0</v>
      </c>
      <c r="AS58" s="126">
        <f t="shared" si="100"/>
        <v>0</v>
      </c>
      <c r="AT58" s="122"/>
      <c r="AU58" s="129" t="e">
        <f>(SUMIFS(AU15:AU54,GradeSheet!M10:GradeSheet!#REF!,"&lt;&gt;W (Withdrawn)",GradeSheet!M10:GradeSheet!#REF!,"&lt;&gt;I (Incomplete)"))/($A$56-GradeSheet!$H$63-GradeSheet!$H$64)</f>
        <v>#REF!</v>
      </c>
      <c r="AV58" s="129" t="e">
        <f>(SUMIFS(AV15:AV54,GradeSheet!N10:GradeSheet!#REF!,"&lt;&gt;W (Withdrawn)",GradeSheet!N10:GradeSheet!#REF!,"&lt;&gt;I (Incomplete)"))/($A$56-GradeSheet!$H$63-GradeSheet!$H$64)</f>
        <v>#REF!</v>
      </c>
      <c r="AW58" s="129" t="e">
        <f>(SUMIFS(AW15:AW54,GradeSheet!O10:GradeSheet!#REF!,"&lt;&gt;W (Withdrawn)",GradeSheet!O10:GradeSheet!#REF!,"&lt;&gt;I (Incomplete)"))/($A$56-GradeSheet!$H$63-GradeSheet!$H$64)</f>
        <v>#REF!</v>
      </c>
      <c r="AX58" s="129" t="e">
        <f>(SUMIFS(AX15:AX54,GradeSheet!P10:GradeSheet!#REF!,"&lt;&gt;W (Withdrawn)",GradeSheet!P10:GradeSheet!#REF!,"&lt;&gt;I (Incomplete)"))/($A$56-GradeSheet!$H$63-GradeSheet!$H$64)</f>
        <v>#REF!</v>
      </c>
      <c r="AY58" s="129" t="e">
        <f>(SUMIFS(AY15:AY54,GradeSheet!Q10:GradeSheet!#REF!,"&lt;&gt;W (Withdrawn)",GradeSheet!Q10:GradeSheet!#REF!,"&lt;&gt;I (Incomplete)"))/($A$56-GradeSheet!$H$63-GradeSheet!$H$64)</f>
        <v>#REF!</v>
      </c>
      <c r="AZ58" s="129" t="e">
        <f>(SUMIFS(AZ15:AZ54,GradeSheet!R10:GradeSheet!#REF!,"&lt;&gt;W (Withdrawn)",GradeSheet!R10:GradeSheet!#REF!,"&lt;&gt;I (Incomplete)"))/($A$56-GradeSheet!$H$63-GradeSheet!$H$64)</f>
        <v>#REF!</v>
      </c>
      <c r="BA58" s="129" t="e">
        <f>(SUMIFS(BA15:BA54,GradeSheet!T10:GradeSheet!#REF!,"&lt;&gt;W (Withdrawn)",GradeSheet!T10:GradeSheet!#REF!,"&lt;&gt;I (Incomplete)"))/($A$56-GradeSheet!$H$63-GradeSheet!$H$64)</f>
        <v>#REF!</v>
      </c>
      <c r="BB58" s="129" t="e">
        <f>(SUMIFS(BB15:BB54,GradeSheet!U10:GradeSheet!#REF!,"&lt;&gt;W (Withdrawn)",GradeSheet!U10:GradeSheet!#REF!,"&lt;&gt;I (Incomplete)"))/($A$56-GradeSheet!$H$63-GradeSheet!$H$64)</f>
        <v>#REF!</v>
      </c>
      <c r="BC58" s="129" t="e">
        <f>(SUMIFS(BC15:BC54,GradeSheet!#REF!:GradeSheet!#REF!,"&lt;&gt;W (Withdrawn)",GradeSheet!#REF!:GradeSheet!#REF!,"&lt;&gt;I (Incomplete)"))/($A$56-GradeSheet!$H$63-GradeSheet!$H$64)</f>
        <v>#REF!</v>
      </c>
      <c r="BD58" s="129" t="e">
        <f>(SUMIFS(BD15:BD54,GradeSheet!W10:GradeSheet!#REF!,"&lt;&gt;W (Withdrawn)",GradeSheet!W10:GradeSheet!#REF!,"&lt;&gt;I (Incomplete)"))/($A$56-GradeSheet!$H$63-GradeSheet!$H$64)</f>
        <v>#REF!</v>
      </c>
      <c r="BE58" s="129" t="e">
        <f>(SUMIFS(BE15:BE54,GradeSheet!X10:GradeSheet!#REF!,"&lt;&gt;W (Withdrawn)",GradeSheet!X10:GradeSheet!#REF!,"&lt;&gt;I (Incomplete)"))/($A$56-GradeSheet!$H$63-GradeSheet!$H$64)</f>
        <v>#REF!</v>
      </c>
      <c r="BF58" s="129" t="e">
        <f>(SUMIFS(BF15:BF54,GradeSheet!Y10:GradeSheet!#REF!,"&lt;&gt;W (Withdrawn)",GradeSheet!Y10:GradeSheet!#REF!,"&lt;&gt;I (Incomplete)"))/($A$56-GradeSheet!$H$63-GradeSheet!$H$64)</f>
        <v>#REF!</v>
      </c>
      <c r="BG58" s="126">
        <f t="shared" ref="BG58:BR58" si="101">SUM(BG15:BG54)</f>
        <v>0</v>
      </c>
      <c r="BH58" s="127">
        <f t="shared" si="101"/>
        <v>0</v>
      </c>
      <c r="BI58" s="127">
        <f t="shared" si="101"/>
        <v>0</v>
      </c>
      <c r="BJ58" s="127">
        <f t="shared" si="101"/>
        <v>0</v>
      </c>
      <c r="BK58" s="127">
        <f t="shared" si="101"/>
        <v>0</v>
      </c>
      <c r="BL58" s="127">
        <f t="shared" si="101"/>
        <v>0</v>
      </c>
      <c r="BM58" s="127">
        <f t="shared" si="101"/>
        <v>0</v>
      </c>
      <c r="BN58" s="127">
        <f t="shared" si="101"/>
        <v>0</v>
      </c>
      <c r="BO58" s="127">
        <f t="shared" si="101"/>
        <v>0</v>
      </c>
      <c r="BP58" s="127">
        <f t="shared" si="101"/>
        <v>0</v>
      </c>
      <c r="BQ58" s="127">
        <f t="shared" si="101"/>
        <v>0</v>
      </c>
      <c r="BR58" s="175">
        <f t="shared" si="101"/>
        <v>0</v>
      </c>
    </row>
    <row r="59" spans="1:70" ht="15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  <c r="BC59" s="78"/>
      <c r="BD59" s="78"/>
      <c r="BE59" s="78"/>
      <c r="BF59" s="78"/>
      <c r="BG59" s="78"/>
      <c r="BH59" s="78"/>
      <c r="BI59" s="78"/>
      <c r="BJ59" s="78"/>
      <c r="BK59" s="78"/>
      <c r="BL59" s="78"/>
      <c r="BM59" s="78"/>
      <c r="BN59" s="78"/>
      <c r="BO59" s="78"/>
      <c r="BP59" s="78"/>
      <c r="BQ59" s="78"/>
      <c r="BR59" s="78"/>
    </row>
    <row r="60" spans="1:70" ht="15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176"/>
      <c r="AI60" s="176"/>
      <c r="AJ60" s="176"/>
      <c r="AK60" s="176"/>
      <c r="AL60" s="176"/>
      <c r="AM60" s="176"/>
      <c r="AN60" s="78"/>
      <c r="AO60" s="78"/>
      <c r="AP60" s="78"/>
      <c r="AQ60" s="78"/>
      <c r="AR60" s="78"/>
      <c r="AS60" s="78"/>
      <c r="AT60" s="78"/>
      <c r="AU60" s="78"/>
      <c r="AV60" s="78"/>
      <c r="AW60" s="78"/>
      <c r="AX60" s="78"/>
      <c r="AY60" s="78"/>
      <c r="AZ60" s="78"/>
      <c r="BA60" s="78"/>
      <c r="BB60" s="78"/>
      <c r="BC60" s="78"/>
      <c r="BD60" s="78"/>
      <c r="BE60" s="78"/>
      <c r="BF60" s="78"/>
      <c r="BG60" s="78"/>
      <c r="BH60" s="78"/>
      <c r="BI60" s="78"/>
      <c r="BJ60" s="78"/>
      <c r="BK60" s="78"/>
      <c r="BL60" s="78"/>
      <c r="BM60" s="78"/>
      <c r="BN60" s="78"/>
      <c r="BO60" s="78"/>
      <c r="BP60" s="78"/>
      <c r="BQ60" s="78"/>
      <c r="BR60" s="78"/>
    </row>
    <row r="61" spans="1:70" ht="15.75" customHeight="1">
      <c r="A61" s="78"/>
      <c r="B61" s="78"/>
      <c r="C61" s="177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176"/>
      <c r="AI61" s="78"/>
      <c r="AJ61" s="78"/>
      <c r="AK61" s="78"/>
      <c r="AL61" s="78"/>
      <c r="AM61" s="78"/>
      <c r="AN61" s="78"/>
      <c r="AO61" s="78"/>
      <c r="AP61" s="78"/>
      <c r="AQ61" s="78"/>
      <c r="AR61" s="78"/>
      <c r="AS61" s="78"/>
      <c r="AT61" s="78"/>
      <c r="AU61" s="78"/>
      <c r="AV61" s="78"/>
      <c r="AW61" s="78"/>
      <c r="AX61" s="78"/>
      <c r="AY61" s="78"/>
      <c r="AZ61" s="78"/>
      <c r="BA61" s="78"/>
      <c r="BB61" s="78"/>
      <c r="BC61" s="78"/>
      <c r="BD61" s="78"/>
      <c r="BE61" s="78"/>
      <c r="BF61" s="78"/>
      <c r="BG61" s="78"/>
      <c r="BH61" s="78"/>
      <c r="BI61" s="78"/>
      <c r="BJ61" s="78"/>
      <c r="BK61" s="78"/>
      <c r="BL61" s="78"/>
      <c r="BM61" s="78"/>
      <c r="BN61" s="78"/>
      <c r="BO61" s="78"/>
      <c r="BP61" s="78"/>
      <c r="BQ61" s="78"/>
      <c r="BR61" s="78"/>
    </row>
    <row r="62" spans="1:70" ht="15.75" customHeight="1">
      <c r="A62" s="78"/>
      <c r="B62" s="233" t="s">
        <v>10</v>
      </c>
      <c r="C62" s="217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  <c r="AU62" s="78"/>
      <c r="AV62" s="78"/>
      <c r="AW62" s="78"/>
      <c r="AX62" s="78"/>
      <c r="AY62" s="78"/>
      <c r="AZ62" s="78"/>
      <c r="BA62" s="78"/>
      <c r="BB62" s="78"/>
      <c r="BC62" s="78"/>
      <c r="BD62" s="78"/>
      <c r="BE62" s="78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</row>
    <row r="63" spans="1:70" ht="15.75" customHeight="1">
      <c r="A63" s="78"/>
      <c r="B63" s="233" t="s">
        <v>58</v>
      </c>
      <c r="C63" s="217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78"/>
      <c r="AK63" s="78"/>
      <c r="AL63" s="78"/>
      <c r="AM63" s="78"/>
      <c r="AN63" s="78"/>
      <c r="AO63" s="78"/>
      <c r="AP63" s="78"/>
      <c r="AQ63" s="78"/>
      <c r="AR63" s="78"/>
      <c r="AS63" s="78"/>
      <c r="AT63" s="78"/>
      <c r="AU63" s="78"/>
      <c r="AV63" s="78"/>
      <c r="AW63" s="78"/>
      <c r="AX63" s="78"/>
      <c r="AY63" s="78"/>
      <c r="AZ63" s="78"/>
      <c r="BA63" s="78"/>
      <c r="BB63" s="78"/>
      <c r="BC63" s="78"/>
      <c r="BD63" s="78"/>
      <c r="BE63" s="78"/>
      <c r="BF63" s="78"/>
      <c r="BG63" s="78"/>
      <c r="BH63" s="78"/>
      <c r="BI63" s="78"/>
      <c r="BJ63" s="78"/>
      <c r="BK63" s="78"/>
      <c r="BL63" s="78"/>
      <c r="BM63" s="78"/>
      <c r="BN63" s="78"/>
      <c r="BO63" s="78"/>
      <c r="BP63" s="78"/>
      <c r="BQ63" s="78"/>
      <c r="BR63" s="78"/>
    </row>
    <row r="64" spans="1:70" ht="15.75" customHeight="1">
      <c r="A64" s="78"/>
      <c r="B64" s="233" t="str">
        <f>GradeSheet!$B$68</f>
        <v>Department of CSE, ULAB</v>
      </c>
      <c r="C64" s="217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8"/>
      <c r="AK64" s="78"/>
      <c r="AL64" s="78"/>
      <c r="AM64" s="78"/>
      <c r="AN64" s="78"/>
      <c r="AO64" s="78"/>
      <c r="AP64" s="78"/>
      <c r="AQ64" s="78"/>
      <c r="AR64" s="78"/>
      <c r="AS64" s="78"/>
      <c r="AT64" s="78"/>
      <c r="AU64" s="78"/>
      <c r="AV64" s="78"/>
      <c r="AW64" s="78"/>
      <c r="AX64" s="78"/>
      <c r="AY64" s="78"/>
      <c r="AZ64" s="78"/>
      <c r="BA64" s="78"/>
      <c r="BB64" s="78"/>
      <c r="BC64" s="78"/>
      <c r="BD64" s="78"/>
      <c r="BE64" s="78"/>
      <c r="BF64" s="78"/>
      <c r="BG64" s="78"/>
      <c r="BH64" s="78"/>
      <c r="BI64" s="78"/>
      <c r="BJ64" s="78"/>
      <c r="BK64" s="78"/>
      <c r="BL64" s="78"/>
      <c r="BM64" s="78"/>
      <c r="BN64" s="78"/>
      <c r="BO64" s="78"/>
      <c r="BP64" s="78"/>
      <c r="BQ64" s="78"/>
      <c r="BR64" s="78"/>
    </row>
    <row r="65" spans="1:70" ht="15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176"/>
      <c r="AI65" s="78"/>
      <c r="AJ65" s="78"/>
      <c r="AK65" s="78"/>
      <c r="AL65" s="78"/>
      <c r="AM65" s="78"/>
      <c r="AN65" s="78"/>
      <c r="AO65" s="78"/>
      <c r="AP65" s="78"/>
      <c r="AQ65" s="78"/>
      <c r="AR65" s="78"/>
      <c r="AS65" s="78"/>
      <c r="AT65" s="78"/>
      <c r="AU65" s="78"/>
      <c r="AV65" s="78"/>
      <c r="AW65" s="78"/>
      <c r="AX65" s="78"/>
      <c r="AY65" s="78"/>
      <c r="AZ65" s="78"/>
      <c r="BA65" s="78"/>
      <c r="BB65" s="78"/>
      <c r="BC65" s="78"/>
      <c r="BD65" s="78"/>
      <c r="BE65" s="78"/>
      <c r="BF65" s="78"/>
      <c r="BG65" s="78"/>
      <c r="BH65" s="78"/>
      <c r="BI65" s="78"/>
      <c r="BJ65" s="78"/>
      <c r="BK65" s="78"/>
      <c r="BL65" s="78"/>
      <c r="BM65" s="78"/>
      <c r="BN65" s="78"/>
      <c r="BO65" s="78"/>
      <c r="BP65" s="78"/>
      <c r="BQ65" s="78"/>
      <c r="BR65" s="78"/>
    </row>
    <row r="66" spans="1:70" ht="15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176"/>
      <c r="AI66" s="78"/>
      <c r="AJ66" s="78"/>
      <c r="AK66" s="78"/>
      <c r="AL66" s="78"/>
      <c r="AM66" s="78"/>
      <c r="AN66" s="78"/>
      <c r="AO66" s="78"/>
      <c r="AP66" s="78"/>
      <c r="AQ66" s="78"/>
      <c r="AR66" s="78"/>
      <c r="AS66" s="78"/>
      <c r="AT66" s="78"/>
      <c r="AU66" s="78"/>
      <c r="AV66" s="78"/>
      <c r="AW66" s="78"/>
      <c r="AX66" s="78"/>
      <c r="AY66" s="78"/>
      <c r="AZ66" s="78"/>
      <c r="BA66" s="78"/>
      <c r="BB66" s="78"/>
      <c r="BC66" s="78"/>
      <c r="BD66" s="78"/>
      <c r="BE66" s="78"/>
      <c r="BF66" s="78"/>
      <c r="BG66" s="78"/>
      <c r="BH66" s="78"/>
      <c r="BI66" s="78"/>
      <c r="BJ66" s="78"/>
      <c r="BK66" s="78"/>
      <c r="BL66" s="78"/>
      <c r="BM66" s="78"/>
      <c r="BN66" s="78"/>
      <c r="BO66" s="78"/>
      <c r="BP66" s="78"/>
      <c r="BQ66" s="78"/>
      <c r="BR66" s="78"/>
    </row>
    <row r="67" spans="1:70" ht="15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78"/>
      <c r="AK67" s="78"/>
      <c r="AL67" s="78"/>
      <c r="AM67" s="78"/>
      <c r="AN67" s="78"/>
      <c r="AO67" s="78"/>
      <c r="AP67" s="78"/>
      <c r="AQ67" s="78"/>
      <c r="AR67" s="78"/>
      <c r="AS67" s="78"/>
      <c r="AT67" s="78"/>
      <c r="AU67" s="78"/>
      <c r="AV67" s="78"/>
      <c r="AW67" s="78"/>
      <c r="AX67" s="78"/>
      <c r="AY67" s="78"/>
      <c r="AZ67" s="78"/>
      <c r="BA67" s="78"/>
      <c r="BB67" s="78"/>
      <c r="BC67" s="78"/>
      <c r="BD67" s="78"/>
      <c r="BE67" s="78"/>
      <c r="BF67" s="78"/>
      <c r="BG67" s="78"/>
      <c r="BH67" s="78"/>
      <c r="BI67" s="78"/>
      <c r="BJ67" s="78"/>
      <c r="BK67" s="78"/>
      <c r="BL67" s="78"/>
      <c r="BM67" s="78"/>
      <c r="BN67" s="78"/>
      <c r="BO67" s="78"/>
      <c r="BP67" s="78"/>
      <c r="BQ67" s="78"/>
      <c r="BR67" s="78"/>
    </row>
    <row r="68" spans="1:70" ht="15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8"/>
      <c r="AK68" s="78"/>
      <c r="AL68" s="78"/>
      <c r="AM68" s="78"/>
      <c r="AN68" s="78"/>
      <c r="AO68" s="78"/>
      <c r="AP68" s="78"/>
      <c r="AQ68" s="78"/>
      <c r="AR68" s="78"/>
      <c r="AS68" s="78"/>
      <c r="AT68" s="78"/>
      <c r="AU68" s="78"/>
      <c r="AV68" s="78"/>
      <c r="AW68" s="78"/>
      <c r="AX68" s="78"/>
      <c r="AY68" s="78"/>
      <c r="AZ68" s="78"/>
      <c r="BA68" s="78"/>
      <c r="BB68" s="78"/>
      <c r="BC68" s="78"/>
      <c r="BD68" s="78"/>
      <c r="BE68" s="78"/>
      <c r="BF68" s="78"/>
      <c r="BG68" s="78"/>
      <c r="BH68" s="78"/>
      <c r="BI68" s="78"/>
      <c r="BJ68" s="78"/>
      <c r="BK68" s="78"/>
      <c r="BL68" s="78"/>
      <c r="BM68" s="78"/>
      <c r="BN68" s="78"/>
      <c r="BO68" s="78"/>
      <c r="BP68" s="78"/>
      <c r="BQ68" s="78"/>
      <c r="BR68" s="78"/>
    </row>
    <row r="69" spans="1:70" ht="15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78"/>
      <c r="AK69" s="78"/>
      <c r="AL69" s="78"/>
      <c r="AM69" s="78"/>
      <c r="AN69" s="178"/>
      <c r="AO69" s="78"/>
      <c r="AP69" s="78"/>
      <c r="AQ69" s="78"/>
      <c r="AR69" s="78"/>
      <c r="AS69" s="78"/>
      <c r="AT69" s="78"/>
      <c r="AU69" s="78"/>
      <c r="AV69" s="78"/>
      <c r="AW69" s="78"/>
      <c r="AX69" s="78"/>
      <c r="AY69" s="78"/>
      <c r="AZ69" s="78"/>
      <c r="BA69" s="78"/>
      <c r="BB69" s="78"/>
      <c r="BC69" s="78"/>
      <c r="BD69" s="78"/>
      <c r="BE69" s="78"/>
      <c r="BF69" s="78"/>
      <c r="BG69" s="78"/>
      <c r="BH69" s="78"/>
      <c r="BI69" s="78"/>
      <c r="BJ69" s="78"/>
      <c r="BK69" s="78"/>
      <c r="BL69" s="78"/>
      <c r="BM69" s="78"/>
      <c r="BN69" s="78"/>
      <c r="BO69" s="78"/>
      <c r="BP69" s="78"/>
      <c r="BQ69" s="78"/>
      <c r="BR69" s="78"/>
    </row>
    <row r="70" spans="1:70" ht="15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  <c r="AU70" s="78"/>
      <c r="AV70" s="78"/>
      <c r="AW70" s="78"/>
      <c r="AX70" s="78"/>
      <c r="AY70" s="78"/>
      <c r="AZ70" s="78"/>
      <c r="BA70" s="78"/>
      <c r="BB70" s="78"/>
      <c r="BC70" s="78"/>
      <c r="BD70" s="78"/>
      <c r="BE70" s="78"/>
      <c r="BF70" s="78"/>
      <c r="BG70" s="78"/>
      <c r="BH70" s="78"/>
      <c r="BI70" s="78"/>
      <c r="BJ70" s="78"/>
      <c r="BK70" s="78"/>
      <c r="BL70" s="78"/>
      <c r="BM70" s="78"/>
      <c r="BN70" s="78"/>
      <c r="BO70" s="78"/>
      <c r="BP70" s="78"/>
      <c r="BQ70" s="78"/>
      <c r="BR70" s="78"/>
    </row>
    <row r="71" spans="1:70" ht="15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78"/>
      <c r="AN71" s="78"/>
      <c r="AO71" s="78"/>
      <c r="AP71" s="78"/>
      <c r="AQ71" s="78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  <c r="BC71" s="78"/>
      <c r="BD71" s="78"/>
      <c r="BE71" s="78"/>
      <c r="BF71" s="78"/>
      <c r="BG71" s="78"/>
      <c r="BH71" s="78"/>
      <c r="BI71" s="78"/>
      <c r="BJ71" s="78"/>
      <c r="BK71" s="78"/>
      <c r="BL71" s="78"/>
      <c r="BM71" s="78"/>
      <c r="BN71" s="78"/>
      <c r="BO71" s="78"/>
      <c r="BP71" s="78"/>
      <c r="BQ71" s="78"/>
      <c r="BR71" s="78"/>
    </row>
    <row r="72" spans="1:70" ht="15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  <c r="AM72" s="78"/>
      <c r="AN72" s="78"/>
      <c r="AO72" s="78"/>
      <c r="AP72" s="78"/>
      <c r="AQ72" s="78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  <c r="BC72" s="78"/>
      <c r="BD72" s="78"/>
      <c r="BE72" s="78"/>
      <c r="BF72" s="78"/>
      <c r="BG72" s="78"/>
      <c r="BH72" s="78"/>
      <c r="BI72" s="78"/>
      <c r="BJ72" s="78"/>
      <c r="BK72" s="78"/>
      <c r="BL72" s="78"/>
      <c r="BM72" s="78"/>
      <c r="BN72" s="78"/>
      <c r="BO72" s="78"/>
      <c r="BP72" s="78"/>
      <c r="BQ72" s="78"/>
      <c r="BR72" s="78"/>
    </row>
    <row r="73" spans="1:70" ht="15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8"/>
      <c r="AK73" s="78"/>
      <c r="AL73" s="78"/>
      <c r="AM73" s="78"/>
      <c r="AN73" s="78"/>
      <c r="AO73" s="78"/>
      <c r="AP73" s="78"/>
      <c r="AQ73" s="78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  <c r="BC73" s="78"/>
      <c r="BD73" s="78"/>
      <c r="BE73" s="78"/>
      <c r="BF73" s="78"/>
      <c r="BG73" s="78"/>
      <c r="BH73" s="78"/>
      <c r="BI73" s="78"/>
      <c r="BJ73" s="78"/>
      <c r="BK73" s="78"/>
      <c r="BL73" s="78"/>
      <c r="BM73" s="78"/>
      <c r="BN73" s="78"/>
      <c r="BO73" s="78"/>
      <c r="BP73" s="78"/>
      <c r="BQ73" s="78"/>
      <c r="BR73" s="78"/>
    </row>
    <row r="74" spans="1:70" ht="15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78"/>
      <c r="AI74" s="78"/>
      <c r="AJ74" s="78"/>
      <c r="AK74" s="78"/>
      <c r="AL74" s="78"/>
      <c r="AM74" s="78"/>
      <c r="AN74" s="78"/>
      <c r="AO74" s="78"/>
      <c r="AP74" s="78"/>
      <c r="AQ74" s="78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  <c r="BC74" s="78"/>
      <c r="BD74" s="78"/>
      <c r="BE74" s="78"/>
      <c r="BF74" s="78"/>
      <c r="BG74" s="78"/>
      <c r="BH74" s="78"/>
      <c r="BI74" s="78"/>
      <c r="BJ74" s="78"/>
      <c r="BK74" s="78"/>
      <c r="BL74" s="78"/>
      <c r="BM74" s="78"/>
      <c r="BN74" s="78"/>
      <c r="BO74" s="78"/>
      <c r="BP74" s="78"/>
      <c r="BQ74" s="78"/>
      <c r="BR74" s="78"/>
    </row>
    <row r="75" spans="1:70" ht="15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8"/>
      <c r="AN75" s="78"/>
      <c r="AO75" s="78"/>
      <c r="AP75" s="78"/>
      <c r="AQ75" s="78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  <c r="BC75" s="78"/>
      <c r="BD75" s="78"/>
      <c r="BE75" s="78"/>
      <c r="BF75" s="78"/>
      <c r="BG75" s="78"/>
      <c r="BH75" s="78"/>
      <c r="BI75" s="78"/>
      <c r="BJ75" s="78"/>
      <c r="BK75" s="78"/>
      <c r="BL75" s="78"/>
      <c r="BM75" s="78"/>
      <c r="BN75" s="78"/>
      <c r="BO75" s="78"/>
      <c r="BP75" s="78"/>
      <c r="BQ75" s="78"/>
      <c r="BR75" s="78"/>
    </row>
    <row r="76" spans="1:70" ht="15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8"/>
      <c r="AK76" s="78"/>
      <c r="AL76" s="78"/>
      <c r="AM76" s="78"/>
      <c r="AN76" s="78"/>
      <c r="AO76" s="78"/>
      <c r="AP76" s="78"/>
      <c r="AQ76" s="78"/>
      <c r="AR76" s="78"/>
      <c r="AS76" s="78"/>
      <c r="AT76" s="78"/>
      <c r="AU76" s="78"/>
      <c r="AV76" s="78"/>
      <c r="AW76" s="78"/>
      <c r="AX76" s="78"/>
      <c r="AY76" s="78"/>
      <c r="AZ76" s="78"/>
      <c r="BA76" s="78"/>
      <c r="BB76" s="78"/>
      <c r="BC76" s="78"/>
      <c r="BD76" s="78"/>
      <c r="BE76" s="78"/>
      <c r="BF76" s="78"/>
      <c r="BG76" s="78"/>
      <c r="BH76" s="78"/>
      <c r="BI76" s="78"/>
      <c r="BJ76" s="78"/>
      <c r="BK76" s="78"/>
      <c r="BL76" s="78"/>
      <c r="BM76" s="78"/>
      <c r="BN76" s="78"/>
      <c r="BO76" s="78"/>
      <c r="BP76" s="78"/>
      <c r="BQ76" s="78"/>
      <c r="BR76" s="78"/>
    </row>
    <row r="77" spans="1:70" ht="15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78"/>
      <c r="AK77" s="78"/>
      <c r="AL77" s="78"/>
      <c r="AM77" s="78"/>
      <c r="AN77" s="78"/>
      <c r="AO77" s="78"/>
      <c r="AP77" s="78"/>
      <c r="AQ77" s="78"/>
      <c r="AR77" s="78"/>
      <c r="AS77" s="78"/>
      <c r="AT77" s="78"/>
      <c r="AU77" s="78"/>
      <c r="AV77" s="78"/>
      <c r="AW77" s="78"/>
      <c r="AX77" s="78"/>
      <c r="AY77" s="78"/>
      <c r="AZ77" s="78"/>
      <c r="BA77" s="78"/>
      <c r="BB77" s="78"/>
      <c r="BC77" s="78"/>
      <c r="BD77" s="78"/>
      <c r="BE77" s="78"/>
      <c r="BF77" s="78"/>
      <c r="BG77" s="78"/>
      <c r="BH77" s="78"/>
      <c r="BI77" s="78"/>
      <c r="BJ77" s="78"/>
      <c r="BK77" s="78"/>
      <c r="BL77" s="78"/>
      <c r="BM77" s="78"/>
      <c r="BN77" s="78"/>
      <c r="BO77" s="78"/>
      <c r="BP77" s="78"/>
      <c r="BQ77" s="78"/>
      <c r="BR77" s="78"/>
    </row>
    <row r="78" spans="1:70" ht="15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78"/>
      <c r="BN78" s="78"/>
      <c r="BO78" s="78"/>
      <c r="BP78" s="78"/>
      <c r="BQ78" s="78"/>
      <c r="BR78" s="78"/>
    </row>
    <row r="79" spans="1:70" ht="15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  <c r="AJ79" s="78"/>
      <c r="AK79" s="78"/>
      <c r="AL79" s="78"/>
      <c r="AM79" s="78"/>
      <c r="AN79" s="78"/>
      <c r="AO79" s="78"/>
      <c r="AP79" s="78"/>
      <c r="AQ79" s="78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  <c r="BC79" s="78"/>
      <c r="BD79" s="78"/>
      <c r="BE79" s="78"/>
      <c r="BF79" s="78"/>
      <c r="BG79" s="78"/>
      <c r="BH79" s="78"/>
      <c r="BI79" s="78"/>
      <c r="BJ79" s="78"/>
      <c r="BK79" s="78"/>
      <c r="BL79" s="78"/>
      <c r="BM79" s="78"/>
      <c r="BN79" s="78"/>
      <c r="BO79" s="78"/>
      <c r="BP79" s="78"/>
      <c r="BQ79" s="78"/>
      <c r="BR79" s="78"/>
    </row>
    <row r="80" spans="1:70" ht="15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  <c r="AJ80" s="78"/>
      <c r="AK80" s="78"/>
      <c r="AL80" s="78"/>
      <c r="AM80" s="78"/>
      <c r="AN80" s="78"/>
      <c r="AO80" s="78"/>
      <c r="AP80" s="78"/>
      <c r="AQ80" s="78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  <c r="BC80" s="78"/>
      <c r="BD80" s="78"/>
      <c r="BE80" s="78"/>
      <c r="BF80" s="78"/>
      <c r="BG80" s="78"/>
      <c r="BH80" s="78"/>
      <c r="BI80" s="78"/>
      <c r="BJ80" s="78"/>
      <c r="BK80" s="78"/>
      <c r="BL80" s="78"/>
      <c r="BM80" s="78"/>
      <c r="BN80" s="78"/>
      <c r="BO80" s="78"/>
      <c r="BP80" s="78"/>
      <c r="BQ80" s="78"/>
      <c r="BR80" s="78"/>
    </row>
    <row r="81" spans="1:70" ht="15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78"/>
      <c r="AK81" s="78"/>
      <c r="AL81" s="78"/>
      <c r="AM81" s="78"/>
      <c r="AN81" s="78"/>
      <c r="AO81" s="78"/>
      <c r="AP81" s="78"/>
      <c r="AQ81" s="78"/>
      <c r="AR81" s="78"/>
      <c r="AS81" s="78"/>
      <c r="AT81" s="78"/>
      <c r="AU81" s="78"/>
      <c r="AV81" s="78"/>
      <c r="AW81" s="78"/>
      <c r="AX81" s="78"/>
      <c r="AY81" s="78"/>
      <c r="AZ81" s="78"/>
      <c r="BA81" s="78"/>
      <c r="BB81" s="78"/>
      <c r="BC81" s="78"/>
      <c r="BD81" s="78"/>
      <c r="BE81" s="78"/>
      <c r="BF81" s="78"/>
      <c r="BG81" s="78"/>
      <c r="BH81" s="78"/>
      <c r="BI81" s="78"/>
      <c r="BJ81" s="78"/>
      <c r="BK81" s="78"/>
      <c r="BL81" s="78"/>
      <c r="BM81" s="78"/>
      <c r="BN81" s="78"/>
      <c r="BO81" s="78"/>
      <c r="BP81" s="78"/>
      <c r="BQ81" s="78"/>
      <c r="BR81" s="78"/>
    </row>
    <row r="82" spans="1:70" ht="15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8"/>
      <c r="AK82" s="78"/>
      <c r="AL82" s="78"/>
      <c r="AM82" s="78"/>
      <c r="AN82" s="78"/>
      <c r="AO82" s="78"/>
      <c r="AP82" s="78"/>
      <c r="AQ82" s="78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  <c r="BC82" s="78"/>
      <c r="BD82" s="78"/>
      <c r="BE82" s="78"/>
      <c r="BF82" s="78"/>
      <c r="BG82" s="78"/>
      <c r="BH82" s="78"/>
      <c r="BI82" s="78"/>
      <c r="BJ82" s="78"/>
      <c r="BK82" s="78"/>
      <c r="BL82" s="78"/>
      <c r="BM82" s="78"/>
      <c r="BN82" s="78"/>
      <c r="BO82" s="78"/>
      <c r="BP82" s="78"/>
      <c r="BQ82" s="78"/>
      <c r="BR82" s="78"/>
    </row>
    <row r="83" spans="1:70" ht="15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78"/>
      <c r="AS83" s="78"/>
      <c r="AT83" s="78"/>
      <c r="AU83" s="78"/>
      <c r="AV83" s="78"/>
      <c r="AW83" s="78"/>
      <c r="AX83" s="78"/>
      <c r="AY83" s="78"/>
      <c r="AZ83" s="78"/>
      <c r="BA83" s="78"/>
      <c r="BB83" s="78"/>
      <c r="BC83" s="78"/>
      <c r="BD83" s="78"/>
      <c r="BE83" s="78"/>
      <c r="BF83" s="78"/>
      <c r="BG83" s="78"/>
      <c r="BH83" s="78"/>
      <c r="BI83" s="78"/>
      <c r="BJ83" s="78"/>
      <c r="BK83" s="78"/>
      <c r="BL83" s="78"/>
      <c r="BM83" s="78"/>
      <c r="BN83" s="78"/>
      <c r="BO83" s="78"/>
      <c r="BP83" s="78"/>
      <c r="BQ83" s="78"/>
      <c r="BR83" s="78"/>
    </row>
    <row r="84" spans="1:70" ht="15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  <c r="AN84" s="78"/>
      <c r="AO84" s="78"/>
      <c r="AP84" s="78"/>
      <c r="AQ84" s="78"/>
      <c r="AR84" s="78"/>
      <c r="AS84" s="78"/>
      <c r="AT84" s="78"/>
      <c r="AU84" s="78"/>
      <c r="AV84" s="78"/>
      <c r="AW84" s="78"/>
      <c r="AX84" s="78"/>
      <c r="AY84" s="78"/>
      <c r="AZ84" s="78"/>
      <c r="BA84" s="78"/>
      <c r="BB84" s="78"/>
      <c r="BC84" s="78"/>
      <c r="BD84" s="78"/>
      <c r="BE84" s="78"/>
      <c r="BF84" s="78"/>
      <c r="BG84" s="78"/>
      <c r="BH84" s="78"/>
      <c r="BI84" s="78"/>
      <c r="BJ84" s="78"/>
      <c r="BK84" s="78"/>
      <c r="BL84" s="78"/>
      <c r="BM84" s="78"/>
      <c r="BN84" s="78"/>
      <c r="BO84" s="78"/>
      <c r="BP84" s="78"/>
      <c r="BQ84" s="78"/>
      <c r="BR84" s="78"/>
    </row>
    <row r="85" spans="1:70" ht="15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8"/>
      <c r="AK85" s="78"/>
      <c r="AL85" s="78"/>
      <c r="AM85" s="78"/>
      <c r="AN85" s="78"/>
      <c r="AO85" s="78"/>
      <c r="AP85" s="78"/>
      <c r="AQ85" s="78"/>
      <c r="AR85" s="78"/>
      <c r="AS85" s="78"/>
      <c r="AT85" s="78"/>
      <c r="AU85" s="78"/>
      <c r="AV85" s="78"/>
      <c r="AW85" s="78"/>
      <c r="AX85" s="78"/>
      <c r="AY85" s="78"/>
      <c r="AZ85" s="78"/>
      <c r="BA85" s="78"/>
      <c r="BB85" s="78"/>
      <c r="BC85" s="78"/>
      <c r="BD85" s="78"/>
      <c r="BE85" s="78"/>
      <c r="BF85" s="78"/>
      <c r="BG85" s="78"/>
      <c r="BH85" s="78"/>
      <c r="BI85" s="78"/>
      <c r="BJ85" s="78"/>
      <c r="BK85" s="78"/>
      <c r="BL85" s="78"/>
      <c r="BM85" s="78"/>
      <c r="BN85" s="78"/>
      <c r="BO85" s="78"/>
      <c r="BP85" s="78"/>
      <c r="BQ85" s="78"/>
      <c r="BR85" s="78"/>
    </row>
    <row r="86" spans="1:70" ht="15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  <c r="AU86" s="78"/>
      <c r="AV86" s="78"/>
      <c r="AW86" s="78"/>
      <c r="AX86" s="78"/>
      <c r="AY86" s="78"/>
      <c r="AZ86" s="78"/>
      <c r="BA86" s="78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</row>
    <row r="87" spans="1:70" ht="15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8"/>
      <c r="AK87" s="78"/>
      <c r="AL87" s="78"/>
      <c r="AM87" s="78"/>
      <c r="AN87" s="78"/>
      <c r="AO87" s="78"/>
      <c r="AP87" s="78"/>
      <c r="AQ87" s="78"/>
      <c r="AR87" s="78"/>
      <c r="AS87" s="78"/>
      <c r="AT87" s="78"/>
      <c r="AU87" s="78"/>
      <c r="AV87" s="78"/>
      <c r="AW87" s="78"/>
      <c r="AX87" s="78"/>
      <c r="AY87" s="78"/>
      <c r="AZ87" s="78"/>
      <c r="BA87" s="78"/>
      <c r="BB87" s="78"/>
      <c r="BC87" s="78"/>
      <c r="BD87" s="78"/>
      <c r="BE87" s="78"/>
      <c r="BF87" s="78"/>
      <c r="BG87" s="78"/>
      <c r="BH87" s="78"/>
      <c r="BI87" s="78"/>
      <c r="BJ87" s="78"/>
      <c r="BK87" s="78"/>
      <c r="BL87" s="78"/>
      <c r="BM87" s="78"/>
      <c r="BN87" s="78"/>
      <c r="BO87" s="78"/>
      <c r="BP87" s="78"/>
      <c r="BQ87" s="78"/>
      <c r="BR87" s="78"/>
    </row>
    <row r="88" spans="1:70" ht="15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8"/>
      <c r="AK88" s="78"/>
      <c r="AL88" s="78"/>
      <c r="AM88" s="78"/>
      <c r="AN88" s="78"/>
      <c r="AO88" s="78"/>
      <c r="AP88" s="78"/>
      <c r="AQ88" s="78"/>
      <c r="AR88" s="78"/>
      <c r="AS88" s="78"/>
      <c r="AT88" s="78"/>
      <c r="AU88" s="78"/>
      <c r="AV88" s="78"/>
      <c r="AW88" s="78"/>
      <c r="AX88" s="78"/>
      <c r="AY88" s="78"/>
      <c r="AZ88" s="78"/>
      <c r="BA88" s="78"/>
      <c r="BB88" s="78"/>
      <c r="BC88" s="78"/>
      <c r="BD88" s="78"/>
      <c r="BE88" s="78"/>
      <c r="BF88" s="78"/>
      <c r="BG88" s="78"/>
      <c r="BH88" s="78"/>
      <c r="BI88" s="78"/>
      <c r="BJ88" s="78"/>
      <c r="BK88" s="78"/>
      <c r="BL88" s="78"/>
      <c r="BM88" s="78"/>
      <c r="BN88" s="78"/>
      <c r="BO88" s="78"/>
      <c r="BP88" s="78"/>
      <c r="BQ88" s="78"/>
      <c r="BR88" s="78"/>
    </row>
    <row r="89" spans="1:70" ht="15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8"/>
      <c r="AK89" s="78"/>
      <c r="AL89" s="78"/>
      <c r="AM89" s="78"/>
      <c r="AN89" s="78"/>
      <c r="AO89" s="78"/>
      <c r="AP89" s="78"/>
      <c r="AQ89" s="78"/>
      <c r="AR89" s="78"/>
      <c r="AS89" s="78"/>
      <c r="AT89" s="78"/>
      <c r="AU89" s="78"/>
      <c r="AV89" s="78"/>
      <c r="AW89" s="78"/>
      <c r="AX89" s="78"/>
      <c r="AY89" s="78"/>
      <c r="AZ89" s="78"/>
      <c r="BA89" s="78"/>
      <c r="BB89" s="78"/>
      <c r="BC89" s="78"/>
      <c r="BD89" s="78"/>
      <c r="BE89" s="78"/>
      <c r="BF89" s="78"/>
      <c r="BG89" s="78"/>
      <c r="BH89" s="78"/>
      <c r="BI89" s="78"/>
      <c r="BJ89" s="78"/>
      <c r="BK89" s="78"/>
      <c r="BL89" s="78"/>
      <c r="BM89" s="78"/>
      <c r="BN89" s="78"/>
      <c r="BO89" s="78"/>
      <c r="BP89" s="78"/>
      <c r="BQ89" s="78"/>
      <c r="BR89" s="78"/>
    </row>
    <row r="90" spans="1:70" ht="15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8"/>
      <c r="AK90" s="78"/>
      <c r="AL90" s="78"/>
      <c r="AM90" s="78"/>
      <c r="AN90" s="78"/>
      <c r="AO90" s="78"/>
      <c r="AP90" s="78"/>
      <c r="AQ90" s="78"/>
      <c r="AR90" s="78"/>
      <c r="AS90" s="78"/>
      <c r="AT90" s="78"/>
      <c r="AU90" s="78"/>
      <c r="AV90" s="78"/>
      <c r="AW90" s="78"/>
      <c r="AX90" s="78"/>
      <c r="AY90" s="78"/>
      <c r="AZ90" s="78"/>
      <c r="BA90" s="78"/>
      <c r="BB90" s="78"/>
      <c r="BC90" s="78"/>
      <c r="BD90" s="78"/>
      <c r="BE90" s="78"/>
      <c r="BF90" s="78"/>
      <c r="BG90" s="78"/>
      <c r="BH90" s="78"/>
      <c r="BI90" s="78"/>
      <c r="BJ90" s="78"/>
      <c r="BK90" s="78"/>
      <c r="BL90" s="78"/>
      <c r="BM90" s="78"/>
      <c r="BN90" s="78"/>
      <c r="BO90" s="78"/>
      <c r="BP90" s="78"/>
      <c r="BQ90" s="78"/>
      <c r="BR90" s="78"/>
    </row>
    <row r="91" spans="1:70" ht="15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78"/>
      <c r="AK91" s="78"/>
      <c r="AL91" s="78"/>
      <c r="AM91" s="78"/>
      <c r="AN91" s="78"/>
      <c r="AO91" s="78"/>
      <c r="AP91" s="78"/>
      <c r="AQ91" s="78"/>
      <c r="AR91" s="78"/>
      <c r="AS91" s="78"/>
      <c r="AT91" s="78"/>
      <c r="AU91" s="78"/>
      <c r="AV91" s="78"/>
      <c r="AW91" s="78"/>
      <c r="AX91" s="78"/>
      <c r="AY91" s="78"/>
      <c r="AZ91" s="78"/>
      <c r="BA91" s="78"/>
      <c r="BB91" s="78"/>
      <c r="BC91" s="78"/>
      <c r="BD91" s="78"/>
      <c r="BE91" s="78"/>
      <c r="BF91" s="78"/>
      <c r="BG91" s="78"/>
      <c r="BH91" s="78"/>
      <c r="BI91" s="78"/>
      <c r="BJ91" s="78"/>
      <c r="BK91" s="78"/>
      <c r="BL91" s="78"/>
      <c r="BM91" s="78"/>
      <c r="BN91" s="78"/>
      <c r="BO91" s="78"/>
      <c r="BP91" s="78"/>
      <c r="BQ91" s="78"/>
      <c r="BR91" s="78"/>
    </row>
    <row r="92" spans="1:70" ht="15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  <c r="AS92" s="78"/>
      <c r="AT92" s="78"/>
      <c r="AU92" s="78"/>
      <c r="AV92" s="78"/>
      <c r="AW92" s="78"/>
      <c r="AX92" s="78"/>
      <c r="AY92" s="78"/>
      <c r="AZ92" s="78"/>
      <c r="BA92" s="78"/>
      <c r="BB92" s="78"/>
      <c r="BC92" s="78"/>
      <c r="BD92" s="78"/>
      <c r="BE92" s="78"/>
      <c r="BF92" s="78"/>
      <c r="BG92" s="78"/>
      <c r="BH92" s="78"/>
      <c r="BI92" s="78"/>
      <c r="BJ92" s="78"/>
      <c r="BK92" s="78"/>
      <c r="BL92" s="78"/>
      <c r="BM92" s="78"/>
      <c r="BN92" s="78"/>
      <c r="BO92" s="78"/>
      <c r="BP92" s="78"/>
      <c r="BQ92" s="78"/>
      <c r="BR92" s="78"/>
    </row>
    <row r="93" spans="1:70" ht="15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  <c r="AU93" s="78"/>
      <c r="AV93" s="78"/>
      <c r="AW93" s="78"/>
      <c r="AX93" s="78"/>
      <c r="AY93" s="78"/>
      <c r="AZ93" s="78"/>
      <c r="BA93" s="78"/>
      <c r="BB93" s="78"/>
      <c r="BC93" s="78"/>
      <c r="BD93" s="78"/>
      <c r="BE93" s="78"/>
      <c r="BF93" s="78"/>
      <c r="BG93" s="78"/>
      <c r="BH93" s="78"/>
      <c r="BI93" s="78"/>
      <c r="BJ93" s="78"/>
      <c r="BK93" s="78"/>
      <c r="BL93" s="78"/>
      <c r="BM93" s="78"/>
      <c r="BN93" s="78"/>
      <c r="BO93" s="78"/>
      <c r="BP93" s="78"/>
      <c r="BQ93" s="78"/>
      <c r="BR93" s="78"/>
    </row>
    <row r="94" spans="1:70" ht="15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</row>
    <row r="95" spans="1:70" ht="15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  <c r="AS95" s="78"/>
      <c r="AT95" s="78"/>
      <c r="AU95" s="78"/>
      <c r="AV95" s="78"/>
      <c r="AW95" s="78"/>
      <c r="AX95" s="78"/>
      <c r="AY95" s="78"/>
      <c r="AZ95" s="78"/>
      <c r="BA95" s="78"/>
      <c r="BB95" s="78"/>
      <c r="BC95" s="78"/>
      <c r="BD95" s="78"/>
      <c r="BE95" s="78"/>
      <c r="BF95" s="78"/>
      <c r="BG95" s="78"/>
      <c r="BH95" s="78"/>
      <c r="BI95" s="78"/>
      <c r="BJ95" s="78"/>
      <c r="BK95" s="78"/>
      <c r="BL95" s="78"/>
      <c r="BM95" s="78"/>
      <c r="BN95" s="78"/>
      <c r="BO95" s="78"/>
      <c r="BP95" s="78"/>
      <c r="BQ95" s="78"/>
      <c r="BR95" s="78"/>
    </row>
    <row r="96" spans="1:70" ht="15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8"/>
      <c r="AK96" s="78"/>
      <c r="AL96" s="78"/>
      <c r="AM96" s="78"/>
      <c r="AN96" s="78"/>
      <c r="AO96" s="78"/>
      <c r="AP96" s="78"/>
      <c r="AQ96" s="78"/>
      <c r="AR96" s="78"/>
      <c r="AS96" s="78"/>
      <c r="AT96" s="78"/>
      <c r="AU96" s="78"/>
      <c r="AV96" s="78"/>
      <c r="AW96" s="78"/>
      <c r="AX96" s="78"/>
      <c r="AY96" s="78"/>
      <c r="AZ96" s="78"/>
      <c r="BA96" s="78"/>
      <c r="BB96" s="78"/>
      <c r="BC96" s="78"/>
      <c r="BD96" s="78"/>
      <c r="BE96" s="78"/>
      <c r="BF96" s="78"/>
      <c r="BG96" s="78"/>
      <c r="BH96" s="78"/>
      <c r="BI96" s="78"/>
      <c r="BJ96" s="78"/>
      <c r="BK96" s="78"/>
      <c r="BL96" s="78"/>
      <c r="BM96" s="78"/>
      <c r="BN96" s="78"/>
      <c r="BO96" s="78"/>
      <c r="BP96" s="78"/>
      <c r="BQ96" s="78"/>
      <c r="BR96" s="78"/>
    </row>
    <row r="97" spans="1:70" ht="15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8"/>
      <c r="AL97" s="78"/>
      <c r="AM97" s="78"/>
      <c r="AN97" s="78"/>
      <c r="AO97" s="78"/>
      <c r="AP97" s="78"/>
      <c r="AQ97" s="78"/>
      <c r="AR97" s="78"/>
      <c r="AS97" s="78"/>
      <c r="AT97" s="78"/>
      <c r="AU97" s="78"/>
      <c r="AV97" s="78"/>
      <c r="AW97" s="78"/>
      <c r="AX97" s="78"/>
      <c r="AY97" s="78"/>
      <c r="AZ97" s="78"/>
      <c r="BA97" s="78"/>
      <c r="BB97" s="78"/>
      <c r="BC97" s="78"/>
      <c r="BD97" s="78"/>
      <c r="BE97" s="78"/>
      <c r="BF97" s="78"/>
      <c r="BG97" s="78"/>
      <c r="BH97" s="78"/>
      <c r="BI97" s="78"/>
      <c r="BJ97" s="78"/>
      <c r="BK97" s="78"/>
      <c r="BL97" s="78"/>
      <c r="BM97" s="78"/>
      <c r="BN97" s="78"/>
      <c r="BO97" s="78"/>
      <c r="BP97" s="78"/>
      <c r="BQ97" s="78"/>
      <c r="BR97" s="78"/>
    </row>
    <row r="98" spans="1:70" ht="15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8"/>
      <c r="AL98" s="78"/>
      <c r="AM98" s="78"/>
      <c r="AN98" s="78"/>
      <c r="AO98" s="78"/>
      <c r="AP98" s="78"/>
      <c r="AQ98" s="78"/>
      <c r="AR98" s="78"/>
      <c r="AS98" s="78"/>
      <c r="AT98" s="78"/>
      <c r="AU98" s="78"/>
      <c r="AV98" s="78"/>
      <c r="AW98" s="78"/>
      <c r="AX98" s="78"/>
      <c r="AY98" s="78"/>
      <c r="AZ98" s="78"/>
      <c r="BA98" s="78"/>
      <c r="BB98" s="78"/>
      <c r="BC98" s="78"/>
      <c r="BD98" s="78"/>
      <c r="BE98" s="78"/>
      <c r="BF98" s="78"/>
      <c r="BG98" s="78"/>
      <c r="BH98" s="78"/>
      <c r="BI98" s="78"/>
      <c r="BJ98" s="78"/>
      <c r="BK98" s="78"/>
      <c r="BL98" s="78"/>
      <c r="BM98" s="78"/>
      <c r="BN98" s="78"/>
      <c r="BO98" s="78"/>
      <c r="BP98" s="78"/>
      <c r="BQ98" s="78"/>
      <c r="BR98" s="78"/>
    </row>
    <row r="99" spans="1:70" ht="15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8"/>
      <c r="AL99" s="78"/>
      <c r="AM99" s="78"/>
      <c r="AN99" s="78"/>
      <c r="AO99" s="78"/>
      <c r="AP99" s="78"/>
      <c r="AQ99" s="78"/>
      <c r="AR99" s="78"/>
      <c r="AS99" s="78"/>
      <c r="AT99" s="78"/>
      <c r="AU99" s="78"/>
      <c r="AV99" s="78"/>
      <c r="AW99" s="78"/>
      <c r="AX99" s="78"/>
      <c r="AY99" s="78"/>
      <c r="AZ99" s="78"/>
      <c r="BA99" s="78"/>
      <c r="BB99" s="78"/>
      <c r="BC99" s="78"/>
      <c r="BD99" s="78"/>
      <c r="BE99" s="78"/>
      <c r="BF99" s="78"/>
      <c r="BG99" s="78"/>
      <c r="BH99" s="78"/>
      <c r="BI99" s="78"/>
      <c r="BJ99" s="78"/>
      <c r="BK99" s="78"/>
      <c r="BL99" s="78"/>
      <c r="BM99" s="78"/>
      <c r="BN99" s="78"/>
      <c r="BO99" s="78"/>
      <c r="BP99" s="78"/>
      <c r="BQ99" s="78"/>
      <c r="BR99" s="78"/>
    </row>
    <row r="100" spans="1:70" ht="15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8"/>
      <c r="AK100" s="78"/>
      <c r="AL100" s="78"/>
      <c r="AM100" s="78"/>
      <c r="AN100" s="78"/>
      <c r="AO100" s="78"/>
      <c r="AP100" s="78"/>
      <c r="AQ100" s="78"/>
      <c r="AR100" s="78"/>
      <c r="AS100" s="78"/>
      <c r="AT100" s="78"/>
      <c r="AU100" s="78"/>
      <c r="AV100" s="78"/>
      <c r="AW100" s="78"/>
      <c r="AX100" s="78"/>
      <c r="AY100" s="78"/>
      <c r="AZ100" s="78"/>
      <c r="BA100" s="78"/>
      <c r="BB100" s="78"/>
      <c r="BC100" s="78"/>
      <c r="BD100" s="78"/>
      <c r="BE100" s="78"/>
      <c r="BF100" s="78"/>
      <c r="BG100" s="78"/>
      <c r="BH100" s="78"/>
      <c r="BI100" s="78"/>
      <c r="BJ100" s="78"/>
      <c r="BK100" s="78"/>
      <c r="BL100" s="78"/>
      <c r="BM100" s="78"/>
      <c r="BN100" s="78"/>
      <c r="BO100" s="78"/>
      <c r="BP100" s="78"/>
      <c r="BQ100" s="78"/>
      <c r="BR100" s="78"/>
    </row>
    <row r="101" spans="1:70" ht="15.75" customHeight="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8"/>
      <c r="AK101" s="78"/>
      <c r="AL101" s="78"/>
      <c r="AM101" s="78"/>
      <c r="AN101" s="78"/>
      <c r="AO101" s="78"/>
      <c r="AP101" s="78"/>
      <c r="AQ101" s="78"/>
      <c r="AR101" s="78"/>
      <c r="AS101" s="78"/>
      <c r="AT101" s="78"/>
      <c r="AU101" s="78"/>
      <c r="AV101" s="78"/>
      <c r="AW101" s="78"/>
      <c r="AX101" s="78"/>
      <c r="AY101" s="78"/>
      <c r="AZ101" s="78"/>
      <c r="BA101" s="78"/>
      <c r="BB101" s="78"/>
      <c r="BC101" s="78"/>
      <c r="BD101" s="78"/>
      <c r="BE101" s="78"/>
      <c r="BF101" s="78"/>
      <c r="BG101" s="78"/>
      <c r="BH101" s="78"/>
      <c r="BI101" s="78"/>
      <c r="BJ101" s="78"/>
      <c r="BK101" s="78"/>
      <c r="BL101" s="78"/>
      <c r="BM101" s="78"/>
      <c r="BN101" s="78"/>
      <c r="BO101" s="78"/>
      <c r="BP101" s="78"/>
      <c r="BQ101" s="78"/>
      <c r="BR101" s="78"/>
    </row>
    <row r="102" spans="1:70" ht="15.75" customHeight="1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  <c r="AU102" s="78"/>
      <c r="AV102" s="78"/>
      <c r="AW102" s="78"/>
      <c r="AX102" s="78"/>
      <c r="AY102" s="78"/>
      <c r="AZ102" s="78"/>
      <c r="BA102" s="78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</row>
    <row r="103" spans="1:70" ht="15.75" customHeight="1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8"/>
      <c r="AK103" s="78"/>
      <c r="AL103" s="78"/>
      <c r="AM103" s="78"/>
      <c r="AN103" s="78"/>
      <c r="AO103" s="78"/>
      <c r="AP103" s="78"/>
      <c r="AQ103" s="78"/>
      <c r="AR103" s="78"/>
      <c r="AS103" s="78"/>
      <c r="AT103" s="78"/>
      <c r="AU103" s="78"/>
      <c r="AV103" s="78"/>
      <c r="AW103" s="78"/>
      <c r="AX103" s="78"/>
      <c r="AY103" s="78"/>
      <c r="AZ103" s="78"/>
      <c r="BA103" s="78"/>
      <c r="BB103" s="78"/>
      <c r="BC103" s="78"/>
      <c r="BD103" s="78"/>
      <c r="BE103" s="78"/>
      <c r="BF103" s="78"/>
      <c r="BG103" s="78"/>
      <c r="BH103" s="78"/>
      <c r="BI103" s="78"/>
      <c r="BJ103" s="78"/>
      <c r="BK103" s="78"/>
      <c r="BL103" s="78"/>
      <c r="BM103" s="78"/>
      <c r="BN103" s="78"/>
      <c r="BO103" s="78"/>
      <c r="BP103" s="78"/>
      <c r="BQ103" s="78"/>
      <c r="BR103" s="78"/>
    </row>
    <row r="104" spans="1:70" ht="15.75" customHeight="1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8"/>
      <c r="AK104" s="78"/>
      <c r="AL104" s="78"/>
      <c r="AM104" s="78"/>
      <c r="AN104" s="78"/>
      <c r="AO104" s="78"/>
      <c r="AP104" s="78"/>
      <c r="AQ104" s="78"/>
      <c r="AR104" s="78"/>
      <c r="AS104" s="78"/>
      <c r="AT104" s="78"/>
      <c r="AU104" s="78"/>
      <c r="AV104" s="78"/>
      <c r="AW104" s="78"/>
      <c r="AX104" s="78"/>
      <c r="AY104" s="78"/>
      <c r="AZ104" s="78"/>
      <c r="BA104" s="78"/>
      <c r="BB104" s="78"/>
      <c r="BC104" s="78"/>
      <c r="BD104" s="78"/>
      <c r="BE104" s="78"/>
      <c r="BF104" s="78"/>
      <c r="BG104" s="78"/>
      <c r="BH104" s="78"/>
      <c r="BI104" s="78"/>
      <c r="BJ104" s="78"/>
      <c r="BK104" s="78"/>
      <c r="BL104" s="78"/>
      <c r="BM104" s="78"/>
      <c r="BN104" s="78"/>
      <c r="BO104" s="78"/>
      <c r="BP104" s="78"/>
      <c r="BQ104" s="78"/>
      <c r="BR104" s="78"/>
    </row>
    <row r="105" spans="1:70" ht="15.75" customHeight="1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8"/>
      <c r="AK105" s="78"/>
      <c r="AL105" s="78"/>
      <c r="AM105" s="78"/>
      <c r="AN105" s="78"/>
      <c r="AO105" s="78"/>
      <c r="AP105" s="78"/>
      <c r="AQ105" s="78"/>
      <c r="AR105" s="78"/>
      <c r="AS105" s="78"/>
      <c r="AT105" s="78"/>
      <c r="AU105" s="78"/>
      <c r="AV105" s="78"/>
      <c r="AW105" s="78"/>
      <c r="AX105" s="78"/>
      <c r="AY105" s="78"/>
      <c r="AZ105" s="78"/>
      <c r="BA105" s="78"/>
      <c r="BB105" s="78"/>
      <c r="BC105" s="78"/>
      <c r="BD105" s="78"/>
      <c r="BE105" s="78"/>
      <c r="BF105" s="78"/>
      <c r="BG105" s="78"/>
      <c r="BH105" s="78"/>
      <c r="BI105" s="78"/>
      <c r="BJ105" s="78"/>
      <c r="BK105" s="78"/>
      <c r="BL105" s="78"/>
      <c r="BM105" s="78"/>
      <c r="BN105" s="78"/>
      <c r="BO105" s="78"/>
      <c r="BP105" s="78"/>
      <c r="BQ105" s="78"/>
      <c r="BR105" s="78"/>
    </row>
    <row r="106" spans="1:70" ht="15.75" customHeight="1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8"/>
      <c r="AK106" s="78"/>
      <c r="AL106" s="78"/>
      <c r="AM106" s="78"/>
      <c r="AN106" s="78"/>
      <c r="AO106" s="78"/>
      <c r="AP106" s="78"/>
      <c r="AQ106" s="78"/>
      <c r="AR106" s="78"/>
      <c r="AS106" s="78"/>
      <c r="AT106" s="78"/>
      <c r="AU106" s="78"/>
      <c r="AV106" s="78"/>
      <c r="AW106" s="78"/>
      <c r="AX106" s="78"/>
      <c r="AY106" s="78"/>
      <c r="AZ106" s="78"/>
      <c r="BA106" s="78"/>
      <c r="BB106" s="78"/>
      <c r="BC106" s="78"/>
      <c r="BD106" s="78"/>
      <c r="BE106" s="78"/>
      <c r="BF106" s="78"/>
      <c r="BG106" s="78"/>
      <c r="BH106" s="78"/>
      <c r="BI106" s="78"/>
      <c r="BJ106" s="78"/>
      <c r="BK106" s="78"/>
      <c r="BL106" s="78"/>
      <c r="BM106" s="78"/>
      <c r="BN106" s="78"/>
      <c r="BO106" s="78"/>
      <c r="BP106" s="78"/>
      <c r="BQ106" s="78"/>
      <c r="BR106" s="78"/>
    </row>
    <row r="107" spans="1:70" ht="15.75" customHeight="1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8"/>
      <c r="AK107" s="78"/>
      <c r="AL107" s="78"/>
      <c r="AM107" s="78"/>
      <c r="AN107" s="78"/>
      <c r="AO107" s="78"/>
      <c r="AP107" s="78"/>
      <c r="AQ107" s="78"/>
      <c r="AR107" s="78"/>
      <c r="AS107" s="78"/>
      <c r="AT107" s="78"/>
      <c r="AU107" s="78"/>
      <c r="AV107" s="78"/>
      <c r="AW107" s="78"/>
      <c r="AX107" s="78"/>
      <c r="AY107" s="78"/>
      <c r="AZ107" s="78"/>
      <c r="BA107" s="78"/>
      <c r="BB107" s="78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78"/>
      <c r="BO107" s="78"/>
      <c r="BP107" s="78"/>
      <c r="BQ107" s="78"/>
      <c r="BR107" s="78"/>
    </row>
    <row r="108" spans="1:70" ht="15.75" customHeight="1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8"/>
      <c r="AK108" s="78"/>
      <c r="AL108" s="78"/>
      <c r="AM108" s="78"/>
      <c r="AN108" s="78"/>
      <c r="AO108" s="78"/>
      <c r="AP108" s="78"/>
      <c r="AQ108" s="78"/>
      <c r="AR108" s="78"/>
      <c r="AS108" s="78"/>
      <c r="AT108" s="78"/>
      <c r="AU108" s="78"/>
      <c r="AV108" s="78"/>
      <c r="AW108" s="78"/>
      <c r="AX108" s="78"/>
      <c r="AY108" s="78"/>
      <c r="AZ108" s="78"/>
      <c r="BA108" s="78"/>
      <c r="BB108" s="78"/>
      <c r="BC108" s="78"/>
      <c r="BD108" s="78"/>
      <c r="BE108" s="78"/>
      <c r="BF108" s="78"/>
      <c r="BG108" s="78"/>
      <c r="BH108" s="78"/>
      <c r="BI108" s="78"/>
      <c r="BJ108" s="78"/>
      <c r="BK108" s="78"/>
      <c r="BL108" s="78"/>
      <c r="BM108" s="78"/>
      <c r="BN108" s="78"/>
      <c r="BO108" s="78"/>
      <c r="BP108" s="78"/>
      <c r="BQ108" s="78"/>
      <c r="BR108" s="78"/>
    </row>
    <row r="109" spans="1:70" ht="15.75" customHeight="1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78"/>
      <c r="AK109" s="78"/>
      <c r="AL109" s="78"/>
      <c r="AM109" s="78"/>
      <c r="AN109" s="78"/>
      <c r="AO109" s="78"/>
      <c r="AP109" s="78"/>
      <c r="AQ109" s="78"/>
      <c r="AR109" s="78"/>
      <c r="AS109" s="78"/>
      <c r="AT109" s="78"/>
      <c r="AU109" s="78"/>
      <c r="AV109" s="78"/>
      <c r="AW109" s="78"/>
      <c r="AX109" s="78"/>
      <c r="AY109" s="78"/>
      <c r="AZ109" s="78"/>
      <c r="BA109" s="78"/>
      <c r="BB109" s="78"/>
      <c r="BC109" s="78"/>
      <c r="BD109" s="78"/>
      <c r="BE109" s="78"/>
      <c r="BF109" s="78"/>
      <c r="BG109" s="78"/>
      <c r="BH109" s="78"/>
      <c r="BI109" s="78"/>
      <c r="BJ109" s="78"/>
      <c r="BK109" s="78"/>
      <c r="BL109" s="78"/>
      <c r="BM109" s="78"/>
      <c r="BN109" s="78"/>
      <c r="BO109" s="78"/>
      <c r="BP109" s="78"/>
      <c r="BQ109" s="78"/>
      <c r="BR109" s="78"/>
    </row>
    <row r="110" spans="1:70" ht="15.75" customHeight="1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  <c r="AU110" s="78"/>
      <c r="AV110" s="78"/>
      <c r="AW110" s="78"/>
      <c r="AX110" s="78"/>
      <c r="AY110" s="78"/>
      <c r="AZ110" s="78"/>
      <c r="BA110" s="78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</row>
    <row r="111" spans="1:70" ht="15.75" customHeight="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8"/>
      <c r="AK111" s="78"/>
      <c r="AL111" s="78"/>
      <c r="AM111" s="78"/>
      <c r="AN111" s="78"/>
      <c r="AO111" s="78"/>
      <c r="AP111" s="78"/>
      <c r="AQ111" s="78"/>
      <c r="AR111" s="78"/>
      <c r="AS111" s="78"/>
      <c r="AT111" s="78"/>
      <c r="AU111" s="78"/>
      <c r="AV111" s="78"/>
      <c r="AW111" s="78"/>
      <c r="AX111" s="78"/>
      <c r="AY111" s="78"/>
      <c r="AZ111" s="78"/>
      <c r="BA111" s="78"/>
      <c r="BB111" s="78"/>
      <c r="BC111" s="78"/>
      <c r="BD111" s="78"/>
      <c r="BE111" s="78"/>
      <c r="BF111" s="78"/>
      <c r="BG111" s="78"/>
      <c r="BH111" s="78"/>
      <c r="BI111" s="78"/>
      <c r="BJ111" s="78"/>
      <c r="BK111" s="78"/>
      <c r="BL111" s="78"/>
      <c r="BM111" s="78"/>
      <c r="BN111" s="78"/>
      <c r="BO111" s="78"/>
      <c r="BP111" s="78"/>
      <c r="BQ111" s="78"/>
      <c r="BR111" s="78"/>
    </row>
    <row r="112" spans="1:70" ht="15.75" customHeight="1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  <c r="AU112" s="78"/>
      <c r="AV112" s="78"/>
      <c r="AW112" s="78"/>
      <c r="AX112" s="78"/>
      <c r="AY112" s="78"/>
      <c r="AZ112" s="78"/>
      <c r="BA112" s="78"/>
      <c r="BB112" s="78"/>
      <c r="BC112" s="78"/>
      <c r="BD112" s="78"/>
      <c r="BE112" s="78"/>
      <c r="BF112" s="78"/>
      <c r="BG112" s="78"/>
      <c r="BH112" s="78"/>
      <c r="BI112" s="78"/>
      <c r="BJ112" s="78"/>
      <c r="BK112" s="78"/>
      <c r="BL112" s="78"/>
      <c r="BM112" s="78"/>
      <c r="BN112" s="78"/>
      <c r="BO112" s="78"/>
      <c r="BP112" s="78"/>
      <c r="BQ112" s="78"/>
      <c r="BR112" s="78"/>
    </row>
    <row r="113" spans="1:70" ht="15.75" customHeight="1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8"/>
      <c r="AK113" s="78"/>
      <c r="AL113" s="78"/>
      <c r="AM113" s="78"/>
      <c r="AN113" s="78"/>
      <c r="AO113" s="78"/>
      <c r="AP113" s="78"/>
      <c r="AQ113" s="78"/>
      <c r="AR113" s="78"/>
      <c r="AS113" s="78"/>
      <c r="AT113" s="78"/>
      <c r="AU113" s="78"/>
      <c r="AV113" s="78"/>
      <c r="AW113" s="78"/>
      <c r="AX113" s="78"/>
      <c r="AY113" s="78"/>
      <c r="AZ113" s="78"/>
      <c r="BA113" s="78"/>
      <c r="BB113" s="78"/>
      <c r="BC113" s="78"/>
      <c r="BD113" s="78"/>
      <c r="BE113" s="78"/>
      <c r="BF113" s="78"/>
      <c r="BG113" s="78"/>
      <c r="BH113" s="78"/>
      <c r="BI113" s="78"/>
      <c r="BJ113" s="78"/>
      <c r="BK113" s="78"/>
      <c r="BL113" s="78"/>
      <c r="BM113" s="78"/>
      <c r="BN113" s="78"/>
      <c r="BO113" s="78"/>
      <c r="BP113" s="78"/>
      <c r="BQ113" s="78"/>
      <c r="BR113" s="78"/>
    </row>
    <row r="114" spans="1:70" ht="15.75" customHeight="1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8"/>
      <c r="AK114" s="78"/>
      <c r="AL114" s="78"/>
      <c r="AM114" s="78"/>
      <c r="AN114" s="78"/>
      <c r="AO114" s="78"/>
      <c r="AP114" s="78"/>
      <c r="AQ114" s="78"/>
      <c r="AR114" s="78"/>
      <c r="AS114" s="78"/>
      <c r="AT114" s="78"/>
      <c r="AU114" s="78"/>
      <c r="AV114" s="78"/>
      <c r="AW114" s="78"/>
      <c r="AX114" s="78"/>
      <c r="AY114" s="78"/>
      <c r="AZ114" s="78"/>
      <c r="BA114" s="78"/>
      <c r="BB114" s="78"/>
      <c r="BC114" s="78"/>
      <c r="BD114" s="78"/>
      <c r="BE114" s="78"/>
      <c r="BF114" s="78"/>
      <c r="BG114" s="78"/>
      <c r="BH114" s="78"/>
      <c r="BI114" s="78"/>
      <c r="BJ114" s="78"/>
      <c r="BK114" s="78"/>
      <c r="BL114" s="78"/>
      <c r="BM114" s="78"/>
      <c r="BN114" s="78"/>
      <c r="BO114" s="78"/>
      <c r="BP114" s="78"/>
      <c r="BQ114" s="78"/>
      <c r="BR114" s="78"/>
    </row>
    <row r="115" spans="1:70" ht="15.75" customHeight="1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78"/>
      <c r="AK115" s="78"/>
      <c r="AL115" s="78"/>
      <c r="AM115" s="78"/>
      <c r="AN115" s="78"/>
      <c r="AO115" s="78"/>
      <c r="AP115" s="78"/>
      <c r="AQ115" s="78"/>
      <c r="AR115" s="78"/>
      <c r="AS115" s="78"/>
      <c r="AT115" s="78"/>
      <c r="AU115" s="78"/>
      <c r="AV115" s="78"/>
      <c r="AW115" s="78"/>
      <c r="AX115" s="78"/>
      <c r="AY115" s="78"/>
      <c r="AZ115" s="78"/>
      <c r="BA115" s="78"/>
      <c r="BB115" s="78"/>
      <c r="BC115" s="78"/>
      <c r="BD115" s="78"/>
      <c r="BE115" s="78"/>
      <c r="BF115" s="78"/>
      <c r="BG115" s="78"/>
      <c r="BH115" s="78"/>
      <c r="BI115" s="78"/>
      <c r="BJ115" s="78"/>
      <c r="BK115" s="78"/>
      <c r="BL115" s="78"/>
      <c r="BM115" s="78"/>
      <c r="BN115" s="78"/>
      <c r="BO115" s="78"/>
      <c r="BP115" s="78"/>
      <c r="BQ115" s="78"/>
      <c r="BR115" s="78"/>
    </row>
    <row r="116" spans="1:70" ht="15.75" customHeight="1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8"/>
      <c r="AK116" s="78"/>
      <c r="AL116" s="78"/>
      <c r="AM116" s="78"/>
      <c r="AN116" s="78"/>
      <c r="AO116" s="78"/>
      <c r="AP116" s="78"/>
      <c r="AQ116" s="78"/>
      <c r="AR116" s="78"/>
      <c r="AS116" s="78"/>
      <c r="AT116" s="78"/>
      <c r="AU116" s="78"/>
      <c r="AV116" s="78"/>
      <c r="AW116" s="78"/>
      <c r="AX116" s="78"/>
      <c r="AY116" s="78"/>
      <c r="AZ116" s="78"/>
      <c r="BA116" s="78"/>
      <c r="BB116" s="78"/>
      <c r="BC116" s="78"/>
      <c r="BD116" s="78"/>
      <c r="BE116" s="78"/>
      <c r="BF116" s="78"/>
      <c r="BG116" s="78"/>
      <c r="BH116" s="78"/>
      <c r="BI116" s="78"/>
      <c r="BJ116" s="78"/>
      <c r="BK116" s="78"/>
      <c r="BL116" s="78"/>
      <c r="BM116" s="78"/>
      <c r="BN116" s="78"/>
      <c r="BO116" s="78"/>
      <c r="BP116" s="78"/>
      <c r="BQ116" s="78"/>
      <c r="BR116" s="78"/>
    </row>
    <row r="117" spans="1:70" ht="15.75" customHeight="1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78"/>
      <c r="AL117" s="78"/>
      <c r="AM117" s="78"/>
      <c r="AN117" s="78"/>
      <c r="AO117" s="78"/>
      <c r="AP117" s="78"/>
      <c r="AQ117" s="78"/>
      <c r="AR117" s="78"/>
      <c r="AS117" s="78"/>
      <c r="AT117" s="78"/>
      <c r="AU117" s="78"/>
      <c r="AV117" s="78"/>
      <c r="AW117" s="78"/>
      <c r="AX117" s="78"/>
      <c r="AY117" s="78"/>
      <c r="AZ117" s="78"/>
      <c r="BA117" s="78"/>
      <c r="BB117" s="78"/>
      <c r="BC117" s="78"/>
      <c r="BD117" s="78"/>
      <c r="BE117" s="78"/>
      <c r="BF117" s="78"/>
      <c r="BG117" s="78"/>
      <c r="BH117" s="78"/>
      <c r="BI117" s="78"/>
      <c r="BJ117" s="78"/>
      <c r="BK117" s="78"/>
      <c r="BL117" s="78"/>
      <c r="BM117" s="78"/>
      <c r="BN117" s="78"/>
      <c r="BO117" s="78"/>
      <c r="BP117" s="78"/>
      <c r="BQ117" s="78"/>
      <c r="BR117" s="78"/>
    </row>
    <row r="118" spans="1:70" ht="15.75" customHeight="1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  <c r="AU118" s="78"/>
      <c r="AV118" s="78"/>
      <c r="AW118" s="78"/>
      <c r="AX118" s="78"/>
      <c r="AY118" s="78"/>
      <c r="AZ118" s="78"/>
      <c r="BA118" s="78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</row>
    <row r="119" spans="1:70" ht="15.75" customHeight="1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  <c r="BJ119" s="78"/>
      <c r="BK119" s="78"/>
      <c r="BL119" s="78"/>
      <c r="BM119" s="78"/>
      <c r="BN119" s="78"/>
      <c r="BO119" s="78"/>
      <c r="BP119" s="78"/>
      <c r="BQ119" s="78"/>
      <c r="BR119" s="78"/>
    </row>
    <row r="120" spans="1:70" ht="15.75" customHeight="1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  <c r="BH120" s="78"/>
      <c r="BI120" s="78"/>
      <c r="BJ120" s="78"/>
      <c r="BK120" s="78"/>
      <c r="BL120" s="78"/>
      <c r="BM120" s="78"/>
      <c r="BN120" s="78"/>
      <c r="BO120" s="78"/>
      <c r="BP120" s="78"/>
      <c r="BQ120" s="78"/>
      <c r="BR120" s="78"/>
    </row>
    <row r="121" spans="1:70" ht="15.75" customHeight="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  <c r="BJ121" s="78"/>
      <c r="BK121" s="78"/>
      <c r="BL121" s="78"/>
      <c r="BM121" s="78"/>
      <c r="BN121" s="78"/>
      <c r="BO121" s="78"/>
      <c r="BP121" s="78"/>
      <c r="BQ121" s="78"/>
      <c r="BR121" s="78"/>
    </row>
    <row r="122" spans="1:70" ht="15.75" customHeight="1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  <c r="BJ122" s="78"/>
      <c r="BK122" s="78"/>
      <c r="BL122" s="78"/>
      <c r="BM122" s="78"/>
      <c r="BN122" s="78"/>
      <c r="BO122" s="78"/>
      <c r="BP122" s="78"/>
      <c r="BQ122" s="78"/>
      <c r="BR122" s="78"/>
    </row>
    <row r="123" spans="1:70" ht="15.75" customHeight="1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  <c r="BJ123" s="78"/>
      <c r="BK123" s="78"/>
      <c r="BL123" s="78"/>
      <c r="BM123" s="78"/>
      <c r="BN123" s="78"/>
      <c r="BO123" s="78"/>
      <c r="BP123" s="78"/>
      <c r="BQ123" s="78"/>
      <c r="BR123" s="78"/>
    </row>
    <row r="124" spans="1:70" ht="15.75" customHeight="1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  <c r="BJ124" s="78"/>
      <c r="BK124" s="78"/>
      <c r="BL124" s="78"/>
      <c r="BM124" s="78"/>
      <c r="BN124" s="78"/>
      <c r="BO124" s="78"/>
      <c r="BP124" s="78"/>
      <c r="BQ124" s="78"/>
      <c r="BR124" s="78"/>
    </row>
    <row r="125" spans="1:70" ht="15.75" customHeight="1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  <c r="BJ125" s="78"/>
      <c r="BK125" s="78"/>
      <c r="BL125" s="78"/>
      <c r="BM125" s="78"/>
      <c r="BN125" s="78"/>
      <c r="BO125" s="78"/>
      <c r="BP125" s="78"/>
      <c r="BQ125" s="78"/>
      <c r="BR125" s="78"/>
    </row>
    <row r="126" spans="1:70" ht="15.75" customHeight="1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</row>
    <row r="127" spans="1:70" ht="15.75" customHeight="1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  <c r="BJ127" s="78"/>
      <c r="BK127" s="78"/>
      <c r="BL127" s="78"/>
      <c r="BM127" s="78"/>
      <c r="BN127" s="78"/>
      <c r="BO127" s="78"/>
      <c r="BP127" s="78"/>
      <c r="BQ127" s="78"/>
      <c r="BR127" s="78"/>
    </row>
    <row r="128" spans="1:70" ht="15.75" customHeight="1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/>
      <c r="AW128" s="78"/>
      <c r="AX128" s="78"/>
      <c r="AY128" s="78"/>
      <c r="AZ128" s="78"/>
      <c r="BA128" s="78"/>
      <c r="BB128" s="78"/>
      <c r="BC128" s="78"/>
      <c r="BD128" s="78"/>
      <c r="BE128" s="78"/>
      <c r="BF128" s="78"/>
      <c r="BG128" s="78"/>
      <c r="BH128" s="78"/>
      <c r="BI128" s="78"/>
      <c r="BJ128" s="78"/>
      <c r="BK128" s="78"/>
      <c r="BL128" s="78"/>
      <c r="BM128" s="78"/>
      <c r="BN128" s="78"/>
      <c r="BO128" s="78"/>
      <c r="BP128" s="78"/>
      <c r="BQ128" s="78"/>
      <c r="BR128" s="78"/>
    </row>
    <row r="129" spans="1:70" ht="15.75" customHeight="1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8"/>
      <c r="AT129" s="78"/>
      <c r="AU129" s="78"/>
      <c r="AV129" s="78"/>
      <c r="AW129" s="78"/>
      <c r="AX129" s="78"/>
      <c r="AY129" s="78"/>
      <c r="AZ129" s="78"/>
      <c r="BA129" s="78"/>
      <c r="BB129" s="78"/>
      <c r="BC129" s="78"/>
      <c r="BD129" s="78"/>
      <c r="BE129" s="78"/>
      <c r="BF129" s="78"/>
      <c r="BG129" s="78"/>
      <c r="BH129" s="78"/>
      <c r="BI129" s="78"/>
      <c r="BJ129" s="78"/>
      <c r="BK129" s="78"/>
      <c r="BL129" s="78"/>
      <c r="BM129" s="78"/>
      <c r="BN129" s="78"/>
      <c r="BO129" s="78"/>
      <c r="BP129" s="78"/>
      <c r="BQ129" s="78"/>
      <c r="BR129" s="78"/>
    </row>
    <row r="130" spans="1:70" ht="15.75" customHeight="1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8"/>
      <c r="AT130" s="78"/>
      <c r="AU130" s="78"/>
      <c r="AV130" s="78"/>
      <c r="AW130" s="78"/>
      <c r="AX130" s="78"/>
      <c r="AY130" s="78"/>
      <c r="AZ130" s="78"/>
      <c r="BA130" s="78"/>
      <c r="BB130" s="78"/>
      <c r="BC130" s="78"/>
      <c r="BD130" s="78"/>
      <c r="BE130" s="78"/>
      <c r="BF130" s="78"/>
      <c r="BG130" s="78"/>
      <c r="BH130" s="78"/>
      <c r="BI130" s="78"/>
      <c r="BJ130" s="78"/>
      <c r="BK130" s="78"/>
      <c r="BL130" s="78"/>
      <c r="BM130" s="78"/>
      <c r="BN130" s="78"/>
      <c r="BO130" s="78"/>
      <c r="BP130" s="78"/>
      <c r="BQ130" s="78"/>
      <c r="BR130" s="78"/>
    </row>
    <row r="131" spans="1:70" ht="15.75" customHeight="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78"/>
      <c r="AK131" s="78"/>
      <c r="AL131" s="78"/>
      <c r="AM131" s="78"/>
      <c r="AN131" s="78"/>
      <c r="AO131" s="78"/>
      <c r="AP131" s="78"/>
      <c r="AQ131" s="78"/>
      <c r="AR131" s="78"/>
      <c r="AS131" s="78"/>
      <c r="AT131" s="78"/>
      <c r="AU131" s="78"/>
      <c r="AV131" s="78"/>
      <c r="AW131" s="78"/>
      <c r="AX131" s="78"/>
      <c r="AY131" s="78"/>
      <c r="AZ131" s="78"/>
      <c r="BA131" s="78"/>
      <c r="BB131" s="78"/>
      <c r="BC131" s="78"/>
      <c r="BD131" s="78"/>
      <c r="BE131" s="78"/>
      <c r="BF131" s="78"/>
      <c r="BG131" s="78"/>
      <c r="BH131" s="78"/>
      <c r="BI131" s="78"/>
      <c r="BJ131" s="78"/>
      <c r="BK131" s="78"/>
      <c r="BL131" s="78"/>
      <c r="BM131" s="78"/>
      <c r="BN131" s="78"/>
      <c r="BO131" s="78"/>
      <c r="BP131" s="78"/>
      <c r="BQ131" s="78"/>
      <c r="BR131" s="78"/>
    </row>
    <row r="132" spans="1:70" ht="15.75" customHeight="1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  <c r="AI132" s="78"/>
      <c r="AJ132" s="78"/>
      <c r="AK132" s="78"/>
      <c r="AL132" s="78"/>
      <c r="AM132" s="78"/>
      <c r="AN132" s="78"/>
      <c r="AO132" s="78"/>
      <c r="AP132" s="78"/>
      <c r="AQ132" s="78"/>
      <c r="AR132" s="78"/>
      <c r="AS132" s="78"/>
      <c r="AT132" s="78"/>
      <c r="AU132" s="78"/>
      <c r="AV132" s="78"/>
      <c r="AW132" s="78"/>
      <c r="AX132" s="78"/>
      <c r="AY132" s="78"/>
      <c r="AZ132" s="78"/>
      <c r="BA132" s="78"/>
      <c r="BB132" s="78"/>
      <c r="BC132" s="78"/>
      <c r="BD132" s="78"/>
      <c r="BE132" s="78"/>
      <c r="BF132" s="78"/>
      <c r="BG132" s="78"/>
      <c r="BH132" s="78"/>
      <c r="BI132" s="78"/>
      <c r="BJ132" s="78"/>
      <c r="BK132" s="78"/>
      <c r="BL132" s="78"/>
      <c r="BM132" s="78"/>
      <c r="BN132" s="78"/>
      <c r="BO132" s="78"/>
      <c r="BP132" s="78"/>
      <c r="BQ132" s="78"/>
      <c r="BR132" s="78"/>
    </row>
    <row r="133" spans="1:70" ht="15.75" customHeight="1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8"/>
      <c r="AK133" s="78"/>
      <c r="AL133" s="78"/>
      <c r="AM133" s="78"/>
      <c r="AN133" s="78"/>
      <c r="AO133" s="78"/>
      <c r="AP133" s="78"/>
      <c r="AQ133" s="78"/>
      <c r="AR133" s="78"/>
      <c r="AS133" s="78"/>
      <c r="AT133" s="78"/>
      <c r="AU133" s="78"/>
      <c r="AV133" s="78"/>
      <c r="AW133" s="78"/>
      <c r="AX133" s="78"/>
      <c r="AY133" s="78"/>
      <c r="AZ133" s="78"/>
      <c r="BA133" s="78"/>
      <c r="BB133" s="78"/>
      <c r="BC133" s="78"/>
      <c r="BD133" s="78"/>
      <c r="BE133" s="78"/>
      <c r="BF133" s="78"/>
      <c r="BG133" s="78"/>
      <c r="BH133" s="78"/>
      <c r="BI133" s="78"/>
      <c r="BJ133" s="78"/>
      <c r="BK133" s="78"/>
      <c r="BL133" s="78"/>
      <c r="BM133" s="78"/>
      <c r="BN133" s="78"/>
      <c r="BO133" s="78"/>
      <c r="BP133" s="78"/>
      <c r="BQ133" s="78"/>
      <c r="BR133" s="78"/>
    </row>
    <row r="134" spans="1:70" ht="15.75" customHeight="1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8"/>
      <c r="AK134" s="78"/>
      <c r="AL134" s="78"/>
      <c r="AM134" s="78"/>
      <c r="AN134" s="78"/>
      <c r="AO134" s="78"/>
      <c r="AP134" s="78"/>
      <c r="AQ134" s="78"/>
      <c r="AR134" s="78"/>
      <c r="AS134" s="78"/>
      <c r="AT134" s="78"/>
      <c r="AU134" s="78"/>
      <c r="AV134" s="78"/>
      <c r="AW134" s="78"/>
      <c r="AX134" s="78"/>
      <c r="AY134" s="78"/>
      <c r="AZ134" s="78"/>
      <c r="BA134" s="78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</row>
    <row r="135" spans="1:70" ht="15.75" customHeight="1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78"/>
      <c r="AK135" s="78"/>
      <c r="AL135" s="78"/>
      <c r="AM135" s="78"/>
      <c r="AN135" s="78"/>
      <c r="AO135" s="78"/>
      <c r="AP135" s="78"/>
      <c r="AQ135" s="78"/>
      <c r="AR135" s="78"/>
      <c r="AS135" s="78"/>
      <c r="AT135" s="78"/>
      <c r="AU135" s="78"/>
      <c r="AV135" s="78"/>
      <c r="AW135" s="78"/>
      <c r="AX135" s="78"/>
      <c r="AY135" s="78"/>
      <c r="AZ135" s="78"/>
      <c r="BA135" s="78"/>
      <c r="BB135" s="78"/>
      <c r="BC135" s="78"/>
      <c r="BD135" s="78"/>
      <c r="BE135" s="78"/>
      <c r="BF135" s="78"/>
      <c r="BG135" s="78"/>
      <c r="BH135" s="78"/>
      <c r="BI135" s="78"/>
      <c r="BJ135" s="78"/>
      <c r="BK135" s="78"/>
      <c r="BL135" s="78"/>
      <c r="BM135" s="78"/>
      <c r="BN135" s="78"/>
      <c r="BO135" s="78"/>
      <c r="BP135" s="78"/>
      <c r="BQ135" s="78"/>
      <c r="BR135" s="78"/>
    </row>
    <row r="136" spans="1:70" ht="15.75" customHeight="1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  <c r="AI136" s="78"/>
      <c r="AJ136" s="78"/>
      <c r="AK136" s="78"/>
      <c r="AL136" s="78"/>
      <c r="AM136" s="78"/>
      <c r="AN136" s="78"/>
      <c r="AO136" s="78"/>
      <c r="AP136" s="78"/>
      <c r="AQ136" s="78"/>
      <c r="AR136" s="78"/>
      <c r="AS136" s="78"/>
      <c r="AT136" s="78"/>
      <c r="AU136" s="78"/>
      <c r="AV136" s="78"/>
      <c r="AW136" s="78"/>
      <c r="AX136" s="78"/>
      <c r="AY136" s="78"/>
      <c r="AZ136" s="78"/>
      <c r="BA136" s="78"/>
      <c r="BB136" s="78"/>
      <c r="BC136" s="78"/>
      <c r="BD136" s="78"/>
      <c r="BE136" s="78"/>
      <c r="BF136" s="78"/>
      <c r="BG136" s="78"/>
      <c r="BH136" s="78"/>
      <c r="BI136" s="78"/>
      <c r="BJ136" s="78"/>
      <c r="BK136" s="78"/>
      <c r="BL136" s="78"/>
      <c r="BM136" s="78"/>
      <c r="BN136" s="78"/>
      <c r="BO136" s="78"/>
      <c r="BP136" s="78"/>
      <c r="BQ136" s="78"/>
      <c r="BR136" s="78"/>
    </row>
    <row r="137" spans="1:70" ht="15.75" customHeight="1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/>
      <c r="AQ137" s="78"/>
      <c r="AR137" s="78"/>
      <c r="AS137" s="78"/>
      <c r="AT137" s="78"/>
      <c r="AU137" s="78"/>
      <c r="AV137" s="78"/>
      <c r="AW137" s="78"/>
      <c r="AX137" s="78"/>
      <c r="AY137" s="78"/>
      <c r="AZ137" s="78"/>
      <c r="BA137" s="78"/>
      <c r="BB137" s="78"/>
      <c r="BC137" s="78"/>
      <c r="BD137" s="78"/>
      <c r="BE137" s="78"/>
      <c r="BF137" s="78"/>
      <c r="BG137" s="78"/>
      <c r="BH137" s="78"/>
      <c r="BI137" s="78"/>
      <c r="BJ137" s="78"/>
      <c r="BK137" s="78"/>
      <c r="BL137" s="78"/>
      <c r="BM137" s="78"/>
      <c r="BN137" s="78"/>
      <c r="BO137" s="78"/>
      <c r="BP137" s="78"/>
      <c r="BQ137" s="78"/>
      <c r="BR137" s="78"/>
    </row>
    <row r="138" spans="1:70" ht="15.75" customHeight="1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  <c r="AI138" s="78"/>
      <c r="AJ138" s="78"/>
      <c r="AK138" s="78"/>
      <c r="AL138" s="78"/>
      <c r="AM138" s="78"/>
      <c r="AN138" s="78"/>
      <c r="AO138" s="78"/>
      <c r="AP138" s="78"/>
      <c r="AQ138" s="78"/>
      <c r="AR138" s="78"/>
      <c r="AS138" s="78"/>
      <c r="AT138" s="78"/>
      <c r="AU138" s="78"/>
      <c r="AV138" s="78"/>
      <c r="AW138" s="78"/>
      <c r="AX138" s="78"/>
      <c r="AY138" s="78"/>
      <c r="AZ138" s="78"/>
      <c r="BA138" s="78"/>
      <c r="BB138" s="78"/>
      <c r="BC138" s="78"/>
      <c r="BD138" s="78"/>
      <c r="BE138" s="78"/>
      <c r="BF138" s="78"/>
      <c r="BG138" s="78"/>
      <c r="BH138" s="78"/>
      <c r="BI138" s="78"/>
      <c r="BJ138" s="78"/>
      <c r="BK138" s="78"/>
      <c r="BL138" s="78"/>
      <c r="BM138" s="78"/>
      <c r="BN138" s="78"/>
      <c r="BO138" s="78"/>
      <c r="BP138" s="78"/>
      <c r="BQ138" s="78"/>
      <c r="BR138" s="78"/>
    </row>
    <row r="139" spans="1:70" ht="15.75" customHeight="1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  <c r="AI139" s="78"/>
      <c r="AJ139" s="78"/>
      <c r="AK139" s="78"/>
      <c r="AL139" s="78"/>
      <c r="AM139" s="78"/>
      <c r="AN139" s="78"/>
      <c r="AO139" s="78"/>
      <c r="AP139" s="78"/>
      <c r="AQ139" s="78"/>
      <c r="AR139" s="78"/>
      <c r="AS139" s="78"/>
      <c r="AT139" s="78"/>
      <c r="AU139" s="78"/>
      <c r="AV139" s="78"/>
      <c r="AW139" s="78"/>
      <c r="AX139" s="78"/>
      <c r="AY139" s="78"/>
      <c r="AZ139" s="78"/>
      <c r="BA139" s="78"/>
      <c r="BB139" s="78"/>
      <c r="BC139" s="78"/>
      <c r="BD139" s="78"/>
      <c r="BE139" s="78"/>
      <c r="BF139" s="78"/>
      <c r="BG139" s="78"/>
      <c r="BH139" s="78"/>
      <c r="BI139" s="78"/>
      <c r="BJ139" s="78"/>
      <c r="BK139" s="78"/>
      <c r="BL139" s="78"/>
      <c r="BM139" s="78"/>
      <c r="BN139" s="78"/>
      <c r="BO139" s="78"/>
      <c r="BP139" s="78"/>
      <c r="BQ139" s="78"/>
      <c r="BR139" s="78"/>
    </row>
    <row r="140" spans="1:70" ht="15.75" customHeight="1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78"/>
      <c r="AK140" s="78"/>
      <c r="AL140" s="78"/>
      <c r="AM140" s="78"/>
      <c r="AN140" s="78"/>
      <c r="AO140" s="78"/>
      <c r="AP140" s="78"/>
      <c r="AQ140" s="78"/>
      <c r="AR140" s="78"/>
      <c r="AS140" s="78"/>
      <c r="AT140" s="78"/>
      <c r="AU140" s="78"/>
      <c r="AV140" s="78"/>
      <c r="AW140" s="78"/>
      <c r="AX140" s="78"/>
      <c r="AY140" s="78"/>
      <c r="AZ140" s="78"/>
      <c r="BA140" s="78"/>
      <c r="BB140" s="78"/>
      <c r="BC140" s="78"/>
      <c r="BD140" s="78"/>
      <c r="BE140" s="78"/>
      <c r="BF140" s="78"/>
      <c r="BG140" s="78"/>
      <c r="BH140" s="78"/>
      <c r="BI140" s="78"/>
      <c r="BJ140" s="78"/>
      <c r="BK140" s="78"/>
      <c r="BL140" s="78"/>
      <c r="BM140" s="78"/>
      <c r="BN140" s="78"/>
      <c r="BO140" s="78"/>
      <c r="BP140" s="78"/>
      <c r="BQ140" s="78"/>
      <c r="BR140" s="78"/>
    </row>
    <row r="141" spans="1:70" ht="15.75" customHeight="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  <c r="AI141" s="78"/>
      <c r="AJ141" s="78"/>
      <c r="AK141" s="78"/>
      <c r="AL141" s="78"/>
      <c r="AM141" s="78"/>
      <c r="AN141" s="78"/>
      <c r="AO141" s="78"/>
      <c r="AP141" s="78"/>
      <c r="AQ141" s="78"/>
      <c r="AR141" s="78"/>
      <c r="AS141" s="78"/>
      <c r="AT141" s="78"/>
      <c r="AU141" s="78"/>
      <c r="AV141" s="78"/>
      <c r="AW141" s="78"/>
      <c r="AX141" s="78"/>
      <c r="AY141" s="78"/>
      <c r="AZ141" s="78"/>
      <c r="BA141" s="78"/>
      <c r="BB141" s="78"/>
      <c r="BC141" s="78"/>
      <c r="BD141" s="78"/>
      <c r="BE141" s="78"/>
      <c r="BF141" s="78"/>
      <c r="BG141" s="78"/>
      <c r="BH141" s="78"/>
      <c r="BI141" s="78"/>
      <c r="BJ141" s="78"/>
      <c r="BK141" s="78"/>
      <c r="BL141" s="78"/>
      <c r="BM141" s="78"/>
      <c r="BN141" s="78"/>
      <c r="BO141" s="78"/>
      <c r="BP141" s="78"/>
      <c r="BQ141" s="78"/>
      <c r="BR141" s="78"/>
    </row>
    <row r="142" spans="1:70" ht="15.75" customHeight="1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  <c r="AU142" s="78"/>
      <c r="AV142" s="78"/>
      <c r="AW142" s="78"/>
      <c r="AX142" s="78"/>
      <c r="AY142" s="78"/>
      <c r="AZ142" s="78"/>
      <c r="BA142" s="78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</row>
    <row r="143" spans="1:70" ht="15.75" customHeight="1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8"/>
      <c r="AK143" s="78"/>
      <c r="AL143" s="78"/>
      <c r="AM143" s="78"/>
      <c r="AN143" s="78"/>
      <c r="AO143" s="78"/>
      <c r="AP143" s="78"/>
      <c r="AQ143" s="78"/>
      <c r="AR143" s="78"/>
      <c r="AS143" s="78"/>
      <c r="AT143" s="78"/>
      <c r="AU143" s="78"/>
      <c r="AV143" s="78"/>
      <c r="AW143" s="78"/>
      <c r="AX143" s="78"/>
      <c r="AY143" s="78"/>
      <c r="AZ143" s="78"/>
      <c r="BA143" s="78"/>
      <c r="BB143" s="78"/>
      <c r="BC143" s="78"/>
      <c r="BD143" s="78"/>
      <c r="BE143" s="78"/>
      <c r="BF143" s="78"/>
      <c r="BG143" s="78"/>
      <c r="BH143" s="78"/>
      <c r="BI143" s="78"/>
      <c r="BJ143" s="78"/>
      <c r="BK143" s="78"/>
      <c r="BL143" s="78"/>
      <c r="BM143" s="78"/>
      <c r="BN143" s="78"/>
      <c r="BO143" s="78"/>
      <c r="BP143" s="78"/>
      <c r="BQ143" s="78"/>
      <c r="BR143" s="78"/>
    </row>
    <row r="144" spans="1:70" ht="15.75" customHeight="1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8"/>
      <c r="AK144" s="78"/>
      <c r="AL144" s="78"/>
      <c r="AM144" s="78"/>
      <c r="AN144" s="78"/>
      <c r="AO144" s="78"/>
      <c r="AP144" s="78"/>
      <c r="AQ144" s="78"/>
      <c r="AR144" s="78"/>
      <c r="AS144" s="78"/>
      <c r="AT144" s="78"/>
      <c r="AU144" s="78"/>
      <c r="AV144" s="78"/>
      <c r="AW144" s="78"/>
      <c r="AX144" s="78"/>
      <c r="AY144" s="78"/>
      <c r="AZ144" s="78"/>
      <c r="BA144" s="78"/>
      <c r="BB144" s="78"/>
      <c r="BC144" s="78"/>
      <c r="BD144" s="78"/>
      <c r="BE144" s="78"/>
      <c r="BF144" s="78"/>
      <c r="BG144" s="78"/>
      <c r="BH144" s="78"/>
      <c r="BI144" s="78"/>
      <c r="BJ144" s="78"/>
      <c r="BK144" s="78"/>
      <c r="BL144" s="78"/>
      <c r="BM144" s="78"/>
      <c r="BN144" s="78"/>
      <c r="BO144" s="78"/>
      <c r="BP144" s="78"/>
      <c r="BQ144" s="78"/>
      <c r="BR144" s="78"/>
    </row>
    <row r="145" spans="1:70" ht="15.75" customHeight="1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8"/>
      <c r="AK145" s="78"/>
      <c r="AL145" s="78"/>
      <c r="AM145" s="78"/>
      <c r="AN145" s="78"/>
      <c r="AO145" s="78"/>
      <c r="AP145" s="78"/>
      <c r="AQ145" s="78"/>
      <c r="AR145" s="78"/>
      <c r="AS145" s="78"/>
      <c r="AT145" s="78"/>
      <c r="AU145" s="78"/>
      <c r="AV145" s="78"/>
      <c r="AW145" s="78"/>
      <c r="AX145" s="78"/>
      <c r="AY145" s="78"/>
      <c r="AZ145" s="78"/>
      <c r="BA145" s="78"/>
      <c r="BB145" s="78"/>
      <c r="BC145" s="78"/>
      <c r="BD145" s="78"/>
      <c r="BE145" s="78"/>
      <c r="BF145" s="78"/>
      <c r="BG145" s="78"/>
      <c r="BH145" s="78"/>
      <c r="BI145" s="78"/>
      <c r="BJ145" s="78"/>
      <c r="BK145" s="78"/>
      <c r="BL145" s="78"/>
      <c r="BM145" s="78"/>
      <c r="BN145" s="78"/>
      <c r="BO145" s="78"/>
      <c r="BP145" s="78"/>
      <c r="BQ145" s="78"/>
      <c r="BR145" s="78"/>
    </row>
    <row r="146" spans="1:70" ht="15.75" customHeight="1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  <c r="AI146" s="78"/>
      <c r="AJ146" s="78"/>
      <c r="AK146" s="78"/>
      <c r="AL146" s="78"/>
      <c r="AM146" s="78"/>
      <c r="AN146" s="78"/>
      <c r="AO146" s="78"/>
      <c r="AP146" s="78"/>
      <c r="AQ146" s="78"/>
      <c r="AR146" s="78"/>
      <c r="AS146" s="78"/>
      <c r="AT146" s="78"/>
      <c r="AU146" s="78"/>
      <c r="AV146" s="78"/>
      <c r="AW146" s="78"/>
      <c r="AX146" s="78"/>
      <c r="AY146" s="78"/>
      <c r="AZ146" s="78"/>
      <c r="BA146" s="78"/>
      <c r="BB146" s="78"/>
      <c r="BC146" s="78"/>
      <c r="BD146" s="78"/>
      <c r="BE146" s="78"/>
      <c r="BF146" s="78"/>
      <c r="BG146" s="78"/>
      <c r="BH146" s="78"/>
      <c r="BI146" s="78"/>
      <c r="BJ146" s="78"/>
      <c r="BK146" s="78"/>
      <c r="BL146" s="78"/>
      <c r="BM146" s="78"/>
      <c r="BN146" s="78"/>
      <c r="BO146" s="78"/>
      <c r="BP146" s="78"/>
      <c r="BQ146" s="78"/>
      <c r="BR146" s="78"/>
    </row>
    <row r="147" spans="1:70" ht="15.75" customHeight="1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  <c r="AI147" s="78"/>
      <c r="AJ147" s="78"/>
      <c r="AK147" s="78"/>
      <c r="AL147" s="78"/>
      <c r="AM147" s="78"/>
      <c r="AN147" s="78"/>
      <c r="AO147" s="78"/>
      <c r="AP147" s="78"/>
      <c r="AQ147" s="78"/>
      <c r="AR147" s="78"/>
      <c r="AS147" s="78"/>
      <c r="AT147" s="78"/>
      <c r="AU147" s="78"/>
      <c r="AV147" s="78"/>
      <c r="AW147" s="78"/>
      <c r="AX147" s="78"/>
      <c r="AY147" s="78"/>
      <c r="AZ147" s="78"/>
      <c r="BA147" s="78"/>
      <c r="BB147" s="78"/>
      <c r="BC147" s="78"/>
      <c r="BD147" s="78"/>
      <c r="BE147" s="78"/>
      <c r="BF147" s="78"/>
      <c r="BG147" s="78"/>
      <c r="BH147" s="78"/>
      <c r="BI147" s="78"/>
      <c r="BJ147" s="78"/>
      <c r="BK147" s="78"/>
      <c r="BL147" s="78"/>
      <c r="BM147" s="78"/>
      <c r="BN147" s="78"/>
      <c r="BO147" s="78"/>
      <c r="BP147" s="78"/>
      <c r="BQ147" s="78"/>
      <c r="BR147" s="78"/>
    </row>
    <row r="148" spans="1:70" ht="15.75" customHeight="1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  <c r="AI148" s="78"/>
      <c r="AJ148" s="78"/>
      <c r="AK148" s="78"/>
      <c r="AL148" s="78"/>
      <c r="AM148" s="78"/>
      <c r="AN148" s="78"/>
      <c r="AO148" s="78"/>
      <c r="AP148" s="78"/>
      <c r="AQ148" s="78"/>
      <c r="AR148" s="78"/>
      <c r="AS148" s="78"/>
      <c r="AT148" s="78"/>
      <c r="AU148" s="78"/>
      <c r="AV148" s="78"/>
      <c r="AW148" s="78"/>
      <c r="AX148" s="78"/>
      <c r="AY148" s="78"/>
      <c r="AZ148" s="78"/>
      <c r="BA148" s="78"/>
      <c r="BB148" s="78"/>
      <c r="BC148" s="78"/>
      <c r="BD148" s="78"/>
      <c r="BE148" s="78"/>
      <c r="BF148" s="78"/>
      <c r="BG148" s="78"/>
      <c r="BH148" s="78"/>
      <c r="BI148" s="78"/>
      <c r="BJ148" s="78"/>
      <c r="BK148" s="78"/>
      <c r="BL148" s="78"/>
      <c r="BM148" s="78"/>
      <c r="BN148" s="78"/>
      <c r="BO148" s="78"/>
      <c r="BP148" s="78"/>
      <c r="BQ148" s="78"/>
      <c r="BR148" s="78"/>
    </row>
    <row r="149" spans="1:70" ht="15.75" customHeight="1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  <c r="AI149" s="78"/>
      <c r="AJ149" s="78"/>
      <c r="AK149" s="78"/>
      <c r="AL149" s="78"/>
      <c r="AM149" s="78"/>
      <c r="AN149" s="78"/>
      <c r="AO149" s="78"/>
      <c r="AP149" s="78"/>
      <c r="AQ149" s="78"/>
      <c r="AR149" s="78"/>
      <c r="AS149" s="78"/>
      <c r="AT149" s="78"/>
      <c r="AU149" s="78"/>
      <c r="AV149" s="78"/>
      <c r="AW149" s="78"/>
      <c r="AX149" s="78"/>
      <c r="AY149" s="78"/>
      <c r="AZ149" s="78"/>
      <c r="BA149" s="78"/>
      <c r="BB149" s="78"/>
      <c r="BC149" s="78"/>
      <c r="BD149" s="78"/>
      <c r="BE149" s="78"/>
      <c r="BF149" s="78"/>
      <c r="BG149" s="78"/>
      <c r="BH149" s="78"/>
      <c r="BI149" s="78"/>
      <c r="BJ149" s="78"/>
      <c r="BK149" s="78"/>
      <c r="BL149" s="78"/>
      <c r="BM149" s="78"/>
      <c r="BN149" s="78"/>
      <c r="BO149" s="78"/>
      <c r="BP149" s="78"/>
      <c r="BQ149" s="78"/>
      <c r="BR149" s="78"/>
    </row>
    <row r="150" spans="1:70" ht="15.75" customHeight="1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  <c r="AU150" s="78"/>
      <c r="AV150" s="78"/>
      <c r="AW150" s="78"/>
      <c r="AX150" s="78"/>
      <c r="AY150" s="78"/>
      <c r="AZ150" s="78"/>
      <c r="BA150" s="78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</row>
    <row r="151" spans="1:70" ht="15.75" customHeight="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  <c r="AI151" s="78"/>
      <c r="AJ151" s="78"/>
      <c r="AK151" s="78"/>
      <c r="AL151" s="78"/>
      <c r="AM151" s="78"/>
      <c r="AN151" s="78"/>
      <c r="AO151" s="78"/>
      <c r="AP151" s="78"/>
      <c r="AQ151" s="78"/>
      <c r="AR151" s="78"/>
      <c r="AS151" s="78"/>
      <c r="AT151" s="78"/>
      <c r="AU151" s="78"/>
      <c r="AV151" s="78"/>
      <c r="AW151" s="78"/>
      <c r="AX151" s="78"/>
      <c r="AY151" s="78"/>
      <c r="AZ151" s="78"/>
      <c r="BA151" s="78"/>
      <c r="BB151" s="78"/>
      <c r="BC151" s="78"/>
      <c r="BD151" s="78"/>
      <c r="BE151" s="78"/>
      <c r="BF151" s="78"/>
      <c r="BG151" s="78"/>
      <c r="BH151" s="78"/>
      <c r="BI151" s="78"/>
      <c r="BJ151" s="78"/>
      <c r="BK151" s="78"/>
      <c r="BL151" s="78"/>
      <c r="BM151" s="78"/>
      <c r="BN151" s="78"/>
      <c r="BO151" s="78"/>
      <c r="BP151" s="78"/>
      <c r="BQ151" s="78"/>
      <c r="BR151" s="78"/>
    </row>
    <row r="152" spans="1:70" ht="15.75" customHeight="1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  <c r="AI152" s="78"/>
      <c r="AJ152" s="78"/>
      <c r="AK152" s="78"/>
      <c r="AL152" s="78"/>
      <c r="AM152" s="78"/>
      <c r="AN152" s="78"/>
      <c r="AO152" s="78"/>
      <c r="AP152" s="78"/>
      <c r="AQ152" s="78"/>
      <c r="AR152" s="78"/>
      <c r="AS152" s="78"/>
      <c r="AT152" s="78"/>
      <c r="AU152" s="78"/>
      <c r="AV152" s="78"/>
      <c r="AW152" s="78"/>
      <c r="AX152" s="78"/>
      <c r="AY152" s="78"/>
      <c r="AZ152" s="78"/>
      <c r="BA152" s="78"/>
      <c r="BB152" s="78"/>
      <c r="BC152" s="78"/>
      <c r="BD152" s="78"/>
      <c r="BE152" s="78"/>
      <c r="BF152" s="78"/>
      <c r="BG152" s="78"/>
      <c r="BH152" s="78"/>
      <c r="BI152" s="78"/>
      <c r="BJ152" s="78"/>
      <c r="BK152" s="78"/>
      <c r="BL152" s="78"/>
      <c r="BM152" s="78"/>
      <c r="BN152" s="78"/>
      <c r="BO152" s="78"/>
      <c r="BP152" s="78"/>
      <c r="BQ152" s="78"/>
      <c r="BR152" s="78"/>
    </row>
    <row r="153" spans="1:70" ht="15.75" customHeight="1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/>
      <c r="AD153" s="78"/>
      <c r="AE153" s="78"/>
      <c r="AF153" s="78"/>
      <c r="AG153" s="78"/>
      <c r="AH153" s="78"/>
      <c r="AI153" s="78"/>
      <c r="AJ153" s="78"/>
      <c r="AK153" s="78"/>
      <c r="AL153" s="78"/>
      <c r="AM153" s="78"/>
      <c r="AN153" s="78"/>
      <c r="AO153" s="78"/>
      <c r="AP153" s="78"/>
      <c r="AQ153" s="78"/>
      <c r="AR153" s="78"/>
      <c r="AS153" s="78"/>
      <c r="AT153" s="78"/>
      <c r="AU153" s="78"/>
      <c r="AV153" s="78"/>
      <c r="AW153" s="78"/>
      <c r="AX153" s="78"/>
      <c r="AY153" s="78"/>
      <c r="AZ153" s="78"/>
      <c r="BA153" s="78"/>
      <c r="BB153" s="78"/>
      <c r="BC153" s="78"/>
      <c r="BD153" s="78"/>
      <c r="BE153" s="78"/>
      <c r="BF153" s="78"/>
      <c r="BG153" s="78"/>
      <c r="BH153" s="78"/>
      <c r="BI153" s="78"/>
      <c r="BJ153" s="78"/>
      <c r="BK153" s="78"/>
      <c r="BL153" s="78"/>
      <c r="BM153" s="78"/>
      <c r="BN153" s="78"/>
      <c r="BO153" s="78"/>
      <c r="BP153" s="78"/>
      <c r="BQ153" s="78"/>
      <c r="BR153" s="78"/>
    </row>
    <row r="154" spans="1:70" ht="15.75" customHeight="1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  <c r="AI154" s="78"/>
      <c r="AJ154" s="78"/>
      <c r="AK154" s="78"/>
      <c r="AL154" s="78"/>
      <c r="AM154" s="78"/>
      <c r="AN154" s="78"/>
      <c r="AO154" s="78"/>
      <c r="AP154" s="78"/>
      <c r="AQ154" s="78"/>
      <c r="AR154" s="78"/>
      <c r="AS154" s="78"/>
      <c r="AT154" s="78"/>
      <c r="AU154" s="78"/>
      <c r="AV154" s="78"/>
      <c r="AW154" s="78"/>
      <c r="AX154" s="78"/>
      <c r="AY154" s="78"/>
      <c r="AZ154" s="78"/>
      <c r="BA154" s="78"/>
      <c r="BB154" s="78"/>
      <c r="BC154" s="78"/>
      <c r="BD154" s="78"/>
      <c r="BE154" s="78"/>
      <c r="BF154" s="78"/>
      <c r="BG154" s="78"/>
      <c r="BH154" s="78"/>
      <c r="BI154" s="78"/>
      <c r="BJ154" s="78"/>
      <c r="BK154" s="78"/>
      <c r="BL154" s="78"/>
      <c r="BM154" s="78"/>
      <c r="BN154" s="78"/>
      <c r="BO154" s="78"/>
      <c r="BP154" s="78"/>
      <c r="BQ154" s="78"/>
      <c r="BR154" s="78"/>
    </row>
    <row r="155" spans="1:70" ht="15.75" customHeight="1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  <c r="AI155" s="78"/>
      <c r="AJ155" s="78"/>
      <c r="AK155" s="78"/>
      <c r="AL155" s="78"/>
      <c r="AM155" s="78"/>
      <c r="AN155" s="78"/>
      <c r="AO155" s="78"/>
      <c r="AP155" s="78"/>
      <c r="AQ155" s="78"/>
      <c r="AR155" s="78"/>
      <c r="AS155" s="78"/>
      <c r="AT155" s="78"/>
      <c r="AU155" s="78"/>
      <c r="AV155" s="78"/>
      <c r="AW155" s="78"/>
      <c r="AX155" s="78"/>
      <c r="AY155" s="78"/>
      <c r="AZ155" s="78"/>
      <c r="BA155" s="78"/>
      <c r="BB155" s="78"/>
      <c r="BC155" s="78"/>
      <c r="BD155" s="78"/>
      <c r="BE155" s="78"/>
      <c r="BF155" s="78"/>
      <c r="BG155" s="78"/>
      <c r="BH155" s="78"/>
      <c r="BI155" s="78"/>
      <c r="BJ155" s="78"/>
      <c r="BK155" s="78"/>
      <c r="BL155" s="78"/>
      <c r="BM155" s="78"/>
      <c r="BN155" s="78"/>
      <c r="BO155" s="78"/>
      <c r="BP155" s="78"/>
      <c r="BQ155" s="78"/>
      <c r="BR155" s="78"/>
    </row>
    <row r="156" spans="1:70" ht="15.75" customHeight="1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  <c r="AI156" s="78"/>
      <c r="AJ156" s="78"/>
      <c r="AK156" s="78"/>
      <c r="AL156" s="78"/>
      <c r="AM156" s="78"/>
      <c r="AN156" s="78"/>
      <c r="AO156" s="78"/>
      <c r="AP156" s="78"/>
      <c r="AQ156" s="78"/>
      <c r="AR156" s="78"/>
      <c r="AS156" s="78"/>
      <c r="AT156" s="78"/>
      <c r="AU156" s="78"/>
      <c r="AV156" s="78"/>
      <c r="AW156" s="78"/>
      <c r="AX156" s="78"/>
      <c r="AY156" s="78"/>
      <c r="AZ156" s="78"/>
      <c r="BA156" s="78"/>
      <c r="BB156" s="78"/>
      <c r="BC156" s="78"/>
      <c r="BD156" s="78"/>
      <c r="BE156" s="78"/>
      <c r="BF156" s="78"/>
      <c r="BG156" s="78"/>
      <c r="BH156" s="78"/>
      <c r="BI156" s="78"/>
      <c r="BJ156" s="78"/>
      <c r="BK156" s="78"/>
      <c r="BL156" s="78"/>
      <c r="BM156" s="78"/>
      <c r="BN156" s="78"/>
      <c r="BO156" s="78"/>
      <c r="BP156" s="78"/>
      <c r="BQ156" s="78"/>
      <c r="BR156" s="78"/>
    </row>
    <row r="157" spans="1:70" ht="15.75" customHeight="1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  <c r="AI157" s="78"/>
      <c r="AJ157" s="78"/>
      <c r="AK157" s="78"/>
      <c r="AL157" s="78"/>
      <c r="AM157" s="78"/>
      <c r="AN157" s="78"/>
      <c r="AO157" s="78"/>
      <c r="AP157" s="78"/>
      <c r="AQ157" s="78"/>
      <c r="AR157" s="78"/>
      <c r="AS157" s="78"/>
      <c r="AT157" s="78"/>
      <c r="AU157" s="78"/>
      <c r="AV157" s="78"/>
      <c r="AW157" s="78"/>
      <c r="AX157" s="78"/>
      <c r="AY157" s="78"/>
      <c r="AZ157" s="78"/>
      <c r="BA157" s="78"/>
      <c r="BB157" s="78"/>
      <c r="BC157" s="78"/>
      <c r="BD157" s="78"/>
      <c r="BE157" s="78"/>
      <c r="BF157" s="78"/>
      <c r="BG157" s="78"/>
      <c r="BH157" s="78"/>
      <c r="BI157" s="78"/>
      <c r="BJ157" s="78"/>
      <c r="BK157" s="78"/>
      <c r="BL157" s="78"/>
      <c r="BM157" s="78"/>
      <c r="BN157" s="78"/>
      <c r="BO157" s="78"/>
      <c r="BP157" s="78"/>
      <c r="BQ157" s="78"/>
      <c r="BR157" s="78"/>
    </row>
    <row r="158" spans="1:70" ht="15.75" customHeight="1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  <c r="AS158" s="78"/>
      <c r="AT158" s="78"/>
      <c r="AU158" s="78"/>
      <c r="AV158" s="78"/>
      <c r="AW158" s="78"/>
      <c r="AX158" s="78"/>
      <c r="AY158" s="78"/>
      <c r="AZ158" s="78"/>
      <c r="BA158" s="78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</row>
    <row r="159" spans="1:70" ht="15.75" customHeight="1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  <c r="AI159" s="78"/>
      <c r="AJ159" s="78"/>
      <c r="AK159" s="78"/>
      <c r="AL159" s="78"/>
      <c r="AM159" s="78"/>
      <c r="AN159" s="78"/>
      <c r="AO159" s="78"/>
      <c r="AP159" s="78"/>
      <c r="AQ159" s="78"/>
      <c r="AR159" s="78"/>
      <c r="AS159" s="78"/>
      <c r="AT159" s="78"/>
      <c r="AU159" s="78"/>
      <c r="AV159" s="78"/>
      <c r="AW159" s="78"/>
      <c r="AX159" s="78"/>
      <c r="AY159" s="78"/>
      <c r="AZ159" s="78"/>
      <c r="BA159" s="78"/>
      <c r="BB159" s="78"/>
      <c r="BC159" s="78"/>
      <c r="BD159" s="78"/>
      <c r="BE159" s="78"/>
      <c r="BF159" s="78"/>
      <c r="BG159" s="78"/>
      <c r="BH159" s="78"/>
      <c r="BI159" s="78"/>
      <c r="BJ159" s="78"/>
      <c r="BK159" s="78"/>
      <c r="BL159" s="78"/>
      <c r="BM159" s="78"/>
      <c r="BN159" s="78"/>
      <c r="BO159" s="78"/>
      <c r="BP159" s="78"/>
      <c r="BQ159" s="78"/>
      <c r="BR159" s="78"/>
    </row>
    <row r="160" spans="1:70" ht="15.75" customHeight="1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  <c r="AI160" s="78"/>
      <c r="AJ160" s="78"/>
      <c r="AK160" s="78"/>
      <c r="AL160" s="78"/>
      <c r="AM160" s="78"/>
      <c r="AN160" s="78"/>
      <c r="AO160" s="78"/>
      <c r="AP160" s="78"/>
      <c r="AQ160" s="78"/>
      <c r="AR160" s="78"/>
      <c r="AS160" s="78"/>
      <c r="AT160" s="78"/>
      <c r="AU160" s="78"/>
      <c r="AV160" s="78"/>
      <c r="AW160" s="78"/>
      <c r="AX160" s="78"/>
      <c r="AY160" s="78"/>
      <c r="AZ160" s="78"/>
      <c r="BA160" s="78"/>
      <c r="BB160" s="78"/>
      <c r="BC160" s="78"/>
      <c r="BD160" s="78"/>
      <c r="BE160" s="78"/>
      <c r="BF160" s="78"/>
      <c r="BG160" s="78"/>
      <c r="BH160" s="78"/>
      <c r="BI160" s="78"/>
      <c r="BJ160" s="78"/>
      <c r="BK160" s="78"/>
      <c r="BL160" s="78"/>
      <c r="BM160" s="78"/>
      <c r="BN160" s="78"/>
      <c r="BO160" s="78"/>
      <c r="BP160" s="78"/>
      <c r="BQ160" s="78"/>
      <c r="BR160" s="78"/>
    </row>
    <row r="161" spans="1:70" ht="15.75" customHeight="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78"/>
      <c r="AK161" s="78"/>
      <c r="AL161" s="78"/>
      <c r="AM161" s="78"/>
      <c r="AN161" s="78"/>
      <c r="AO161" s="78"/>
      <c r="AP161" s="78"/>
      <c r="AQ161" s="78"/>
      <c r="AR161" s="78"/>
      <c r="AS161" s="78"/>
      <c r="AT161" s="78"/>
      <c r="AU161" s="78"/>
      <c r="AV161" s="78"/>
      <c r="AW161" s="78"/>
      <c r="AX161" s="78"/>
      <c r="AY161" s="78"/>
      <c r="AZ161" s="78"/>
      <c r="BA161" s="78"/>
      <c r="BB161" s="78"/>
      <c r="BC161" s="78"/>
      <c r="BD161" s="78"/>
      <c r="BE161" s="78"/>
      <c r="BF161" s="78"/>
      <c r="BG161" s="78"/>
      <c r="BH161" s="78"/>
      <c r="BI161" s="78"/>
      <c r="BJ161" s="78"/>
      <c r="BK161" s="78"/>
      <c r="BL161" s="78"/>
      <c r="BM161" s="78"/>
      <c r="BN161" s="78"/>
      <c r="BO161" s="78"/>
      <c r="BP161" s="78"/>
      <c r="BQ161" s="78"/>
      <c r="BR161" s="78"/>
    </row>
    <row r="162" spans="1:70" ht="15.75" customHeight="1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  <c r="AI162" s="78"/>
      <c r="AJ162" s="78"/>
      <c r="AK162" s="78"/>
      <c r="AL162" s="78"/>
      <c r="AM162" s="78"/>
      <c r="AN162" s="78"/>
      <c r="AO162" s="78"/>
      <c r="AP162" s="78"/>
      <c r="AQ162" s="78"/>
      <c r="AR162" s="78"/>
      <c r="AS162" s="78"/>
      <c r="AT162" s="78"/>
      <c r="AU162" s="78"/>
      <c r="AV162" s="78"/>
      <c r="AW162" s="78"/>
      <c r="AX162" s="78"/>
      <c r="AY162" s="78"/>
      <c r="AZ162" s="78"/>
      <c r="BA162" s="78"/>
      <c r="BB162" s="78"/>
      <c r="BC162" s="78"/>
      <c r="BD162" s="78"/>
      <c r="BE162" s="78"/>
      <c r="BF162" s="78"/>
      <c r="BG162" s="78"/>
      <c r="BH162" s="78"/>
      <c r="BI162" s="78"/>
      <c r="BJ162" s="78"/>
      <c r="BK162" s="78"/>
      <c r="BL162" s="78"/>
      <c r="BM162" s="78"/>
      <c r="BN162" s="78"/>
      <c r="BO162" s="78"/>
      <c r="BP162" s="78"/>
      <c r="BQ162" s="78"/>
      <c r="BR162" s="78"/>
    </row>
    <row r="163" spans="1:70" ht="15.75" customHeight="1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78"/>
      <c r="AK163" s="78"/>
      <c r="AL163" s="78"/>
      <c r="AM163" s="78"/>
      <c r="AN163" s="78"/>
      <c r="AO163" s="78"/>
      <c r="AP163" s="78"/>
      <c r="AQ163" s="78"/>
      <c r="AR163" s="78"/>
      <c r="AS163" s="78"/>
      <c r="AT163" s="78"/>
      <c r="AU163" s="78"/>
      <c r="AV163" s="78"/>
      <c r="AW163" s="78"/>
      <c r="AX163" s="78"/>
      <c r="AY163" s="78"/>
      <c r="AZ163" s="78"/>
      <c r="BA163" s="78"/>
      <c r="BB163" s="78"/>
      <c r="BC163" s="78"/>
      <c r="BD163" s="78"/>
      <c r="BE163" s="78"/>
      <c r="BF163" s="78"/>
      <c r="BG163" s="78"/>
      <c r="BH163" s="78"/>
      <c r="BI163" s="78"/>
      <c r="BJ163" s="78"/>
      <c r="BK163" s="78"/>
      <c r="BL163" s="78"/>
      <c r="BM163" s="78"/>
      <c r="BN163" s="78"/>
      <c r="BO163" s="78"/>
      <c r="BP163" s="78"/>
      <c r="BQ163" s="78"/>
      <c r="BR163" s="78"/>
    </row>
    <row r="164" spans="1:70" ht="15.75" customHeight="1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  <c r="AI164" s="78"/>
      <c r="AJ164" s="78"/>
      <c r="AK164" s="78"/>
      <c r="AL164" s="78"/>
      <c r="AM164" s="78"/>
      <c r="AN164" s="78"/>
      <c r="AO164" s="78"/>
      <c r="AP164" s="78"/>
      <c r="AQ164" s="78"/>
      <c r="AR164" s="78"/>
      <c r="AS164" s="78"/>
      <c r="AT164" s="78"/>
      <c r="AU164" s="78"/>
      <c r="AV164" s="78"/>
      <c r="AW164" s="78"/>
      <c r="AX164" s="78"/>
      <c r="AY164" s="78"/>
      <c r="AZ164" s="78"/>
      <c r="BA164" s="78"/>
      <c r="BB164" s="78"/>
      <c r="BC164" s="78"/>
      <c r="BD164" s="78"/>
      <c r="BE164" s="78"/>
      <c r="BF164" s="78"/>
      <c r="BG164" s="78"/>
      <c r="BH164" s="78"/>
      <c r="BI164" s="78"/>
      <c r="BJ164" s="78"/>
      <c r="BK164" s="78"/>
      <c r="BL164" s="78"/>
      <c r="BM164" s="78"/>
      <c r="BN164" s="78"/>
      <c r="BO164" s="78"/>
      <c r="BP164" s="78"/>
      <c r="BQ164" s="78"/>
      <c r="BR164" s="78"/>
    </row>
    <row r="165" spans="1:70" ht="15.75" customHeight="1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  <c r="AI165" s="78"/>
      <c r="AJ165" s="78"/>
      <c r="AK165" s="78"/>
      <c r="AL165" s="78"/>
      <c r="AM165" s="78"/>
      <c r="AN165" s="78"/>
      <c r="AO165" s="78"/>
      <c r="AP165" s="78"/>
      <c r="AQ165" s="78"/>
      <c r="AR165" s="78"/>
      <c r="AS165" s="78"/>
      <c r="AT165" s="78"/>
      <c r="AU165" s="78"/>
      <c r="AV165" s="78"/>
      <c r="AW165" s="78"/>
      <c r="AX165" s="78"/>
      <c r="AY165" s="78"/>
      <c r="AZ165" s="78"/>
      <c r="BA165" s="78"/>
      <c r="BB165" s="78"/>
      <c r="BC165" s="78"/>
      <c r="BD165" s="78"/>
      <c r="BE165" s="78"/>
      <c r="BF165" s="78"/>
      <c r="BG165" s="78"/>
      <c r="BH165" s="78"/>
      <c r="BI165" s="78"/>
      <c r="BJ165" s="78"/>
      <c r="BK165" s="78"/>
      <c r="BL165" s="78"/>
      <c r="BM165" s="78"/>
      <c r="BN165" s="78"/>
      <c r="BO165" s="78"/>
      <c r="BP165" s="78"/>
      <c r="BQ165" s="78"/>
      <c r="BR165" s="78"/>
    </row>
    <row r="166" spans="1:70" ht="15.75" customHeight="1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  <c r="AS166" s="78"/>
      <c r="AT166" s="78"/>
      <c r="AU166" s="78"/>
      <c r="AV166" s="78"/>
      <c r="AW166" s="78"/>
      <c r="AX166" s="78"/>
      <c r="AY166" s="78"/>
      <c r="AZ166" s="78"/>
      <c r="BA166" s="78"/>
      <c r="BB166" s="78"/>
      <c r="BC166" s="78"/>
      <c r="BD166" s="78"/>
      <c r="BE166" s="78"/>
      <c r="BF166" s="78"/>
      <c r="BG166" s="78"/>
      <c r="BH166" s="78"/>
      <c r="BI166" s="78"/>
      <c r="BJ166" s="78"/>
      <c r="BK166" s="78"/>
      <c r="BL166" s="78"/>
      <c r="BM166" s="78"/>
      <c r="BN166" s="78"/>
      <c r="BO166" s="78"/>
      <c r="BP166" s="78"/>
      <c r="BQ166" s="78"/>
      <c r="BR166" s="78"/>
    </row>
    <row r="167" spans="1:70" ht="15.75" customHeight="1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  <c r="AI167" s="78"/>
      <c r="AJ167" s="78"/>
      <c r="AK167" s="78"/>
      <c r="AL167" s="78"/>
      <c r="AM167" s="78"/>
      <c r="AN167" s="78"/>
      <c r="AO167" s="78"/>
      <c r="AP167" s="78"/>
      <c r="AQ167" s="78"/>
      <c r="AR167" s="78"/>
      <c r="AS167" s="78"/>
      <c r="AT167" s="78"/>
      <c r="AU167" s="78"/>
      <c r="AV167" s="78"/>
      <c r="AW167" s="78"/>
      <c r="AX167" s="78"/>
      <c r="AY167" s="78"/>
      <c r="AZ167" s="78"/>
      <c r="BA167" s="78"/>
      <c r="BB167" s="78"/>
      <c r="BC167" s="78"/>
      <c r="BD167" s="78"/>
      <c r="BE167" s="78"/>
      <c r="BF167" s="78"/>
      <c r="BG167" s="78"/>
      <c r="BH167" s="78"/>
      <c r="BI167" s="78"/>
      <c r="BJ167" s="78"/>
      <c r="BK167" s="78"/>
      <c r="BL167" s="78"/>
      <c r="BM167" s="78"/>
      <c r="BN167" s="78"/>
      <c r="BO167" s="78"/>
      <c r="BP167" s="78"/>
      <c r="BQ167" s="78"/>
      <c r="BR167" s="78"/>
    </row>
    <row r="168" spans="1:70" ht="15.75" customHeight="1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  <c r="AI168" s="78"/>
      <c r="AJ168" s="78"/>
      <c r="AK168" s="78"/>
      <c r="AL168" s="78"/>
      <c r="AM168" s="78"/>
      <c r="AN168" s="78"/>
      <c r="AO168" s="78"/>
      <c r="AP168" s="78"/>
      <c r="AQ168" s="78"/>
      <c r="AR168" s="78"/>
      <c r="AS168" s="78"/>
      <c r="AT168" s="78"/>
      <c r="AU168" s="78"/>
      <c r="AV168" s="78"/>
      <c r="AW168" s="78"/>
      <c r="AX168" s="78"/>
      <c r="AY168" s="78"/>
      <c r="AZ168" s="78"/>
      <c r="BA168" s="78"/>
      <c r="BB168" s="78"/>
      <c r="BC168" s="78"/>
      <c r="BD168" s="78"/>
      <c r="BE168" s="78"/>
      <c r="BF168" s="78"/>
      <c r="BG168" s="78"/>
      <c r="BH168" s="78"/>
      <c r="BI168" s="78"/>
      <c r="BJ168" s="78"/>
      <c r="BK168" s="78"/>
      <c r="BL168" s="78"/>
      <c r="BM168" s="78"/>
      <c r="BN168" s="78"/>
      <c r="BO168" s="78"/>
      <c r="BP168" s="78"/>
      <c r="BQ168" s="78"/>
      <c r="BR168" s="78"/>
    </row>
    <row r="169" spans="1:70" ht="15.75" customHeight="1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78"/>
      <c r="AK169" s="78"/>
      <c r="AL169" s="78"/>
      <c r="AM169" s="78"/>
      <c r="AN169" s="78"/>
      <c r="AO169" s="78"/>
      <c r="AP169" s="78"/>
      <c r="AQ169" s="78"/>
      <c r="AR169" s="78"/>
      <c r="AS169" s="78"/>
      <c r="AT169" s="78"/>
      <c r="AU169" s="78"/>
      <c r="AV169" s="78"/>
      <c r="AW169" s="78"/>
      <c r="AX169" s="78"/>
      <c r="AY169" s="78"/>
      <c r="AZ169" s="78"/>
      <c r="BA169" s="78"/>
      <c r="BB169" s="78"/>
      <c r="BC169" s="78"/>
      <c r="BD169" s="78"/>
      <c r="BE169" s="78"/>
      <c r="BF169" s="78"/>
      <c r="BG169" s="78"/>
      <c r="BH169" s="78"/>
      <c r="BI169" s="78"/>
      <c r="BJ169" s="78"/>
      <c r="BK169" s="78"/>
      <c r="BL169" s="78"/>
      <c r="BM169" s="78"/>
      <c r="BN169" s="78"/>
      <c r="BO169" s="78"/>
      <c r="BP169" s="78"/>
      <c r="BQ169" s="78"/>
      <c r="BR169" s="78"/>
    </row>
    <row r="170" spans="1:70" ht="15.75" customHeight="1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  <c r="AI170" s="78"/>
      <c r="AJ170" s="78"/>
      <c r="AK170" s="78"/>
      <c r="AL170" s="78"/>
      <c r="AM170" s="78"/>
      <c r="AN170" s="78"/>
      <c r="AO170" s="78"/>
      <c r="AP170" s="78"/>
      <c r="AQ170" s="78"/>
      <c r="AR170" s="78"/>
      <c r="AS170" s="78"/>
      <c r="AT170" s="78"/>
      <c r="AU170" s="78"/>
      <c r="AV170" s="78"/>
      <c r="AW170" s="78"/>
      <c r="AX170" s="78"/>
      <c r="AY170" s="78"/>
      <c r="AZ170" s="78"/>
      <c r="BA170" s="78"/>
      <c r="BB170" s="78"/>
      <c r="BC170" s="78"/>
      <c r="BD170" s="78"/>
      <c r="BE170" s="78"/>
      <c r="BF170" s="78"/>
      <c r="BG170" s="78"/>
      <c r="BH170" s="78"/>
      <c r="BI170" s="78"/>
      <c r="BJ170" s="78"/>
      <c r="BK170" s="78"/>
      <c r="BL170" s="78"/>
      <c r="BM170" s="78"/>
      <c r="BN170" s="78"/>
      <c r="BO170" s="78"/>
      <c r="BP170" s="78"/>
      <c r="BQ170" s="78"/>
      <c r="BR170" s="78"/>
    </row>
    <row r="171" spans="1:70" ht="15.75" customHeight="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8"/>
      <c r="AK171" s="78"/>
      <c r="AL171" s="78"/>
      <c r="AM171" s="78"/>
      <c r="AN171" s="78"/>
      <c r="AO171" s="78"/>
      <c r="AP171" s="78"/>
      <c r="AQ171" s="78"/>
      <c r="AR171" s="78"/>
      <c r="AS171" s="78"/>
      <c r="AT171" s="78"/>
      <c r="AU171" s="78"/>
      <c r="AV171" s="78"/>
      <c r="AW171" s="78"/>
      <c r="AX171" s="78"/>
      <c r="AY171" s="78"/>
      <c r="AZ171" s="78"/>
      <c r="BA171" s="78"/>
      <c r="BB171" s="78"/>
      <c r="BC171" s="78"/>
      <c r="BD171" s="78"/>
      <c r="BE171" s="78"/>
      <c r="BF171" s="78"/>
      <c r="BG171" s="78"/>
      <c r="BH171" s="78"/>
      <c r="BI171" s="78"/>
      <c r="BJ171" s="78"/>
      <c r="BK171" s="78"/>
      <c r="BL171" s="78"/>
      <c r="BM171" s="78"/>
      <c r="BN171" s="78"/>
      <c r="BO171" s="78"/>
      <c r="BP171" s="78"/>
      <c r="BQ171" s="78"/>
      <c r="BR171" s="78"/>
    </row>
    <row r="172" spans="1:70" ht="15.75" customHeight="1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  <c r="AA172" s="78"/>
      <c r="AB172" s="78"/>
      <c r="AC172" s="78"/>
      <c r="AD172" s="78"/>
      <c r="AE172" s="78"/>
      <c r="AF172" s="78"/>
      <c r="AG172" s="78"/>
      <c r="AH172" s="78"/>
      <c r="AI172" s="78"/>
      <c r="AJ172" s="78"/>
      <c r="AK172" s="78"/>
      <c r="AL172" s="78"/>
      <c r="AM172" s="78"/>
      <c r="AN172" s="78"/>
      <c r="AO172" s="78"/>
      <c r="AP172" s="78"/>
      <c r="AQ172" s="78"/>
      <c r="AR172" s="78"/>
      <c r="AS172" s="78"/>
      <c r="AT172" s="78"/>
      <c r="AU172" s="78"/>
      <c r="AV172" s="78"/>
      <c r="AW172" s="78"/>
      <c r="AX172" s="78"/>
      <c r="AY172" s="78"/>
      <c r="AZ172" s="78"/>
      <c r="BA172" s="78"/>
      <c r="BB172" s="78"/>
      <c r="BC172" s="78"/>
      <c r="BD172" s="78"/>
      <c r="BE172" s="78"/>
      <c r="BF172" s="78"/>
      <c r="BG172" s="78"/>
      <c r="BH172" s="78"/>
      <c r="BI172" s="78"/>
      <c r="BJ172" s="78"/>
      <c r="BK172" s="78"/>
      <c r="BL172" s="78"/>
      <c r="BM172" s="78"/>
      <c r="BN172" s="78"/>
      <c r="BO172" s="78"/>
      <c r="BP172" s="78"/>
      <c r="BQ172" s="78"/>
      <c r="BR172" s="78"/>
    </row>
    <row r="173" spans="1:70" ht="15.75" customHeight="1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  <c r="AI173" s="78"/>
      <c r="AJ173" s="78"/>
      <c r="AK173" s="78"/>
      <c r="AL173" s="78"/>
      <c r="AM173" s="78"/>
      <c r="AN173" s="78"/>
      <c r="AO173" s="78"/>
      <c r="AP173" s="78"/>
      <c r="AQ173" s="78"/>
      <c r="AR173" s="78"/>
      <c r="AS173" s="78"/>
      <c r="AT173" s="78"/>
      <c r="AU173" s="78"/>
      <c r="AV173" s="78"/>
      <c r="AW173" s="78"/>
      <c r="AX173" s="78"/>
      <c r="AY173" s="78"/>
      <c r="AZ173" s="78"/>
      <c r="BA173" s="78"/>
      <c r="BB173" s="78"/>
      <c r="BC173" s="78"/>
      <c r="BD173" s="78"/>
      <c r="BE173" s="78"/>
      <c r="BF173" s="78"/>
      <c r="BG173" s="78"/>
      <c r="BH173" s="78"/>
      <c r="BI173" s="78"/>
      <c r="BJ173" s="78"/>
      <c r="BK173" s="78"/>
      <c r="BL173" s="78"/>
      <c r="BM173" s="78"/>
      <c r="BN173" s="78"/>
      <c r="BO173" s="78"/>
      <c r="BP173" s="78"/>
      <c r="BQ173" s="78"/>
      <c r="BR173" s="78"/>
    </row>
    <row r="174" spans="1:70" ht="15.75" customHeight="1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  <c r="AS174" s="78"/>
      <c r="AT174" s="78"/>
      <c r="AU174" s="78"/>
      <c r="AV174" s="78"/>
      <c r="AW174" s="78"/>
      <c r="AX174" s="78"/>
      <c r="AY174" s="78"/>
      <c r="AZ174" s="78"/>
      <c r="BA174" s="78"/>
      <c r="BB174" s="78"/>
      <c r="BC174" s="78"/>
      <c r="BD174" s="78"/>
      <c r="BE174" s="78"/>
      <c r="BF174" s="78"/>
      <c r="BG174" s="78"/>
      <c r="BH174" s="78"/>
      <c r="BI174" s="78"/>
      <c r="BJ174" s="78"/>
      <c r="BK174" s="78"/>
      <c r="BL174" s="78"/>
      <c r="BM174" s="78"/>
      <c r="BN174" s="78"/>
      <c r="BO174" s="78"/>
      <c r="BP174" s="78"/>
      <c r="BQ174" s="78"/>
      <c r="BR174" s="78"/>
    </row>
    <row r="175" spans="1:70" ht="15.75" customHeight="1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/>
      <c r="AJ175" s="78"/>
      <c r="AK175" s="78"/>
      <c r="AL175" s="78"/>
      <c r="AM175" s="78"/>
      <c r="AN175" s="78"/>
      <c r="AO175" s="78"/>
      <c r="AP175" s="78"/>
      <c r="AQ175" s="78"/>
      <c r="AR175" s="78"/>
      <c r="AS175" s="78"/>
      <c r="AT175" s="78"/>
      <c r="AU175" s="78"/>
      <c r="AV175" s="78"/>
      <c r="AW175" s="78"/>
      <c r="AX175" s="78"/>
      <c r="AY175" s="78"/>
      <c r="AZ175" s="78"/>
      <c r="BA175" s="78"/>
      <c r="BB175" s="78"/>
      <c r="BC175" s="78"/>
      <c r="BD175" s="78"/>
      <c r="BE175" s="78"/>
      <c r="BF175" s="78"/>
      <c r="BG175" s="78"/>
      <c r="BH175" s="78"/>
      <c r="BI175" s="78"/>
      <c r="BJ175" s="78"/>
      <c r="BK175" s="78"/>
      <c r="BL175" s="78"/>
      <c r="BM175" s="78"/>
      <c r="BN175" s="78"/>
      <c r="BO175" s="78"/>
      <c r="BP175" s="78"/>
      <c r="BQ175" s="78"/>
      <c r="BR175" s="78"/>
    </row>
    <row r="176" spans="1:70" ht="15.75" customHeight="1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  <c r="AI176" s="78"/>
      <c r="AJ176" s="78"/>
      <c r="AK176" s="78"/>
      <c r="AL176" s="78"/>
      <c r="AM176" s="78"/>
      <c r="AN176" s="78"/>
      <c r="AO176" s="78"/>
      <c r="AP176" s="78"/>
      <c r="AQ176" s="78"/>
      <c r="AR176" s="78"/>
      <c r="AS176" s="78"/>
      <c r="AT176" s="78"/>
      <c r="AU176" s="78"/>
      <c r="AV176" s="78"/>
      <c r="AW176" s="78"/>
      <c r="AX176" s="78"/>
      <c r="AY176" s="78"/>
      <c r="AZ176" s="78"/>
      <c r="BA176" s="78"/>
      <c r="BB176" s="78"/>
      <c r="BC176" s="78"/>
      <c r="BD176" s="78"/>
      <c r="BE176" s="78"/>
      <c r="BF176" s="78"/>
      <c r="BG176" s="78"/>
      <c r="BH176" s="78"/>
      <c r="BI176" s="78"/>
      <c r="BJ176" s="78"/>
      <c r="BK176" s="78"/>
      <c r="BL176" s="78"/>
      <c r="BM176" s="78"/>
      <c r="BN176" s="78"/>
      <c r="BO176" s="78"/>
      <c r="BP176" s="78"/>
      <c r="BQ176" s="78"/>
      <c r="BR176" s="78"/>
    </row>
    <row r="177" spans="1:70" ht="15.75" customHeight="1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  <c r="AI177" s="78"/>
      <c r="AJ177" s="78"/>
      <c r="AK177" s="78"/>
      <c r="AL177" s="78"/>
      <c r="AM177" s="78"/>
      <c r="AN177" s="78"/>
      <c r="AO177" s="78"/>
      <c r="AP177" s="78"/>
      <c r="AQ177" s="78"/>
      <c r="AR177" s="78"/>
      <c r="AS177" s="78"/>
      <c r="AT177" s="78"/>
      <c r="AU177" s="78"/>
      <c r="AV177" s="78"/>
      <c r="AW177" s="78"/>
      <c r="AX177" s="78"/>
      <c r="AY177" s="78"/>
      <c r="AZ177" s="78"/>
      <c r="BA177" s="78"/>
      <c r="BB177" s="78"/>
      <c r="BC177" s="78"/>
      <c r="BD177" s="78"/>
      <c r="BE177" s="78"/>
      <c r="BF177" s="78"/>
      <c r="BG177" s="78"/>
      <c r="BH177" s="78"/>
      <c r="BI177" s="78"/>
      <c r="BJ177" s="78"/>
      <c r="BK177" s="78"/>
      <c r="BL177" s="78"/>
      <c r="BM177" s="78"/>
      <c r="BN177" s="78"/>
      <c r="BO177" s="78"/>
      <c r="BP177" s="78"/>
      <c r="BQ177" s="78"/>
      <c r="BR177" s="78"/>
    </row>
    <row r="178" spans="1:70" ht="15.75" customHeight="1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  <c r="AI178" s="78"/>
      <c r="AJ178" s="78"/>
      <c r="AK178" s="78"/>
      <c r="AL178" s="78"/>
      <c r="AM178" s="78"/>
      <c r="AN178" s="78"/>
      <c r="AO178" s="78"/>
      <c r="AP178" s="78"/>
      <c r="AQ178" s="78"/>
      <c r="AR178" s="78"/>
      <c r="AS178" s="78"/>
      <c r="AT178" s="78"/>
      <c r="AU178" s="78"/>
      <c r="AV178" s="78"/>
      <c r="AW178" s="78"/>
      <c r="AX178" s="78"/>
      <c r="AY178" s="78"/>
      <c r="AZ178" s="78"/>
      <c r="BA178" s="78"/>
      <c r="BB178" s="78"/>
      <c r="BC178" s="78"/>
      <c r="BD178" s="78"/>
      <c r="BE178" s="78"/>
      <c r="BF178" s="78"/>
      <c r="BG178" s="78"/>
      <c r="BH178" s="78"/>
      <c r="BI178" s="78"/>
      <c r="BJ178" s="78"/>
      <c r="BK178" s="78"/>
      <c r="BL178" s="78"/>
      <c r="BM178" s="78"/>
      <c r="BN178" s="78"/>
      <c r="BO178" s="78"/>
      <c r="BP178" s="78"/>
      <c r="BQ178" s="78"/>
      <c r="BR178" s="78"/>
    </row>
    <row r="179" spans="1:70" ht="15.75" customHeight="1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/>
      <c r="AJ179" s="78"/>
      <c r="AK179" s="78"/>
      <c r="AL179" s="78"/>
      <c r="AM179" s="78"/>
      <c r="AN179" s="78"/>
      <c r="AO179" s="78"/>
      <c r="AP179" s="78"/>
      <c r="AQ179" s="78"/>
      <c r="AR179" s="78"/>
      <c r="AS179" s="78"/>
      <c r="AT179" s="78"/>
      <c r="AU179" s="78"/>
      <c r="AV179" s="78"/>
      <c r="AW179" s="78"/>
      <c r="AX179" s="78"/>
      <c r="AY179" s="78"/>
      <c r="AZ179" s="78"/>
      <c r="BA179" s="78"/>
      <c r="BB179" s="78"/>
      <c r="BC179" s="78"/>
      <c r="BD179" s="78"/>
      <c r="BE179" s="78"/>
      <c r="BF179" s="78"/>
      <c r="BG179" s="78"/>
      <c r="BH179" s="78"/>
      <c r="BI179" s="78"/>
      <c r="BJ179" s="78"/>
      <c r="BK179" s="78"/>
      <c r="BL179" s="78"/>
      <c r="BM179" s="78"/>
      <c r="BN179" s="78"/>
      <c r="BO179" s="78"/>
      <c r="BP179" s="78"/>
      <c r="BQ179" s="78"/>
      <c r="BR179" s="78"/>
    </row>
    <row r="180" spans="1:70" ht="15.75" customHeight="1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  <c r="AI180" s="78"/>
      <c r="AJ180" s="78"/>
      <c r="AK180" s="78"/>
      <c r="AL180" s="78"/>
      <c r="AM180" s="78"/>
      <c r="AN180" s="78"/>
      <c r="AO180" s="78"/>
      <c r="AP180" s="78"/>
      <c r="AQ180" s="78"/>
      <c r="AR180" s="78"/>
      <c r="AS180" s="78"/>
      <c r="AT180" s="78"/>
      <c r="AU180" s="78"/>
      <c r="AV180" s="78"/>
      <c r="AW180" s="78"/>
      <c r="AX180" s="78"/>
      <c r="AY180" s="78"/>
      <c r="AZ180" s="78"/>
      <c r="BA180" s="78"/>
      <c r="BB180" s="78"/>
      <c r="BC180" s="78"/>
      <c r="BD180" s="78"/>
      <c r="BE180" s="78"/>
      <c r="BF180" s="78"/>
      <c r="BG180" s="78"/>
      <c r="BH180" s="78"/>
      <c r="BI180" s="78"/>
      <c r="BJ180" s="78"/>
      <c r="BK180" s="78"/>
      <c r="BL180" s="78"/>
      <c r="BM180" s="78"/>
      <c r="BN180" s="78"/>
      <c r="BO180" s="78"/>
      <c r="BP180" s="78"/>
      <c r="BQ180" s="78"/>
      <c r="BR180" s="78"/>
    </row>
    <row r="181" spans="1:70" ht="15.75" customHeight="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/>
      <c r="AJ181" s="78"/>
      <c r="AK181" s="78"/>
      <c r="AL181" s="78"/>
      <c r="AM181" s="78"/>
      <c r="AN181" s="78"/>
      <c r="AO181" s="78"/>
      <c r="AP181" s="78"/>
      <c r="AQ181" s="78"/>
      <c r="AR181" s="78"/>
      <c r="AS181" s="78"/>
      <c r="AT181" s="78"/>
      <c r="AU181" s="78"/>
      <c r="AV181" s="78"/>
      <c r="AW181" s="78"/>
      <c r="AX181" s="78"/>
      <c r="AY181" s="78"/>
      <c r="AZ181" s="78"/>
      <c r="BA181" s="78"/>
      <c r="BB181" s="78"/>
      <c r="BC181" s="78"/>
      <c r="BD181" s="78"/>
      <c r="BE181" s="78"/>
      <c r="BF181" s="78"/>
      <c r="BG181" s="78"/>
      <c r="BH181" s="78"/>
      <c r="BI181" s="78"/>
      <c r="BJ181" s="78"/>
      <c r="BK181" s="78"/>
      <c r="BL181" s="78"/>
      <c r="BM181" s="78"/>
      <c r="BN181" s="78"/>
      <c r="BO181" s="78"/>
      <c r="BP181" s="78"/>
      <c r="BQ181" s="78"/>
      <c r="BR181" s="78"/>
    </row>
    <row r="182" spans="1:70" ht="15.75" customHeight="1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  <c r="AU182" s="78"/>
      <c r="AV182" s="78"/>
      <c r="AW182" s="78"/>
      <c r="AX182" s="78"/>
      <c r="AY182" s="78"/>
      <c r="AZ182" s="78"/>
      <c r="BA182" s="78"/>
      <c r="BB182" s="78"/>
      <c r="BC182" s="78"/>
      <c r="BD182" s="78"/>
      <c r="BE182" s="78"/>
      <c r="BF182" s="78"/>
      <c r="BG182" s="78"/>
      <c r="BH182" s="78"/>
      <c r="BI182" s="78"/>
      <c r="BJ182" s="78"/>
      <c r="BK182" s="78"/>
      <c r="BL182" s="78"/>
      <c r="BM182" s="78"/>
      <c r="BN182" s="78"/>
      <c r="BO182" s="78"/>
      <c r="BP182" s="78"/>
      <c r="BQ182" s="78"/>
      <c r="BR182" s="78"/>
    </row>
    <row r="183" spans="1:70" ht="15.75" customHeight="1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  <c r="AN183" s="78"/>
      <c r="AO183" s="78"/>
      <c r="AP183" s="78"/>
      <c r="AQ183" s="78"/>
      <c r="AR183" s="78"/>
      <c r="AS183" s="78"/>
      <c r="AT183" s="78"/>
      <c r="AU183" s="78"/>
      <c r="AV183" s="78"/>
      <c r="AW183" s="78"/>
      <c r="AX183" s="78"/>
      <c r="AY183" s="78"/>
      <c r="AZ183" s="78"/>
      <c r="BA183" s="78"/>
      <c r="BB183" s="78"/>
      <c r="BC183" s="78"/>
      <c r="BD183" s="78"/>
      <c r="BE183" s="78"/>
      <c r="BF183" s="78"/>
      <c r="BG183" s="78"/>
      <c r="BH183" s="78"/>
      <c r="BI183" s="78"/>
      <c r="BJ183" s="78"/>
      <c r="BK183" s="78"/>
      <c r="BL183" s="78"/>
      <c r="BM183" s="78"/>
      <c r="BN183" s="78"/>
      <c r="BO183" s="78"/>
      <c r="BP183" s="78"/>
      <c r="BQ183" s="78"/>
      <c r="BR183" s="78"/>
    </row>
    <row r="184" spans="1:70" ht="15.75" customHeight="1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  <c r="AI184" s="78"/>
      <c r="AJ184" s="78"/>
      <c r="AK184" s="78"/>
      <c r="AL184" s="78"/>
      <c r="AM184" s="78"/>
      <c r="AN184" s="78"/>
      <c r="AO184" s="78"/>
      <c r="AP184" s="78"/>
      <c r="AQ184" s="78"/>
      <c r="AR184" s="78"/>
      <c r="AS184" s="78"/>
      <c r="AT184" s="78"/>
      <c r="AU184" s="78"/>
      <c r="AV184" s="78"/>
      <c r="AW184" s="78"/>
      <c r="AX184" s="78"/>
      <c r="AY184" s="78"/>
      <c r="AZ184" s="78"/>
      <c r="BA184" s="78"/>
      <c r="BB184" s="78"/>
      <c r="BC184" s="78"/>
      <c r="BD184" s="78"/>
      <c r="BE184" s="78"/>
      <c r="BF184" s="78"/>
      <c r="BG184" s="78"/>
      <c r="BH184" s="78"/>
      <c r="BI184" s="78"/>
      <c r="BJ184" s="78"/>
      <c r="BK184" s="78"/>
      <c r="BL184" s="78"/>
      <c r="BM184" s="78"/>
      <c r="BN184" s="78"/>
      <c r="BO184" s="78"/>
      <c r="BP184" s="78"/>
      <c r="BQ184" s="78"/>
      <c r="BR184" s="78"/>
    </row>
    <row r="185" spans="1:70" ht="15.75" customHeight="1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8"/>
      <c r="AK185" s="78"/>
      <c r="AL185" s="78"/>
      <c r="AM185" s="78"/>
      <c r="AN185" s="78"/>
      <c r="AO185" s="78"/>
      <c r="AP185" s="78"/>
      <c r="AQ185" s="78"/>
      <c r="AR185" s="78"/>
      <c r="AS185" s="78"/>
      <c r="AT185" s="78"/>
      <c r="AU185" s="78"/>
      <c r="AV185" s="78"/>
      <c r="AW185" s="78"/>
      <c r="AX185" s="78"/>
      <c r="AY185" s="78"/>
      <c r="AZ185" s="78"/>
      <c r="BA185" s="78"/>
      <c r="BB185" s="78"/>
      <c r="BC185" s="78"/>
      <c r="BD185" s="78"/>
      <c r="BE185" s="78"/>
      <c r="BF185" s="78"/>
      <c r="BG185" s="78"/>
      <c r="BH185" s="78"/>
      <c r="BI185" s="78"/>
      <c r="BJ185" s="78"/>
      <c r="BK185" s="78"/>
      <c r="BL185" s="78"/>
      <c r="BM185" s="78"/>
      <c r="BN185" s="78"/>
      <c r="BO185" s="78"/>
      <c r="BP185" s="78"/>
      <c r="BQ185" s="78"/>
      <c r="BR185" s="78"/>
    </row>
    <row r="186" spans="1:70" ht="15.75" customHeight="1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  <c r="AS186" s="78"/>
      <c r="AT186" s="78"/>
      <c r="AU186" s="78"/>
      <c r="AV186" s="78"/>
      <c r="AW186" s="78"/>
      <c r="AX186" s="78"/>
      <c r="AY186" s="78"/>
      <c r="AZ186" s="78"/>
      <c r="BA186" s="78"/>
      <c r="BB186" s="78"/>
      <c r="BC186" s="78"/>
      <c r="BD186" s="78"/>
      <c r="BE186" s="78"/>
      <c r="BF186" s="78"/>
      <c r="BG186" s="78"/>
      <c r="BH186" s="78"/>
      <c r="BI186" s="78"/>
      <c r="BJ186" s="78"/>
      <c r="BK186" s="78"/>
      <c r="BL186" s="78"/>
      <c r="BM186" s="78"/>
      <c r="BN186" s="78"/>
      <c r="BO186" s="78"/>
      <c r="BP186" s="78"/>
      <c r="BQ186" s="78"/>
      <c r="BR186" s="78"/>
    </row>
    <row r="187" spans="1:70" ht="15.75" customHeight="1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/>
      <c r="AJ187" s="78"/>
      <c r="AK187" s="78"/>
      <c r="AL187" s="78"/>
      <c r="AM187" s="78"/>
      <c r="AN187" s="78"/>
      <c r="AO187" s="78"/>
      <c r="AP187" s="78"/>
      <c r="AQ187" s="78"/>
      <c r="AR187" s="78"/>
      <c r="AS187" s="78"/>
      <c r="AT187" s="78"/>
      <c r="AU187" s="78"/>
      <c r="AV187" s="78"/>
      <c r="AW187" s="78"/>
      <c r="AX187" s="78"/>
      <c r="AY187" s="78"/>
      <c r="AZ187" s="78"/>
      <c r="BA187" s="78"/>
      <c r="BB187" s="78"/>
      <c r="BC187" s="78"/>
      <c r="BD187" s="78"/>
      <c r="BE187" s="78"/>
      <c r="BF187" s="78"/>
      <c r="BG187" s="78"/>
      <c r="BH187" s="78"/>
      <c r="BI187" s="78"/>
      <c r="BJ187" s="78"/>
      <c r="BK187" s="78"/>
      <c r="BL187" s="78"/>
      <c r="BM187" s="78"/>
      <c r="BN187" s="78"/>
      <c r="BO187" s="78"/>
      <c r="BP187" s="78"/>
      <c r="BQ187" s="78"/>
      <c r="BR187" s="78"/>
    </row>
    <row r="188" spans="1:70" ht="15.75" customHeight="1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  <c r="AI188" s="78"/>
      <c r="AJ188" s="78"/>
      <c r="AK188" s="78"/>
      <c r="AL188" s="78"/>
      <c r="AM188" s="78"/>
      <c r="AN188" s="78"/>
      <c r="AO188" s="78"/>
      <c r="AP188" s="78"/>
      <c r="AQ188" s="78"/>
      <c r="AR188" s="78"/>
      <c r="AS188" s="78"/>
      <c r="AT188" s="78"/>
      <c r="AU188" s="78"/>
      <c r="AV188" s="78"/>
      <c r="AW188" s="78"/>
      <c r="AX188" s="78"/>
      <c r="AY188" s="78"/>
      <c r="AZ188" s="78"/>
      <c r="BA188" s="78"/>
      <c r="BB188" s="78"/>
      <c r="BC188" s="78"/>
      <c r="BD188" s="78"/>
      <c r="BE188" s="78"/>
      <c r="BF188" s="78"/>
      <c r="BG188" s="78"/>
      <c r="BH188" s="78"/>
      <c r="BI188" s="78"/>
      <c r="BJ188" s="78"/>
      <c r="BK188" s="78"/>
      <c r="BL188" s="78"/>
      <c r="BM188" s="78"/>
      <c r="BN188" s="78"/>
      <c r="BO188" s="78"/>
      <c r="BP188" s="78"/>
      <c r="BQ188" s="78"/>
      <c r="BR188" s="78"/>
    </row>
    <row r="189" spans="1:70" ht="15.75" customHeight="1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/>
      <c r="AJ189" s="78"/>
      <c r="AK189" s="78"/>
      <c r="AL189" s="78"/>
      <c r="AM189" s="78"/>
      <c r="AN189" s="78"/>
      <c r="AO189" s="78"/>
      <c r="AP189" s="78"/>
      <c r="AQ189" s="78"/>
      <c r="AR189" s="78"/>
      <c r="AS189" s="78"/>
      <c r="AT189" s="78"/>
      <c r="AU189" s="78"/>
      <c r="AV189" s="78"/>
      <c r="AW189" s="78"/>
      <c r="AX189" s="78"/>
      <c r="AY189" s="78"/>
      <c r="AZ189" s="78"/>
      <c r="BA189" s="78"/>
      <c r="BB189" s="78"/>
      <c r="BC189" s="78"/>
      <c r="BD189" s="78"/>
      <c r="BE189" s="78"/>
      <c r="BF189" s="78"/>
      <c r="BG189" s="78"/>
      <c r="BH189" s="78"/>
      <c r="BI189" s="78"/>
      <c r="BJ189" s="78"/>
      <c r="BK189" s="78"/>
      <c r="BL189" s="78"/>
      <c r="BM189" s="78"/>
      <c r="BN189" s="78"/>
      <c r="BO189" s="78"/>
      <c r="BP189" s="78"/>
      <c r="BQ189" s="78"/>
      <c r="BR189" s="78"/>
    </row>
    <row r="190" spans="1:70" ht="15.75" customHeight="1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  <c r="AS190" s="78"/>
      <c r="AT190" s="78"/>
      <c r="AU190" s="78"/>
      <c r="AV190" s="78"/>
      <c r="AW190" s="78"/>
      <c r="AX190" s="78"/>
      <c r="AY190" s="78"/>
      <c r="AZ190" s="78"/>
      <c r="BA190" s="78"/>
      <c r="BB190" s="78"/>
      <c r="BC190" s="78"/>
      <c r="BD190" s="78"/>
      <c r="BE190" s="78"/>
      <c r="BF190" s="78"/>
      <c r="BG190" s="78"/>
      <c r="BH190" s="78"/>
      <c r="BI190" s="78"/>
      <c r="BJ190" s="78"/>
      <c r="BK190" s="78"/>
      <c r="BL190" s="78"/>
      <c r="BM190" s="78"/>
      <c r="BN190" s="78"/>
      <c r="BO190" s="78"/>
      <c r="BP190" s="78"/>
      <c r="BQ190" s="78"/>
      <c r="BR190" s="78"/>
    </row>
    <row r="191" spans="1:70" ht="15.75" customHeight="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8"/>
      <c r="AK191" s="78"/>
      <c r="AL191" s="78"/>
      <c r="AM191" s="78"/>
      <c r="AN191" s="78"/>
      <c r="AO191" s="78"/>
      <c r="AP191" s="78"/>
      <c r="AQ191" s="78"/>
      <c r="AR191" s="78"/>
      <c r="AS191" s="78"/>
      <c r="AT191" s="78"/>
      <c r="AU191" s="78"/>
      <c r="AV191" s="78"/>
      <c r="AW191" s="78"/>
      <c r="AX191" s="78"/>
      <c r="AY191" s="78"/>
      <c r="AZ191" s="78"/>
      <c r="BA191" s="78"/>
      <c r="BB191" s="78"/>
      <c r="BC191" s="78"/>
      <c r="BD191" s="78"/>
      <c r="BE191" s="78"/>
      <c r="BF191" s="78"/>
      <c r="BG191" s="78"/>
      <c r="BH191" s="78"/>
      <c r="BI191" s="78"/>
      <c r="BJ191" s="78"/>
      <c r="BK191" s="78"/>
      <c r="BL191" s="78"/>
      <c r="BM191" s="78"/>
      <c r="BN191" s="78"/>
      <c r="BO191" s="78"/>
      <c r="BP191" s="78"/>
      <c r="BQ191" s="78"/>
      <c r="BR191" s="78"/>
    </row>
    <row r="192" spans="1:70" ht="15.75" customHeight="1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  <c r="AA192" s="78"/>
      <c r="AB192" s="78"/>
      <c r="AC192" s="78"/>
      <c r="AD192" s="78"/>
      <c r="AE192" s="78"/>
      <c r="AF192" s="78"/>
      <c r="AG192" s="78"/>
      <c r="AH192" s="78"/>
      <c r="AI192" s="78"/>
      <c r="AJ192" s="78"/>
      <c r="AK192" s="78"/>
      <c r="AL192" s="78"/>
      <c r="AM192" s="78"/>
      <c r="AN192" s="78"/>
      <c r="AO192" s="78"/>
      <c r="AP192" s="78"/>
      <c r="AQ192" s="78"/>
      <c r="AR192" s="78"/>
      <c r="AS192" s="78"/>
      <c r="AT192" s="78"/>
      <c r="AU192" s="78"/>
      <c r="AV192" s="78"/>
      <c r="AW192" s="78"/>
      <c r="AX192" s="78"/>
      <c r="AY192" s="78"/>
      <c r="AZ192" s="78"/>
      <c r="BA192" s="78"/>
      <c r="BB192" s="78"/>
      <c r="BC192" s="78"/>
      <c r="BD192" s="78"/>
      <c r="BE192" s="78"/>
      <c r="BF192" s="78"/>
      <c r="BG192" s="78"/>
      <c r="BH192" s="78"/>
      <c r="BI192" s="78"/>
      <c r="BJ192" s="78"/>
      <c r="BK192" s="78"/>
      <c r="BL192" s="78"/>
      <c r="BM192" s="78"/>
      <c r="BN192" s="78"/>
      <c r="BO192" s="78"/>
      <c r="BP192" s="78"/>
      <c r="BQ192" s="78"/>
      <c r="BR192" s="78"/>
    </row>
    <row r="193" spans="1:70" ht="15.75" customHeight="1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  <c r="AI193" s="78"/>
      <c r="AJ193" s="78"/>
      <c r="AK193" s="78"/>
      <c r="AL193" s="78"/>
      <c r="AM193" s="78"/>
      <c r="AN193" s="78"/>
      <c r="AO193" s="78"/>
      <c r="AP193" s="78"/>
      <c r="AQ193" s="78"/>
      <c r="AR193" s="78"/>
      <c r="AS193" s="78"/>
      <c r="AT193" s="78"/>
      <c r="AU193" s="78"/>
      <c r="AV193" s="78"/>
      <c r="AW193" s="78"/>
      <c r="AX193" s="78"/>
      <c r="AY193" s="78"/>
      <c r="AZ193" s="78"/>
      <c r="BA193" s="78"/>
      <c r="BB193" s="78"/>
      <c r="BC193" s="78"/>
      <c r="BD193" s="78"/>
      <c r="BE193" s="78"/>
      <c r="BF193" s="78"/>
      <c r="BG193" s="78"/>
      <c r="BH193" s="78"/>
      <c r="BI193" s="78"/>
      <c r="BJ193" s="78"/>
      <c r="BK193" s="78"/>
      <c r="BL193" s="78"/>
      <c r="BM193" s="78"/>
      <c r="BN193" s="78"/>
      <c r="BO193" s="78"/>
      <c r="BP193" s="78"/>
      <c r="BQ193" s="78"/>
      <c r="BR193" s="78"/>
    </row>
    <row r="194" spans="1:70" ht="15.75" customHeight="1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  <c r="AI194" s="78"/>
      <c r="AJ194" s="78"/>
      <c r="AK194" s="78"/>
      <c r="AL194" s="78"/>
      <c r="AM194" s="78"/>
      <c r="AN194" s="78"/>
      <c r="AO194" s="78"/>
      <c r="AP194" s="78"/>
      <c r="AQ194" s="78"/>
      <c r="AR194" s="78"/>
      <c r="AS194" s="78"/>
      <c r="AT194" s="78"/>
      <c r="AU194" s="78"/>
      <c r="AV194" s="78"/>
      <c r="AW194" s="78"/>
      <c r="AX194" s="78"/>
      <c r="AY194" s="78"/>
      <c r="AZ194" s="78"/>
      <c r="BA194" s="78"/>
      <c r="BB194" s="78"/>
      <c r="BC194" s="78"/>
      <c r="BD194" s="78"/>
      <c r="BE194" s="78"/>
      <c r="BF194" s="78"/>
      <c r="BG194" s="78"/>
      <c r="BH194" s="78"/>
      <c r="BI194" s="78"/>
      <c r="BJ194" s="78"/>
      <c r="BK194" s="78"/>
      <c r="BL194" s="78"/>
      <c r="BM194" s="78"/>
      <c r="BN194" s="78"/>
      <c r="BO194" s="78"/>
      <c r="BP194" s="78"/>
      <c r="BQ194" s="78"/>
      <c r="BR194" s="78"/>
    </row>
    <row r="195" spans="1:70" ht="15.75" customHeight="1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  <c r="AI195" s="78"/>
      <c r="AJ195" s="78"/>
      <c r="AK195" s="78"/>
      <c r="AL195" s="78"/>
      <c r="AM195" s="78"/>
      <c r="AN195" s="78"/>
      <c r="AO195" s="78"/>
      <c r="AP195" s="78"/>
      <c r="AQ195" s="78"/>
      <c r="AR195" s="78"/>
      <c r="AS195" s="78"/>
      <c r="AT195" s="78"/>
      <c r="AU195" s="78"/>
      <c r="AV195" s="78"/>
      <c r="AW195" s="78"/>
      <c r="AX195" s="78"/>
      <c r="AY195" s="78"/>
      <c r="AZ195" s="78"/>
      <c r="BA195" s="78"/>
      <c r="BB195" s="78"/>
      <c r="BC195" s="78"/>
      <c r="BD195" s="78"/>
      <c r="BE195" s="78"/>
      <c r="BF195" s="78"/>
      <c r="BG195" s="78"/>
      <c r="BH195" s="78"/>
      <c r="BI195" s="78"/>
      <c r="BJ195" s="78"/>
      <c r="BK195" s="78"/>
      <c r="BL195" s="78"/>
      <c r="BM195" s="78"/>
      <c r="BN195" s="78"/>
      <c r="BO195" s="78"/>
      <c r="BP195" s="78"/>
      <c r="BQ195" s="78"/>
      <c r="BR195" s="78"/>
    </row>
    <row r="196" spans="1:70" ht="15.75" customHeight="1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  <c r="AI196" s="78"/>
      <c r="AJ196" s="78"/>
      <c r="AK196" s="78"/>
      <c r="AL196" s="78"/>
      <c r="AM196" s="78"/>
      <c r="AN196" s="78"/>
      <c r="AO196" s="78"/>
      <c r="AP196" s="78"/>
      <c r="AQ196" s="78"/>
      <c r="AR196" s="78"/>
      <c r="AS196" s="78"/>
      <c r="AT196" s="78"/>
      <c r="AU196" s="78"/>
      <c r="AV196" s="78"/>
      <c r="AW196" s="78"/>
      <c r="AX196" s="78"/>
      <c r="AY196" s="78"/>
      <c r="AZ196" s="78"/>
      <c r="BA196" s="78"/>
      <c r="BB196" s="78"/>
      <c r="BC196" s="78"/>
      <c r="BD196" s="78"/>
      <c r="BE196" s="78"/>
      <c r="BF196" s="78"/>
      <c r="BG196" s="78"/>
      <c r="BH196" s="78"/>
      <c r="BI196" s="78"/>
      <c r="BJ196" s="78"/>
      <c r="BK196" s="78"/>
      <c r="BL196" s="78"/>
      <c r="BM196" s="78"/>
      <c r="BN196" s="78"/>
      <c r="BO196" s="78"/>
      <c r="BP196" s="78"/>
      <c r="BQ196" s="78"/>
      <c r="BR196" s="78"/>
    </row>
    <row r="197" spans="1:70" ht="15.75" customHeight="1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  <c r="AI197" s="78"/>
      <c r="AJ197" s="78"/>
      <c r="AK197" s="78"/>
      <c r="AL197" s="78"/>
      <c r="AM197" s="78"/>
      <c r="AN197" s="78"/>
      <c r="AO197" s="78"/>
      <c r="AP197" s="78"/>
      <c r="AQ197" s="78"/>
      <c r="AR197" s="78"/>
      <c r="AS197" s="78"/>
      <c r="AT197" s="78"/>
      <c r="AU197" s="78"/>
      <c r="AV197" s="78"/>
      <c r="AW197" s="78"/>
      <c r="AX197" s="78"/>
      <c r="AY197" s="78"/>
      <c r="AZ197" s="78"/>
      <c r="BA197" s="78"/>
      <c r="BB197" s="78"/>
      <c r="BC197" s="78"/>
      <c r="BD197" s="78"/>
      <c r="BE197" s="78"/>
      <c r="BF197" s="78"/>
      <c r="BG197" s="78"/>
      <c r="BH197" s="78"/>
      <c r="BI197" s="78"/>
      <c r="BJ197" s="78"/>
      <c r="BK197" s="78"/>
      <c r="BL197" s="78"/>
      <c r="BM197" s="78"/>
      <c r="BN197" s="78"/>
      <c r="BO197" s="78"/>
      <c r="BP197" s="78"/>
      <c r="BQ197" s="78"/>
      <c r="BR197" s="78"/>
    </row>
    <row r="198" spans="1:70" ht="15.75" customHeight="1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  <c r="AI198" s="78"/>
      <c r="AJ198" s="78"/>
      <c r="AK198" s="78"/>
      <c r="AL198" s="78"/>
      <c r="AM198" s="78"/>
      <c r="AN198" s="78"/>
      <c r="AO198" s="78"/>
      <c r="AP198" s="78"/>
      <c r="AQ198" s="78"/>
      <c r="AR198" s="78"/>
      <c r="AS198" s="78"/>
      <c r="AT198" s="78"/>
      <c r="AU198" s="78"/>
      <c r="AV198" s="78"/>
      <c r="AW198" s="78"/>
      <c r="AX198" s="78"/>
      <c r="AY198" s="78"/>
      <c r="AZ198" s="78"/>
      <c r="BA198" s="78"/>
      <c r="BB198" s="78"/>
      <c r="BC198" s="78"/>
      <c r="BD198" s="78"/>
      <c r="BE198" s="78"/>
      <c r="BF198" s="78"/>
      <c r="BG198" s="78"/>
      <c r="BH198" s="78"/>
      <c r="BI198" s="78"/>
      <c r="BJ198" s="78"/>
      <c r="BK198" s="78"/>
      <c r="BL198" s="78"/>
      <c r="BM198" s="78"/>
      <c r="BN198" s="78"/>
      <c r="BO198" s="78"/>
      <c r="BP198" s="78"/>
      <c r="BQ198" s="78"/>
      <c r="BR198" s="78"/>
    </row>
    <row r="199" spans="1:70" ht="15.75" customHeight="1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  <c r="AA199" s="78"/>
      <c r="AB199" s="78"/>
      <c r="AC199" s="78"/>
      <c r="AD199" s="78"/>
      <c r="AE199" s="78"/>
      <c r="AF199" s="78"/>
      <c r="AG199" s="78"/>
      <c r="AH199" s="78"/>
      <c r="AI199" s="78"/>
      <c r="AJ199" s="78"/>
      <c r="AK199" s="78"/>
      <c r="AL199" s="78"/>
      <c r="AM199" s="78"/>
      <c r="AN199" s="78"/>
      <c r="AO199" s="78"/>
      <c r="AP199" s="78"/>
      <c r="AQ199" s="78"/>
      <c r="AR199" s="78"/>
      <c r="AS199" s="78"/>
      <c r="AT199" s="78"/>
      <c r="AU199" s="78"/>
      <c r="AV199" s="78"/>
      <c r="AW199" s="78"/>
      <c r="AX199" s="78"/>
      <c r="AY199" s="78"/>
      <c r="AZ199" s="78"/>
      <c r="BA199" s="78"/>
      <c r="BB199" s="78"/>
      <c r="BC199" s="78"/>
      <c r="BD199" s="78"/>
      <c r="BE199" s="78"/>
      <c r="BF199" s="78"/>
      <c r="BG199" s="78"/>
      <c r="BH199" s="78"/>
      <c r="BI199" s="78"/>
      <c r="BJ199" s="78"/>
      <c r="BK199" s="78"/>
      <c r="BL199" s="78"/>
      <c r="BM199" s="78"/>
      <c r="BN199" s="78"/>
      <c r="BO199" s="78"/>
      <c r="BP199" s="78"/>
      <c r="BQ199" s="78"/>
      <c r="BR199" s="78"/>
    </row>
    <row r="200" spans="1:70" ht="15.75" customHeight="1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  <c r="AI200" s="78"/>
      <c r="AJ200" s="78"/>
      <c r="AK200" s="78"/>
      <c r="AL200" s="78"/>
      <c r="AM200" s="78"/>
      <c r="AN200" s="78"/>
      <c r="AO200" s="78"/>
      <c r="AP200" s="78"/>
      <c r="AQ200" s="78"/>
      <c r="AR200" s="78"/>
      <c r="AS200" s="78"/>
      <c r="AT200" s="78"/>
      <c r="AU200" s="78"/>
      <c r="AV200" s="78"/>
      <c r="AW200" s="78"/>
      <c r="AX200" s="78"/>
      <c r="AY200" s="78"/>
      <c r="AZ200" s="78"/>
      <c r="BA200" s="78"/>
      <c r="BB200" s="78"/>
      <c r="BC200" s="78"/>
      <c r="BD200" s="78"/>
      <c r="BE200" s="78"/>
      <c r="BF200" s="78"/>
      <c r="BG200" s="78"/>
      <c r="BH200" s="78"/>
      <c r="BI200" s="78"/>
      <c r="BJ200" s="78"/>
      <c r="BK200" s="78"/>
      <c r="BL200" s="78"/>
      <c r="BM200" s="78"/>
      <c r="BN200" s="78"/>
      <c r="BO200" s="78"/>
      <c r="BP200" s="78"/>
      <c r="BQ200" s="78"/>
      <c r="BR200" s="78"/>
    </row>
    <row r="201" spans="1:70" ht="15.75" customHeight="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  <c r="AI201" s="78"/>
      <c r="AJ201" s="78"/>
      <c r="AK201" s="78"/>
      <c r="AL201" s="78"/>
      <c r="AM201" s="78"/>
      <c r="AN201" s="78"/>
      <c r="AO201" s="78"/>
      <c r="AP201" s="78"/>
      <c r="AQ201" s="78"/>
      <c r="AR201" s="78"/>
      <c r="AS201" s="78"/>
      <c r="AT201" s="78"/>
      <c r="AU201" s="78"/>
      <c r="AV201" s="78"/>
      <c r="AW201" s="78"/>
      <c r="AX201" s="78"/>
      <c r="AY201" s="78"/>
      <c r="AZ201" s="78"/>
      <c r="BA201" s="78"/>
      <c r="BB201" s="78"/>
      <c r="BC201" s="78"/>
      <c r="BD201" s="78"/>
      <c r="BE201" s="78"/>
      <c r="BF201" s="78"/>
      <c r="BG201" s="78"/>
      <c r="BH201" s="78"/>
      <c r="BI201" s="78"/>
      <c r="BJ201" s="78"/>
      <c r="BK201" s="78"/>
      <c r="BL201" s="78"/>
      <c r="BM201" s="78"/>
      <c r="BN201" s="78"/>
      <c r="BO201" s="78"/>
      <c r="BP201" s="78"/>
      <c r="BQ201" s="78"/>
      <c r="BR201" s="78"/>
    </row>
    <row r="202" spans="1:70" ht="15.75" customHeight="1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  <c r="AI202" s="78"/>
      <c r="AJ202" s="78"/>
      <c r="AK202" s="78"/>
      <c r="AL202" s="78"/>
      <c r="AM202" s="78"/>
      <c r="AN202" s="78"/>
      <c r="AO202" s="78"/>
      <c r="AP202" s="78"/>
      <c r="AQ202" s="78"/>
      <c r="AR202" s="78"/>
      <c r="AS202" s="78"/>
      <c r="AT202" s="78"/>
      <c r="AU202" s="78"/>
      <c r="AV202" s="78"/>
      <c r="AW202" s="78"/>
      <c r="AX202" s="78"/>
      <c r="AY202" s="78"/>
      <c r="AZ202" s="78"/>
      <c r="BA202" s="78"/>
      <c r="BB202" s="78"/>
      <c r="BC202" s="78"/>
      <c r="BD202" s="78"/>
      <c r="BE202" s="78"/>
      <c r="BF202" s="78"/>
      <c r="BG202" s="78"/>
      <c r="BH202" s="78"/>
      <c r="BI202" s="78"/>
      <c r="BJ202" s="78"/>
      <c r="BK202" s="78"/>
      <c r="BL202" s="78"/>
      <c r="BM202" s="78"/>
      <c r="BN202" s="78"/>
      <c r="BO202" s="78"/>
      <c r="BP202" s="78"/>
      <c r="BQ202" s="78"/>
      <c r="BR202" s="78"/>
    </row>
    <row r="203" spans="1:70" ht="15.75" customHeight="1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  <c r="AI203" s="78"/>
      <c r="AJ203" s="78"/>
      <c r="AK203" s="78"/>
      <c r="AL203" s="78"/>
      <c r="AM203" s="78"/>
      <c r="AN203" s="78"/>
      <c r="AO203" s="78"/>
      <c r="AP203" s="78"/>
      <c r="AQ203" s="78"/>
      <c r="AR203" s="78"/>
      <c r="AS203" s="78"/>
      <c r="AT203" s="78"/>
      <c r="AU203" s="78"/>
      <c r="AV203" s="78"/>
      <c r="AW203" s="78"/>
      <c r="AX203" s="78"/>
      <c r="AY203" s="78"/>
      <c r="AZ203" s="78"/>
      <c r="BA203" s="78"/>
      <c r="BB203" s="78"/>
      <c r="BC203" s="78"/>
      <c r="BD203" s="78"/>
      <c r="BE203" s="78"/>
      <c r="BF203" s="78"/>
      <c r="BG203" s="78"/>
      <c r="BH203" s="78"/>
      <c r="BI203" s="78"/>
      <c r="BJ203" s="78"/>
      <c r="BK203" s="78"/>
      <c r="BL203" s="78"/>
      <c r="BM203" s="78"/>
      <c r="BN203" s="78"/>
      <c r="BO203" s="78"/>
      <c r="BP203" s="78"/>
      <c r="BQ203" s="78"/>
      <c r="BR203" s="78"/>
    </row>
    <row r="204" spans="1:70" ht="15.75" customHeight="1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  <c r="AI204" s="78"/>
      <c r="AJ204" s="78"/>
      <c r="AK204" s="78"/>
      <c r="AL204" s="78"/>
      <c r="AM204" s="78"/>
      <c r="AN204" s="78"/>
      <c r="AO204" s="78"/>
      <c r="AP204" s="78"/>
      <c r="AQ204" s="78"/>
      <c r="AR204" s="78"/>
      <c r="AS204" s="78"/>
      <c r="AT204" s="78"/>
      <c r="AU204" s="78"/>
      <c r="AV204" s="78"/>
      <c r="AW204" s="78"/>
      <c r="AX204" s="78"/>
      <c r="AY204" s="78"/>
      <c r="AZ204" s="78"/>
      <c r="BA204" s="78"/>
      <c r="BB204" s="78"/>
      <c r="BC204" s="78"/>
      <c r="BD204" s="78"/>
      <c r="BE204" s="78"/>
      <c r="BF204" s="78"/>
      <c r="BG204" s="78"/>
      <c r="BH204" s="78"/>
      <c r="BI204" s="78"/>
      <c r="BJ204" s="78"/>
      <c r="BK204" s="78"/>
      <c r="BL204" s="78"/>
      <c r="BM204" s="78"/>
      <c r="BN204" s="78"/>
      <c r="BO204" s="78"/>
      <c r="BP204" s="78"/>
      <c r="BQ204" s="78"/>
      <c r="BR204" s="78"/>
    </row>
    <row r="205" spans="1:70" ht="15.75" customHeight="1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  <c r="AI205" s="78"/>
      <c r="AJ205" s="78"/>
      <c r="AK205" s="78"/>
      <c r="AL205" s="78"/>
      <c r="AM205" s="78"/>
      <c r="AN205" s="78"/>
      <c r="AO205" s="78"/>
      <c r="AP205" s="78"/>
      <c r="AQ205" s="78"/>
      <c r="AR205" s="78"/>
      <c r="AS205" s="78"/>
      <c r="AT205" s="78"/>
      <c r="AU205" s="78"/>
      <c r="AV205" s="78"/>
      <c r="AW205" s="78"/>
      <c r="AX205" s="78"/>
      <c r="AY205" s="78"/>
      <c r="AZ205" s="78"/>
      <c r="BA205" s="78"/>
      <c r="BB205" s="78"/>
      <c r="BC205" s="78"/>
      <c r="BD205" s="78"/>
      <c r="BE205" s="78"/>
      <c r="BF205" s="78"/>
      <c r="BG205" s="78"/>
      <c r="BH205" s="78"/>
      <c r="BI205" s="78"/>
      <c r="BJ205" s="78"/>
      <c r="BK205" s="78"/>
      <c r="BL205" s="78"/>
      <c r="BM205" s="78"/>
      <c r="BN205" s="78"/>
      <c r="BO205" s="78"/>
      <c r="BP205" s="78"/>
      <c r="BQ205" s="78"/>
      <c r="BR205" s="78"/>
    </row>
    <row r="206" spans="1:70" ht="15.75" customHeight="1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/>
      <c r="AO206" s="78"/>
      <c r="AP206" s="78"/>
      <c r="AQ206" s="78"/>
      <c r="AR206" s="78"/>
      <c r="AS206" s="78"/>
      <c r="AT206" s="78"/>
      <c r="AU206" s="78"/>
      <c r="AV206" s="78"/>
      <c r="AW206" s="78"/>
      <c r="AX206" s="78"/>
      <c r="AY206" s="78"/>
      <c r="AZ206" s="78"/>
      <c r="BA206" s="78"/>
      <c r="BB206" s="78"/>
      <c r="BC206" s="78"/>
      <c r="BD206" s="78"/>
      <c r="BE206" s="78"/>
      <c r="BF206" s="78"/>
      <c r="BG206" s="78"/>
      <c r="BH206" s="78"/>
      <c r="BI206" s="78"/>
      <c r="BJ206" s="78"/>
      <c r="BK206" s="78"/>
      <c r="BL206" s="78"/>
      <c r="BM206" s="78"/>
      <c r="BN206" s="78"/>
      <c r="BO206" s="78"/>
      <c r="BP206" s="78"/>
      <c r="BQ206" s="78"/>
      <c r="BR206" s="78"/>
    </row>
    <row r="207" spans="1:70" ht="15.75" customHeight="1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8"/>
      <c r="AK207" s="78"/>
      <c r="AL207" s="78"/>
      <c r="AM207" s="78"/>
      <c r="AN207" s="78"/>
      <c r="AO207" s="78"/>
      <c r="AP207" s="78"/>
      <c r="AQ207" s="78"/>
      <c r="AR207" s="78"/>
      <c r="AS207" s="78"/>
      <c r="AT207" s="78"/>
      <c r="AU207" s="78"/>
      <c r="AV207" s="78"/>
      <c r="AW207" s="78"/>
      <c r="AX207" s="78"/>
      <c r="AY207" s="78"/>
      <c r="AZ207" s="78"/>
      <c r="BA207" s="78"/>
      <c r="BB207" s="78"/>
      <c r="BC207" s="78"/>
      <c r="BD207" s="78"/>
      <c r="BE207" s="78"/>
      <c r="BF207" s="78"/>
      <c r="BG207" s="78"/>
      <c r="BH207" s="78"/>
      <c r="BI207" s="78"/>
      <c r="BJ207" s="78"/>
      <c r="BK207" s="78"/>
      <c r="BL207" s="78"/>
      <c r="BM207" s="78"/>
      <c r="BN207" s="78"/>
      <c r="BO207" s="78"/>
      <c r="BP207" s="78"/>
      <c r="BQ207" s="78"/>
      <c r="BR207" s="78"/>
    </row>
    <row r="208" spans="1:70" ht="15.75" customHeight="1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  <c r="AI208" s="78"/>
      <c r="AJ208" s="78"/>
      <c r="AK208" s="78"/>
      <c r="AL208" s="78"/>
      <c r="AM208" s="78"/>
      <c r="AN208" s="78"/>
      <c r="AO208" s="78"/>
      <c r="AP208" s="78"/>
      <c r="AQ208" s="78"/>
      <c r="AR208" s="78"/>
      <c r="AS208" s="78"/>
      <c r="AT208" s="78"/>
      <c r="AU208" s="78"/>
      <c r="AV208" s="78"/>
      <c r="AW208" s="78"/>
      <c r="AX208" s="78"/>
      <c r="AY208" s="78"/>
      <c r="AZ208" s="78"/>
      <c r="BA208" s="78"/>
      <c r="BB208" s="78"/>
      <c r="BC208" s="78"/>
      <c r="BD208" s="78"/>
      <c r="BE208" s="78"/>
      <c r="BF208" s="78"/>
      <c r="BG208" s="78"/>
      <c r="BH208" s="78"/>
      <c r="BI208" s="78"/>
      <c r="BJ208" s="78"/>
      <c r="BK208" s="78"/>
      <c r="BL208" s="78"/>
      <c r="BM208" s="78"/>
      <c r="BN208" s="78"/>
      <c r="BO208" s="78"/>
      <c r="BP208" s="78"/>
      <c r="BQ208" s="78"/>
      <c r="BR208" s="78"/>
    </row>
    <row r="209" spans="1:70" ht="15.75" customHeight="1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  <c r="AI209" s="78"/>
      <c r="AJ209" s="78"/>
      <c r="AK209" s="78"/>
      <c r="AL209" s="78"/>
      <c r="AM209" s="78"/>
      <c r="AN209" s="78"/>
      <c r="AO209" s="78"/>
      <c r="AP209" s="78"/>
      <c r="AQ209" s="78"/>
      <c r="AR209" s="78"/>
      <c r="AS209" s="78"/>
      <c r="AT209" s="78"/>
      <c r="AU209" s="78"/>
      <c r="AV209" s="78"/>
      <c r="AW209" s="78"/>
      <c r="AX209" s="78"/>
      <c r="AY209" s="78"/>
      <c r="AZ209" s="78"/>
      <c r="BA209" s="78"/>
      <c r="BB209" s="78"/>
      <c r="BC209" s="78"/>
      <c r="BD209" s="78"/>
      <c r="BE209" s="78"/>
      <c r="BF209" s="78"/>
      <c r="BG209" s="78"/>
      <c r="BH209" s="78"/>
      <c r="BI209" s="78"/>
      <c r="BJ209" s="78"/>
      <c r="BK209" s="78"/>
      <c r="BL209" s="78"/>
      <c r="BM209" s="78"/>
      <c r="BN209" s="78"/>
      <c r="BO209" s="78"/>
      <c r="BP209" s="78"/>
      <c r="BQ209" s="78"/>
      <c r="BR209" s="78"/>
    </row>
    <row r="210" spans="1:70" ht="15.75" customHeight="1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  <c r="AI210" s="78"/>
      <c r="AJ210" s="78"/>
      <c r="AK210" s="78"/>
      <c r="AL210" s="78"/>
      <c r="AM210" s="78"/>
      <c r="AN210" s="78"/>
      <c r="AO210" s="78"/>
      <c r="AP210" s="78"/>
      <c r="AQ210" s="78"/>
      <c r="AR210" s="78"/>
      <c r="AS210" s="78"/>
      <c r="AT210" s="78"/>
      <c r="AU210" s="78"/>
      <c r="AV210" s="78"/>
      <c r="AW210" s="78"/>
      <c r="AX210" s="78"/>
      <c r="AY210" s="78"/>
      <c r="AZ210" s="78"/>
      <c r="BA210" s="78"/>
      <c r="BB210" s="78"/>
      <c r="BC210" s="78"/>
      <c r="BD210" s="78"/>
      <c r="BE210" s="78"/>
      <c r="BF210" s="78"/>
      <c r="BG210" s="78"/>
      <c r="BH210" s="78"/>
      <c r="BI210" s="78"/>
      <c r="BJ210" s="78"/>
      <c r="BK210" s="78"/>
      <c r="BL210" s="78"/>
      <c r="BM210" s="78"/>
      <c r="BN210" s="78"/>
      <c r="BO210" s="78"/>
      <c r="BP210" s="78"/>
      <c r="BQ210" s="78"/>
      <c r="BR210" s="78"/>
    </row>
    <row r="211" spans="1:70" ht="15.75" customHeight="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  <c r="AI211" s="78"/>
      <c r="AJ211" s="78"/>
      <c r="AK211" s="78"/>
      <c r="AL211" s="78"/>
      <c r="AM211" s="78"/>
      <c r="AN211" s="78"/>
      <c r="AO211" s="78"/>
      <c r="AP211" s="78"/>
      <c r="AQ211" s="78"/>
      <c r="AR211" s="78"/>
      <c r="AS211" s="78"/>
      <c r="AT211" s="78"/>
      <c r="AU211" s="78"/>
      <c r="AV211" s="78"/>
      <c r="AW211" s="78"/>
      <c r="AX211" s="78"/>
      <c r="AY211" s="78"/>
      <c r="AZ211" s="78"/>
      <c r="BA211" s="78"/>
      <c r="BB211" s="78"/>
      <c r="BC211" s="78"/>
      <c r="BD211" s="78"/>
      <c r="BE211" s="78"/>
      <c r="BF211" s="78"/>
      <c r="BG211" s="78"/>
      <c r="BH211" s="78"/>
      <c r="BI211" s="78"/>
      <c r="BJ211" s="78"/>
      <c r="BK211" s="78"/>
      <c r="BL211" s="78"/>
      <c r="BM211" s="78"/>
      <c r="BN211" s="78"/>
      <c r="BO211" s="78"/>
      <c r="BP211" s="78"/>
      <c r="BQ211" s="78"/>
      <c r="BR211" s="78"/>
    </row>
    <row r="212" spans="1:70" ht="15.75" customHeight="1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  <c r="AI212" s="78"/>
      <c r="AJ212" s="78"/>
      <c r="AK212" s="78"/>
      <c r="AL212" s="78"/>
      <c r="AM212" s="78"/>
      <c r="AN212" s="78"/>
      <c r="AO212" s="78"/>
      <c r="AP212" s="78"/>
      <c r="AQ212" s="78"/>
      <c r="AR212" s="78"/>
      <c r="AS212" s="78"/>
      <c r="AT212" s="78"/>
      <c r="AU212" s="78"/>
      <c r="AV212" s="78"/>
      <c r="AW212" s="78"/>
      <c r="AX212" s="78"/>
      <c r="AY212" s="78"/>
      <c r="AZ212" s="78"/>
      <c r="BA212" s="78"/>
      <c r="BB212" s="78"/>
      <c r="BC212" s="78"/>
      <c r="BD212" s="78"/>
      <c r="BE212" s="78"/>
      <c r="BF212" s="78"/>
      <c r="BG212" s="78"/>
      <c r="BH212" s="78"/>
      <c r="BI212" s="78"/>
      <c r="BJ212" s="78"/>
      <c r="BK212" s="78"/>
      <c r="BL212" s="78"/>
      <c r="BM212" s="78"/>
      <c r="BN212" s="78"/>
      <c r="BO212" s="78"/>
      <c r="BP212" s="78"/>
      <c r="BQ212" s="78"/>
      <c r="BR212" s="78"/>
    </row>
    <row r="213" spans="1:70" ht="15.75" customHeight="1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  <c r="AI213" s="78"/>
      <c r="AJ213" s="78"/>
      <c r="AK213" s="78"/>
      <c r="AL213" s="78"/>
      <c r="AM213" s="78"/>
      <c r="AN213" s="78"/>
      <c r="AO213" s="78"/>
      <c r="AP213" s="78"/>
      <c r="AQ213" s="78"/>
      <c r="AR213" s="78"/>
      <c r="AS213" s="78"/>
      <c r="AT213" s="78"/>
      <c r="AU213" s="78"/>
      <c r="AV213" s="78"/>
      <c r="AW213" s="78"/>
      <c r="AX213" s="78"/>
      <c r="AY213" s="78"/>
      <c r="AZ213" s="78"/>
      <c r="BA213" s="78"/>
      <c r="BB213" s="78"/>
      <c r="BC213" s="78"/>
      <c r="BD213" s="78"/>
      <c r="BE213" s="78"/>
      <c r="BF213" s="78"/>
      <c r="BG213" s="78"/>
      <c r="BH213" s="78"/>
      <c r="BI213" s="78"/>
      <c r="BJ213" s="78"/>
      <c r="BK213" s="78"/>
      <c r="BL213" s="78"/>
      <c r="BM213" s="78"/>
      <c r="BN213" s="78"/>
      <c r="BO213" s="78"/>
      <c r="BP213" s="78"/>
      <c r="BQ213" s="78"/>
      <c r="BR213" s="78"/>
    </row>
    <row r="214" spans="1:70" ht="15.75" customHeight="1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  <c r="AI214" s="78"/>
      <c r="AJ214" s="78"/>
      <c r="AK214" s="78"/>
      <c r="AL214" s="78"/>
      <c r="AM214" s="78"/>
      <c r="AN214" s="78"/>
      <c r="AO214" s="78"/>
      <c r="AP214" s="78"/>
      <c r="AQ214" s="78"/>
      <c r="AR214" s="78"/>
      <c r="AS214" s="78"/>
      <c r="AT214" s="78"/>
      <c r="AU214" s="78"/>
      <c r="AV214" s="78"/>
      <c r="AW214" s="78"/>
      <c r="AX214" s="78"/>
      <c r="AY214" s="78"/>
      <c r="AZ214" s="78"/>
      <c r="BA214" s="78"/>
      <c r="BB214" s="78"/>
      <c r="BC214" s="78"/>
      <c r="BD214" s="78"/>
      <c r="BE214" s="78"/>
      <c r="BF214" s="78"/>
      <c r="BG214" s="78"/>
      <c r="BH214" s="78"/>
      <c r="BI214" s="78"/>
      <c r="BJ214" s="78"/>
      <c r="BK214" s="78"/>
      <c r="BL214" s="78"/>
      <c r="BM214" s="78"/>
      <c r="BN214" s="78"/>
      <c r="BO214" s="78"/>
      <c r="BP214" s="78"/>
      <c r="BQ214" s="78"/>
      <c r="BR214" s="78"/>
    </row>
    <row r="215" spans="1:70" ht="15.75" customHeight="1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  <c r="AI215" s="78"/>
      <c r="AJ215" s="78"/>
      <c r="AK215" s="78"/>
      <c r="AL215" s="78"/>
      <c r="AM215" s="78"/>
      <c r="AN215" s="78"/>
      <c r="AO215" s="78"/>
      <c r="AP215" s="78"/>
      <c r="AQ215" s="78"/>
      <c r="AR215" s="78"/>
      <c r="AS215" s="78"/>
      <c r="AT215" s="78"/>
      <c r="AU215" s="78"/>
      <c r="AV215" s="78"/>
      <c r="AW215" s="78"/>
      <c r="AX215" s="78"/>
      <c r="AY215" s="78"/>
      <c r="AZ215" s="78"/>
      <c r="BA215" s="78"/>
      <c r="BB215" s="78"/>
      <c r="BC215" s="78"/>
      <c r="BD215" s="78"/>
      <c r="BE215" s="78"/>
      <c r="BF215" s="78"/>
      <c r="BG215" s="78"/>
      <c r="BH215" s="78"/>
      <c r="BI215" s="78"/>
      <c r="BJ215" s="78"/>
      <c r="BK215" s="78"/>
      <c r="BL215" s="78"/>
      <c r="BM215" s="78"/>
      <c r="BN215" s="78"/>
      <c r="BO215" s="78"/>
      <c r="BP215" s="78"/>
      <c r="BQ215" s="78"/>
      <c r="BR215" s="78"/>
    </row>
    <row r="216" spans="1:70" ht="15.75" customHeight="1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  <c r="AI216" s="78"/>
      <c r="AJ216" s="78"/>
      <c r="AK216" s="78"/>
      <c r="AL216" s="78"/>
      <c r="AM216" s="78"/>
      <c r="AN216" s="78"/>
      <c r="AO216" s="78"/>
      <c r="AP216" s="78"/>
      <c r="AQ216" s="78"/>
      <c r="AR216" s="78"/>
      <c r="AS216" s="78"/>
      <c r="AT216" s="78"/>
      <c r="AU216" s="78"/>
      <c r="AV216" s="78"/>
      <c r="AW216" s="78"/>
      <c r="AX216" s="78"/>
      <c r="AY216" s="78"/>
      <c r="AZ216" s="78"/>
      <c r="BA216" s="78"/>
      <c r="BB216" s="78"/>
      <c r="BC216" s="78"/>
      <c r="BD216" s="78"/>
      <c r="BE216" s="78"/>
      <c r="BF216" s="78"/>
      <c r="BG216" s="78"/>
      <c r="BH216" s="78"/>
      <c r="BI216" s="78"/>
      <c r="BJ216" s="78"/>
      <c r="BK216" s="78"/>
      <c r="BL216" s="78"/>
      <c r="BM216" s="78"/>
      <c r="BN216" s="78"/>
      <c r="BO216" s="78"/>
      <c r="BP216" s="78"/>
      <c r="BQ216" s="78"/>
      <c r="BR216" s="78"/>
    </row>
    <row r="217" spans="1:70" ht="15.75" customHeight="1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  <c r="AI217" s="78"/>
      <c r="AJ217" s="78"/>
      <c r="AK217" s="78"/>
      <c r="AL217" s="78"/>
      <c r="AM217" s="78"/>
      <c r="AN217" s="78"/>
      <c r="AO217" s="78"/>
      <c r="AP217" s="78"/>
      <c r="AQ217" s="78"/>
      <c r="AR217" s="78"/>
      <c r="AS217" s="78"/>
      <c r="AT217" s="78"/>
      <c r="AU217" s="78"/>
      <c r="AV217" s="78"/>
      <c r="AW217" s="78"/>
      <c r="AX217" s="78"/>
      <c r="AY217" s="78"/>
      <c r="AZ217" s="78"/>
      <c r="BA217" s="78"/>
      <c r="BB217" s="78"/>
      <c r="BC217" s="78"/>
      <c r="BD217" s="78"/>
      <c r="BE217" s="78"/>
      <c r="BF217" s="78"/>
      <c r="BG217" s="78"/>
      <c r="BH217" s="78"/>
      <c r="BI217" s="78"/>
      <c r="BJ217" s="78"/>
      <c r="BK217" s="78"/>
      <c r="BL217" s="78"/>
      <c r="BM217" s="78"/>
      <c r="BN217" s="78"/>
      <c r="BO217" s="78"/>
      <c r="BP217" s="78"/>
      <c r="BQ217" s="78"/>
      <c r="BR217" s="78"/>
    </row>
    <row r="218" spans="1:70" ht="15.75" customHeight="1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  <c r="AI218" s="78"/>
      <c r="AJ218" s="78"/>
      <c r="AK218" s="78"/>
      <c r="AL218" s="78"/>
      <c r="AM218" s="78"/>
      <c r="AN218" s="78"/>
      <c r="AO218" s="78"/>
      <c r="AP218" s="78"/>
      <c r="AQ218" s="78"/>
      <c r="AR218" s="78"/>
      <c r="AS218" s="78"/>
      <c r="AT218" s="78"/>
      <c r="AU218" s="78"/>
      <c r="AV218" s="78"/>
      <c r="AW218" s="78"/>
      <c r="AX218" s="78"/>
      <c r="AY218" s="78"/>
      <c r="AZ218" s="78"/>
      <c r="BA218" s="78"/>
      <c r="BB218" s="78"/>
      <c r="BC218" s="78"/>
      <c r="BD218" s="78"/>
      <c r="BE218" s="78"/>
      <c r="BF218" s="78"/>
      <c r="BG218" s="78"/>
      <c r="BH218" s="78"/>
      <c r="BI218" s="78"/>
      <c r="BJ218" s="78"/>
      <c r="BK218" s="78"/>
      <c r="BL218" s="78"/>
      <c r="BM218" s="78"/>
      <c r="BN218" s="78"/>
      <c r="BO218" s="78"/>
      <c r="BP218" s="78"/>
      <c r="BQ218" s="78"/>
      <c r="BR218" s="78"/>
    </row>
    <row r="219" spans="1:70" ht="15.75" customHeight="1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  <c r="AI219" s="78"/>
      <c r="AJ219" s="78"/>
      <c r="AK219" s="78"/>
      <c r="AL219" s="78"/>
      <c r="AM219" s="78"/>
      <c r="AN219" s="78"/>
      <c r="AO219" s="78"/>
      <c r="AP219" s="78"/>
      <c r="AQ219" s="78"/>
      <c r="AR219" s="78"/>
      <c r="AS219" s="78"/>
      <c r="AT219" s="78"/>
      <c r="AU219" s="78"/>
      <c r="AV219" s="78"/>
      <c r="AW219" s="78"/>
      <c r="AX219" s="78"/>
      <c r="AY219" s="78"/>
      <c r="AZ219" s="78"/>
      <c r="BA219" s="78"/>
      <c r="BB219" s="78"/>
      <c r="BC219" s="78"/>
      <c r="BD219" s="78"/>
      <c r="BE219" s="78"/>
      <c r="BF219" s="78"/>
      <c r="BG219" s="78"/>
      <c r="BH219" s="78"/>
      <c r="BI219" s="78"/>
      <c r="BJ219" s="78"/>
      <c r="BK219" s="78"/>
      <c r="BL219" s="78"/>
      <c r="BM219" s="78"/>
      <c r="BN219" s="78"/>
      <c r="BO219" s="78"/>
      <c r="BP219" s="78"/>
      <c r="BQ219" s="78"/>
      <c r="BR219" s="78"/>
    </row>
    <row r="220" spans="1:70" ht="15.75" customHeight="1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  <c r="AI220" s="78"/>
      <c r="AJ220" s="78"/>
      <c r="AK220" s="78"/>
      <c r="AL220" s="78"/>
      <c r="AM220" s="78"/>
      <c r="AN220" s="78"/>
      <c r="AO220" s="78"/>
      <c r="AP220" s="78"/>
      <c r="AQ220" s="78"/>
      <c r="AR220" s="78"/>
      <c r="AS220" s="78"/>
      <c r="AT220" s="78"/>
      <c r="AU220" s="78"/>
      <c r="AV220" s="78"/>
      <c r="AW220" s="78"/>
      <c r="AX220" s="78"/>
      <c r="AY220" s="78"/>
      <c r="AZ220" s="78"/>
      <c r="BA220" s="78"/>
      <c r="BB220" s="78"/>
      <c r="BC220" s="78"/>
      <c r="BD220" s="78"/>
      <c r="BE220" s="78"/>
      <c r="BF220" s="78"/>
      <c r="BG220" s="78"/>
      <c r="BH220" s="78"/>
      <c r="BI220" s="78"/>
      <c r="BJ220" s="78"/>
      <c r="BK220" s="78"/>
      <c r="BL220" s="78"/>
      <c r="BM220" s="78"/>
      <c r="BN220" s="78"/>
      <c r="BO220" s="78"/>
      <c r="BP220" s="78"/>
      <c r="BQ220" s="78"/>
      <c r="BR220" s="78"/>
    </row>
    <row r="221" spans="1:70" ht="15.75" customHeight="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  <c r="AI221" s="78"/>
      <c r="AJ221" s="78"/>
      <c r="AK221" s="78"/>
      <c r="AL221" s="78"/>
      <c r="AM221" s="78"/>
      <c r="AN221" s="78"/>
      <c r="AO221" s="78"/>
      <c r="AP221" s="78"/>
      <c r="AQ221" s="78"/>
      <c r="AR221" s="78"/>
      <c r="AS221" s="78"/>
      <c r="AT221" s="78"/>
      <c r="AU221" s="78"/>
      <c r="AV221" s="78"/>
      <c r="AW221" s="78"/>
      <c r="AX221" s="78"/>
      <c r="AY221" s="78"/>
      <c r="AZ221" s="78"/>
      <c r="BA221" s="78"/>
      <c r="BB221" s="78"/>
      <c r="BC221" s="78"/>
      <c r="BD221" s="78"/>
      <c r="BE221" s="78"/>
      <c r="BF221" s="78"/>
      <c r="BG221" s="78"/>
      <c r="BH221" s="78"/>
      <c r="BI221" s="78"/>
      <c r="BJ221" s="78"/>
      <c r="BK221" s="78"/>
      <c r="BL221" s="78"/>
      <c r="BM221" s="78"/>
      <c r="BN221" s="78"/>
      <c r="BO221" s="78"/>
      <c r="BP221" s="78"/>
      <c r="BQ221" s="78"/>
      <c r="BR221" s="78"/>
    </row>
    <row r="222" spans="1:70" ht="15.75" customHeight="1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  <c r="AI222" s="78"/>
      <c r="AJ222" s="78"/>
      <c r="AK222" s="78"/>
      <c r="AL222" s="78"/>
      <c r="AM222" s="78"/>
      <c r="AN222" s="78"/>
      <c r="AO222" s="78"/>
      <c r="AP222" s="78"/>
      <c r="AQ222" s="78"/>
      <c r="AR222" s="78"/>
      <c r="AS222" s="78"/>
      <c r="AT222" s="78"/>
      <c r="AU222" s="78"/>
      <c r="AV222" s="78"/>
      <c r="AW222" s="78"/>
      <c r="AX222" s="78"/>
      <c r="AY222" s="78"/>
      <c r="AZ222" s="78"/>
      <c r="BA222" s="78"/>
      <c r="BB222" s="78"/>
      <c r="BC222" s="78"/>
      <c r="BD222" s="78"/>
      <c r="BE222" s="78"/>
      <c r="BF222" s="78"/>
      <c r="BG222" s="78"/>
      <c r="BH222" s="78"/>
      <c r="BI222" s="78"/>
      <c r="BJ222" s="78"/>
      <c r="BK222" s="78"/>
      <c r="BL222" s="78"/>
      <c r="BM222" s="78"/>
      <c r="BN222" s="78"/>
      <c r="BO222" s="78"/>
      <c r="BP222" s="78"/>
      <c r="BQ222" s="78"/>
      <c r="BR222" s="78"/>
    </row>
    <row r="223" spans="1:70" ht="15.75" customHeight="1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  <c r="AI223" s="78"/>
      <c r="AJ223" s="78"/>
      <c r="AK223" s="78"/>
      <c r="AL223" s="78"/>
      <c r="AM223" s="78"/>
      <c r="AN223" s="78"/>
      <c r="AO223" s="78"/>
      <c r="AP223" s="78"/>
      <c r="AQ223" s="78"/>
      <c r="AR223" s="78"/>
      <c r="AS223" s="78"/>
      <c r="AT223" s="78"/>
      <c r="AU223" s="78"/>
      <c r="AV223" s="78"/>
      <c r="AW223" s="78"/>
      <c r="AX223" s="78"/>
      <c r="AY223" s="78"/>
      <c r="AZ223" s="78"/>
      <c r="BA223" s="78"/>
      <c r="BB223" s="78"/>
      <c r="BC223" s="78"/>
      <c r="BD223" s="78"/>
      <c r="BE223" s="78"/>
      <c r="BF223" s="78"/>
      <c r="BG223" s="78"/>
      <c r="BH223" s="78"/>
      <c r="BI223" s="78"/>
      <c r="BJ223" s="78"/>
      <c r="BK223" s="78"/>
      <c r="BL223" s="78"/>
      <c r="BM223" s="78"/>
      <c r="BN223" s="78"/>
      <c r="BO223" s="78"/>
      <c r="BP223" s="78"/>
      <c r="BQ223" s="78"/>
      <c r="BR223" s="78"/>
    </row>
    <row r="224" spans="1:70" ht="15.75" customHeight="1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  <c r="AI224" s="78"/>
      <c r="AJ224" s="78"/>
      <c r="AK224" s="78"/>
      <c r="AL224" s="78"/>
      <c r="AM224" s="78"/>
      <c r="AN224" s="78"/>
      <c r="AO224" s="78"/>
      <c r="AP224" s="78"/>
      <c r="AQ224" s="78"/>
      <c r="AR224" s="78"/>
      <c r="AS224" s="78"/>
      <c r="AT224" s="78"/>
      <c r="AU224" s="78"/>
      <c r="AV224" s="78"/>
      <c r="AW224" s="78"/>
      <c r="AX224" s="78"/>
      <c r="AY224" s="78"/>
      <c r="AZ224" s="78"/>
      <c r="BA224" s="78"/>
      <c r="BB224" s="78"/>
      <c r="BC224" s="78"/>
      <c r="BD224" s="78"/>
      <c r="BE224" s="78"/>
      <c r="BF224" s="78"/>
      <c r="BG224" s="78"/>
      <c r="BH224" s="78"/>
      <c r="BI224" s="78"/>
      <c r="BJ224" s="78"/>
      <c r="BK224" s="78"/>
      <c r="BL224" s="78"/>
      <c r="BM224" s="78"/>
      <c r="BN224" s="78"/>
      <c r="BO224" s="78"/>
      <c r="BP224" s="78"/>
      <c r="BQ224" s="78"/>
      <c r="BR224" s="78"/>
    </row>
    <row r="225" spans="1:70" ht="15.75" customHeight="1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  <c r="AI225" s="78"/>
      <c r="AJ225" s="78"/>
      <c r="AK225" s="78"/>
      <c r="AL225" s="78"/>
      <c r="AM225" s="78"/>
      <c r="AN225" s="78"/>
      <c r="AO225" s="78"/>
      <c r="AP225" s="78"/>
      <c r="AQ225" s="78"/>
      <c r="AR225" s="78"/>
      <c r="AS225" s="78"/>
      <c r="AT225" s="78"/>
      <c r="AU225" s="78"/>
      <c r="AV225" s="78"/>
      <c r="AW225" s="78"/>
      <c r="AX225" s="78"/>
      <c r="AY225" s="78"/>
      <c r="AZ225" s="78"/>
      <c r="BA225" s="78"/>
      <c r="BB225" s="78"/>
      <c r="BC225" s="78"/>
      <c r="BD225" s="78"/>
      <c r="BE225" s="78"/>
      <c r="BF225" s="78"/>
      <c r="BG225" s="78"/>
      <c r="BH225" s="78"/>
      <c r="BI225" s="78"/>
      <c r="BJ225" s="78"/>
      <c r="BK225" s="78"/>
      <c r="BL225" s="78"/>
      <c r="BM225" s="78"/>
      <c r="BN225" s="78"/>
      <c r="BO225" s="78"/>
      <c r="BP225" s="78"/>
      <c r="BQ225" s="78"/>
      <c r="BR225" s="78"/>
    </row>
    <row r="226" spans="1:70" ht="15.75" customHeight="1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  <c r="AS226" s="78"/>
      <c r="AT226" s="78"/>
      <c r="AU226" s="78"/>
      <c r="AV226" s="78"/>
      <c r="AW226" s="78"/>
      <c r="AX226" s="78"/>
      <c r="AY226" s="78"/>
      <c r="AZ226" s="78"/>
      <c r="BA226" s="78"/>
      <c r="BB226" s="78"/>
      <c r="BC226" s="78"/>
      <c r="BD226" s="78"/>
      <c r="BE226" s="78"/>
      <c r="BF226" s="78"/>
      <c r="BG226" s="78"/>
      <c r="BH226" s="78"/>
      <c r="BI226" s="78"/>
      <c r="BJ226" s="78"/>
      <c r="BK226" s="78"/>
      <c r="BL226" s="78"/>
      <c r="BM226" s="78"/>
      <c r="BN226" s="78"/>
      <c r="BO226" s="78"/>
      <c r="BP226" s="78"/>
      <c r="BQ226" s="78"/>
      <c r="BR226" s="78"/>
    </row>
    <row r="227" spans="1:70" ht="15.75" customHeight="1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  <c r="AI227" s="78"/>
      <c r="AJ227" s="78"/>
      <c r="AK227" s="78"/>
      <c r="AL227" s="78"/>
      <c r="AM227" s="78"/>
      <c r="AN227" s="78"/>
      <c r="AO227" s="78"/>
      <c r="AP227" s="78"/>
      <c r="AQ227" s="78"/>
      <c r="AR227" s="78"/>
      <c r="AS227" s="78"/>
      <c r="AT227" s="78"/>
      <c r="AU227" s="78"/>
      <c r="AV227" s="78"/>
      <c r="AW227" s="78"/>
      <c r="AX227" s="78"/>
      <c r="AY227" s="78"/>
      <c r="AZ227" s="78"/>
      <c r="BA227" s="78"/>
      <c r="BB227" s="78"/>
      <c r="BC227" s="78"/>
      <c r="BD227" s="78"/>
      <c r="BE227" s="78"/>
      <c r="BF227" s="78"/>
      <c r="BG227" s="78"/>
      <c r="BH227" s="78"/>
      <c r="BI227" s="78"/>
      <c r="BJ227" s="78"/>
      <c r="BK227" s="78"/>
      <c r="BL227" s="78"/>
      <c r="BM227" s="78"/>
      <c r="BN227" s="78"/>
      <c r="BO227" s="78"/>
      <c r="BP227" s="78"/>
      <c r="BQ227" s="78"/>
      <c r="BR227" s="78"/>
    </row>
    <row r="228" spans="1:70" ht="15.75" customHeight="1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  <c r="AI228" s="78"/>
      <c r="AJ228" s="78"/>
      <c r="AK228" s="78"/>
      <c r="AL228" s="78"/>
      <c r="AM228" s="78"/>
      <c r="AN228" s="78"/>
      <c r="AO228" s="78"/>
      <c r="AP228" s="78"/>
      <c r="AQ228" s="78"/>
      <c r="AR228" s="78"/>
      <c r="AS228" s="78"/>
      <c r="AT228" s="78"/>
      <c r="AU228" s="78"/>
      <c r="AV228" s="78"/>
      <c r="AW228" s="78"/>
      <c r="AX228" s="78"/>
      <c r="AY228" s="78"/>
      <c r="AZ228" s="78"/>
      <c r="BA228" s="78"/>
      <c r="BB228" s="78"/>
      <c r="BC228" s="78"/>
      <c r="BD228" s="78"/>
      <c r="BE228" s="78"/>
      <c r="BF228" s="78"/>
      <c r="BG228" s="78"/>
      <c r="BH228" s="78"/>
      <c r="BI228" s="78"/>
      <c r="BJ228" s="78"/>
      <c r="BK228" s="78"/>
      <c r="BL228" s="78"/>
      <c r="BM228" s="78"/>
      <c r="BN228" s="78"/>
      <c r="BO228" s="78"/>
      <c r="BP228" s="78"/>
      <c r="BQ228" s="78"/>
      <c r="BR228" s="78"/>
    </row>
    <row r="229" spans="1:70" ht="15.75" customHeight="1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  <c r="AI229" s="78"/>
      <c r="AJ229" s="78"/>
      <c r="AK229" s="78"/>
      <c r="AL229" s="78"/>
      <c r="AM229" s="78"/>
      <c r="AN229" s="78"/>
      <c r="AO229" s="78"/>
      <c r="AP229" s="78"/>
      <c r="AQ229" s="78"/>
      <c r="AR229" s="78"/>
      <c r="AS229" s="78"/>
      <c r="AT229" s="78"/>
      <c r="AU229" s="78"/>
      <c r="AV229" s="78"/>
      <c r="AW229" s="78"/>
      <c r="AX229" s="78"/>
      <c r="AY229" s="78"/>
      <c r="AZ229" s="78"/>
      <c r="BA229" s="78"/>
      <c r="BB229" s="78"/>
      <c r="BC229" s="78"/>
      <c r="BD229" s="78"/>
      <c r="BE229" s="78"/>
      <c r="BF229" s="78"/>
      <c r="BG229" s="78"/>
      <c r="BH229" s="78"/>
      <c r="BI229" s="78"/>
      <c r="BJ229" s="78"/>
      <c r="BK229" s="78"/>
      <c r="BL229" s="78"/>
      <c r="BM229" s="78"/>
      <c r="BN229" s="78"/>
      <c r="BO229" s="78"/>
      <c r="BP229" s="78"/>
      <c r="BQ229" s="78"/>
      <c r="BR229" s="78"/>
    </row>
    <row r="230" spans="1:70" ht="15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  <c r="AI230" s="78"/>
      <c r="AJ230" s="78"/>
      <c r="AK230" s="78"/>
      <c r="AL230" s="78"/>
      <c r="AM230" s="78"/>
      <c r="AN230" s="78"/>
      <c r="AO230" s="78"/>
      <c r="AP230" s="78"/>
      <c r="AQ230" s="78"/>
      <c r="AR230" s="78"/>
      <c r="AS230" s="78"/>
      <c r="AT230" s="78"/>
      <c r="AU230" s="78"/>
      <c r="AV230" s="78"/>
      <c r="AW230" s="78"/>
      <c r="AX230" s="78"/>
      <c r="AY230" s="78"/>
      <c r="AZ230" s="78"/>
      <c r="BA230" s="78"/>
      <c r="BB230" s="78"/>
      <c r="BC230" s="78"/>
      <c r="BD230" s="78"/>
      <c r="BE230" s="78"/>
      <c r="BF230" s="78"/>
      <c r="BG230" s="78"/>
      <c r="BH230" s="78"/>
      <c r="BI230" s="78"/>
      <c r="BJ230" s="78"/>
      <c r="BK230" s="78"/>
      <c r="BL230" s="78"/>
      <c r="BM230" s="78"/>
      <c r="BN230" s="78"/>
      <c r="BO230" s="78"/>
      <c r="BP230" s="78"/>
      <c r="BQ230" s="78"/>
      <c r="BR230" s="78"/>
    </row>
    <row r="231" spans="1:70" ht="15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8"/>
      <c r="AK231" s="78"/>
      <c r="AL231" s="78"/>
      <c r="AM231" s="78"/>
      <c r="AN231" s="78"/>
      <c r="AO231" s="78"/>
      <c r="AP231" s="78"/>
      <c r="AQ231" s="78"/>
      <c r="AR231" s="78"/>
      <c r="AS231" s="78"/>
      <c r="AT231" s="78"/>
      <c r="AU231" s="78"/>
      <c r="AV231" s="78"/>
      <c r="AW231" s="78"/>
      <c r="AX231" s="78"/>
      <c r="AY231" s="78"/>
      <c r="AZ231" s="78"/>
      <c r="BA231" s="78"/>
      <c r="BB231" s="78"/>
      <c r="BC231" s="78"/>
      <c r="BD231" s="78"/>
      <c r="BE231" s="78"/>
      <c r="BF231" s="78"/>
      <c r="BG231" s="78"/>
      <c r="BH231" s="78"/>
      <c r="BI231" s="78"/>
      <c r="BJ231" s="78"/>
      <c r="BK231" s="78"/>
      <c r="BL231" s="78"/>
      <c r="BM231" s="78"/>
      <c r="BN231" s="78"/>
      <c r="BO231" s="78"/>
      <c r="BP231" s="78"/>
      <c r="BQ231" s="78"/>
      <c r="BR231" s="78"/>
    </row>
    <row r="232" spans="1:70" ht="15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  <c r="AI232" s="78"/>
      <c r="AJ232" s="78"/>
      <c r="AK232" s="78"/>
      <c r="AL232" s="78"/>
      <c r="AM232" s="78"/>
      <c r="AN232" s="78"/>
      <c r="AO232" s="78"/>
      <c r="AP232" s="78"/>
      <c r="AQ232" s="78"/>
      <c r="AR232" s="78"/>
      <c r="AS232" s="78"/>
      <c r="AT232" s="78"/>
      <c r="AU232" s="78"/>
      <c r="AV232" s="78"/>
      <c r="AW232" s="78"/>
      <c r="AX232" s="78"/>
      <c r="AY232" s="78"/>
      <c r="AZ232" s="78"/>
      <c r="BA232" s="78"/>
      <c r="BB232" s="78"/>
      <c r="BC232" s="78"/>
      <c r="BD232" s="78"/>
      <c r="BE232" s="78"/>
      <c r="BF232" s="78"/>
      <c r="BG232" s="78"/>
      <c r="BH232" s="78"/>
      <c r="BI232" s="78"/>
      <c r="BJ232" s="78"/>
      <c r="BK232" s="78"/>
      <c r="BL232" s="78"/>
      <c r="BM232" s="78"/>
      <c r="BN232" s="78"/>
      <c r="BO232" s="78"/>
      <c r="BP232" s="78"/>
      <c r="BQ232" s="78"/>
      <c r="BR232" s="78"/>
    </row>
    <row r="233" spans="1:70" ht="15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  <c r="AI233" s="78"/>
      <c r="AJ233" s="78"/>
      <c r="AK233" s="78"/>
      <c r="AL233" s="78"/>
      <c r="AM233" s="78"/>
      <c r="AN233" s="78"/>
      <c r="AO233" s="78"/>
      <c r="AP233" s="78"/>
      <c r="AQ233" s="78"/>
      <c r="AR233" s="78"/>
      <c r="AS233" s="78"/>
      <c r="AT233" s="78"/>
      <c r="AU233" s="78"/>
      <c r="AV233" s="78"/>
      <c r="AW233" s="78"/>
      <c r="AX233" s="78"/>
      <c r="AY233" s="78"/>
      <c r="AZ233" s="78"/>
      <c r="BA233" s="78"/>
      <c r="BB233" s="78"/>
      <c r="BC233" s="78"/>
      <c r="BD233" s="78"/>
      <c r="BE233" s="78"/>
      <c r="BF233" s="78"/>
      <c r="BG233" s="78"/>
      <c r="BH233" s="78"/>
      <c r="BI233" s="78"/>
      <c r="BJ233" s="78"/>
      <c r="BK233" s="78"/>
      <c r="BL233" s="78"/>
      <c r="BM233" s="78"/>
      <c r="BN233" s="78"/>
      <c r="BO233" s="78"/>
      <c r="BP233" s="78"/>
      <c r="BQ233" s="78"/>
      <c r="BR233" s="78"/>
    </row>
    <row r="234" spans="1:70" ht="15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  <c r="AI234" s="78"/>
      <c r="AJ234" s="78"/>
      <c r="AK234" s="78"/>
      <c r="AL234" s="78"/>
      <c r="AM234" s="78"/>
      <c r="AN234" s="78"/>
      <c r="AO234" s="78"/>
      <c r="AP234" s="78"/>
      <c r="AQ234" s="78"/>
      <c r="AR234" s="78"/>
      <c r="AS234" s="78"/>
      <c r="AT234" s="78"/>
      <c r="AU234" s="78"/>
      <c r="AV234" s="78"/>
      <c r="AW234" s="78"/>
      <c r="AX234" s="78"/>
      <c r="AY234" s="78"/>
      <c r="AZ234" s="78"/>
      <c r="BA234" s="78"/>
      <c r="BB234" s="78"/>
      <c r="BC234" s="78"/>
      <c r="BD234" s="78"/>
      <c r="BE234" s="78"/>
      <c r="BF234" s="78"/>
      <c r="BG234" s="78"/>
      <c r="BH234" s="78"/>
      <c r="BI234" s="78"/>
      <c r="BJ234" s="78"/>
      <c r="BK234" s="78"/>
      <c r="BL234" s="78"/>
      <c r="BM234" s="78"/>
      <c r="BN234" s="78"/>
      <c r="BO234" s="78"/>
      <c r="BP234" s="78"/>
      <c r="BQ234" s="78"/>
      <c r="BR234" s="78"/>
    </row>
    <row r="235" spans="1:70" ht="15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  <c r="AI235" s="78"/>
      <c r="AJ235" s="78"/>
      <c r="AK235" s="78"/>
      <c r="AL235" s="78"/>
      <c r="AM235" s="78"/>
      <c r="AN235" s="78"/>
      <c r="AO235" s="78"/>
      <c r="AP235" s="78"/>
      <c r="AQ235" s="78"/>
      <c r="AR235" s="78"/>
      <c r="AS235" s="78"/>
      <c r="AT235" s="78"/>
      <c r="AU235" s="78"/>
      <c r="AV235" s="78"/>
      <c r="AW235" s="78"/>
      <c r="AX235" s="78"/>
      <c r="AY235" s="78"/>
      <c r="AZ235" s="78"/>
      <c r="BA235" s="78"/>
      <c r="BB235" s="78"/>
      <c r="BC235" s="78"/>
      <c r="BD235" s="78"/>
      <c r="BE235" s="78"/>
      <c r="BF235" s="78"/>
      <c r="BG235" s="78"/>
      <c r="BH235" s="78"/>
      <c r="BI235" s="78"/>
      <c r="BJ235" s="78"/>
      <c r="BK235" s="78"/>
      <c r="BL235" s="78"/>
      <c r="BM235" s="78"/>
      <c r="BN235" s="78"/>
      <c r="BO235" s="78"/>
      <c r="BP235" s="78"/>
      <c r="BQ235" s="78"/>
      <c r="BR235" s="78"/>
    </row>
    <row r="236" spans="1:70" ht="15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  <c r="AS236" s="78"/>
      <c r="AT236" s="78"/>
      <c r="AU236" s="78"/>
      <c r="AV236" s="78"/>
      <c r="AW236" s="78"/>
      <c r="AX236" s="78"/>
      <c r="AY236" s="78"/>
      <c r="AZ236" s="78"/>
      <c r="BA236" s="78"/>
      <c r="BB236" s="78"/>
      <c r="BC236" s="78"/>
      <c r="BD236" s="78"/>
      <c r="BE236" s="78"/>
      <c r="BF236" s="78"/>
      <c r="BG236" s="78"/>
      <c r="BH236" s="78"/>
      <c r="BI236" s="78"/>
      <c r="BJ236" s="78"/>
      <c r="BK236" s="78"/>
      <c r="BL236" s="78"/>
      <c r="BM236" s="78"/>
      <c r="BN236" s="78"/>
      <c r="BO236" s="78"/>
      <c r="BP236" s="78"/>
      <c r="BQ236" s="78"/>
      <c r="BR236" s="78"/>
    </row>
    <row r="237" spans="1:70" ht="15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  <c r="AI237" s="78"/>
      <c r="AJ237" s="78"/>
      <c r="AK237" s="78"/>
      <c r="AL237" s="78"/>
      <c r="AM237" s="78"/>
      <c r="AN237" s="78"/>
      <c r="AO237" s="78"/>
      <c r="AP237" s="78"/>
      <c r="AQ237" s="78"/>
      <c r="AR237" s="78"/>
      <c r="AS237" s="78"/>
      <c r="AT237" s="78"/>
      <c r="AU237" s="78"/>
      <c r="AV237" s="78"/>
      <c r="AW237" s="78"/>
      <c r="AX237" s="78"/>
      <c r="AY237" s="78"/>
      <c r="AZ237" s="78"/>
      <c r="BA237" s="78"/>
      <c r="BB237" s="78"/>
      <c r="BC237" s="78"/>
      <c r="BD237" s="78"/>
      <c r="BE237" s="78"/>
      <c r="BF237" s="78"/>
      <c r="BG237" s="78"/>
      <c r="BH237" s="78"/>
      <c r="BI237" s="78"/>
      <c r="BJ237" s="78"/>
      <c r="BK237" s="78"/>
      <c r="BL237" s="78"/>
      <c r="BM237" s="78"/>
      <c r="BN237" s="78"/>
      <c r="BO237" s="78"/>
      <c r="BP237" s="78"/>
      <c r="BQ237" s="78"/>
      <c r="BR237" s="78"/>
    </row>
    <row r="238" spans="1:70" ht="15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  <c r="AI238" s="78"/>
      <c r="AJ238" s="78"/>
      <c r="AK238" s="78"/>
      <c r="AL238" s="78"/>
      <c r="AM238" s="78"/>
      <c r="AN238" s="78"/>
      <c r="AO238" s="78"/>
      <c r="AP238" s="78"/>
      <c r="AQ238" s="78"/>
      <c r="AR238" s="78"/>
      <c r="AS238" s="78"/>
      <c r="AT238" s="78"/>
      <c r="AU238" s="78"/>
      <c r="AV238" s="78"/>
      <c r="AW238" s="78"/>
      <c r="AX238" s="78"/>
      <c r="AY238" s="78"/>
      <c r="AZ238" s="78"/>
      <c r="BA238" s="78"/>
      <c r="BB238" s="78"/>
      <c r="BC238" s="78"/>
      <c r="BD238" s="78"/>
      <c r="BE238" s="78"/>
      <c r="BF238" s="78"/>
      <c r="BG238" s="78"/>
      <c r="BH238" s="78"/>
      <c r="BI238" s="78"/>
      <c r="BJ238" s="78"/>
      <c r="BK238" s="78"/>
      <c r="BL238" s="78"/>
      <c r="BM238" s="78"/>
      <c r="BN238" s="78"/>
      <c r="BO238" s="78"/>
      <c r="BP238" s="78"/>
      <c r="BQ238" s="78"/>
      <c r="BR238" s="78"/>
    </row>
    <row r="239" spans="1:70" ht="15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  <c r="AI239" s="78"/>
      <c r="AJ239" s="78"/>
      <c r="AK239" s="78"/>
      <c r="AL239" s="78"/>
      <c r="AM239" s="78"/>
      <c r="AN239" s="78"/>
      <c r="AO239" s="78"/>
      <c r="AP239" s="78"/>
      <c r="AQ239" s="78"/>
      <c r="AR239" s="78"/>
      <c r="AS239" s="78"/>
      <c r="AT239" s="78"/>
      <c r="AU239" s="78"/>
      <c r="AV239" s="78"/>
      <c r="AW239" s="78"/>
      <c r="AX239" s="78"/>
      <c r="AY239" s="78"/>
      <c r="AZ239" s="78"/>
      <c r="BA239" s="78"/>
      <c r="BB239" s="78"/>
      <c r="BC239" s="78"/>
      <c r="BD239" s="78"/>
      <c r="BE239" s="78"/>
      <c r="BF239" s="78"/>
      <c r="BG239" s="78"/>
      <c r="BH239" s="78"/>
      <c r="BI239" s="78"/>
      <c r="BJ239" s="78"/>
      <c r="BK239" s="78"/>
      <c r="BL239" s="78"/>
      <c r="BM239" s="78"/>
      <c r="BN239" s="78"/>
      <c r="BO239" s="78"/>
      <c r="BP239" s="78"/>
      <c r="BQ239" s="78"/>
      <c r="BR239" s="78"/>
    </row>
    <row r="240" spans="1:70" ht="15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  <c r="AI240" s="78"/>
      <c r="AJ240" s="78"/>
      <c r="AK240" s="78"/>
      <c r="AL240" s="78"/>
      <c r="AM240" s="78"/>
      <c r="AN240" s="78"/>
      <c r="AO240" s="78"/>
      <c r="AP240" s="78"/>
      <c r="AQ240" s="78"/>
      <c r="AR240" s="78"/>
      <c r="AS240" s="78"/>
      <c r="AT240" s="78"/>
      <c r="AU240" s="78"/>
      <c r="AV240" s="78"/>
      <c r="AW240" s="78"/>
      <c r="AX240" s="78"/>
      <c r="AY240" s="78"/>
      <c r="AZ240" s="78"/>
      <c r="BA240" s="78"/>
      <c r="BB240" s="78"/>
      <c r="BC240" s="78"/>
      <c r="BD240" s="78"/>
      <c r="BE240" s="78"/>
      <c r="BF240" s="78"/>
      <c r="BG240" s="78"/>
      <c r="BH240" s="78"/>
      <c r="BI240" s="78"/>
      <c r="BJ240" s="78"/>
      <c r="BK240" s="78"/>
      <c r="BL240" s="78"/>
      <c r="BM240" s="78"/>
      <c r="BN240" s="78"/>
      <c r="BO240" s="78"/>
      <c r="BP240" s="78"/>
      <c r="BQ240" s="78"/>
      <c r="BR240" s="78"/>
    </row>
    <row r="241" spans="1:70" ht="15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  <c r="AI241" s="78"/>
      <c r="AJ241" s="78"/>
      <c r="AK241" s="78"/>
      <c r="AL241" s="78"/>
      <c r="AM241" s="78"/>
      <c r="AN241" s="78"/>
      <c r="AO241" s="78"/>
      <c r="AP241" s="78"/>
      <c r="AQ241" s="78"/>
      <c r="AR241" s="78"/>
      <c r="AS241" s="78"/>
      <c r="AT241" s="78"/>
      <c r="AU241" s="78"/>
      <c r="AV241" s="78"/>
      <c r="AW241" s="78"/>
      <c r="AX241" s="78"/>
      <c r="AY241" s="78"/>
      <c r="AZ241" s="78"/>
      <c r="BA241" s="78"/>
      <c r="BB241" s="78"/>
      <c r="BC241" s="78"/>
      <c r="BD241" s="78"/>
      <c r="BE241" s="78"/>
      <c r="BF241" s="78"/>
      <c r="BG241" s="78"/>
      <c r="BH241" s="78"/>
      <c r="BI241" s="78"/>
      <c r="BJ241" s="78"/>
      <c r="BK241" s="78"/>
      <c r="BL241" s="78"/>
      <c r="BM241" s="78"/>
      <c r="BN241" s="78"/>
      <c r="BO241" s="78"/>
      <c r="BP241" s="78"/>
      <c r="BQ241" s="78"/>
      <c r="BR241" s="78"/>
    </row>
    <row r="242" spans="1:70" ht="15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  <c r="AI242" s="78"/>
      <c r="AJ242" s="78"/>
      <c r="AK242" s="78"/>
      <c r="AL242" s="78"/>
      <c r="AM242" s="78"/>
      <c r="AN242" s="78"/>
      <c r="AO242" s="78"/>
      <c r="AP242" s="78"/>
      <c r="AQ242" s="78"/>
      <c r="AR242" s="78"/>
      <c r="AS242" s="78"/>
      <c r="AT242" s="78"/>
      <c r="AU242" s="78"/>
      <c r="AV242" s="78"/>
      <c r="AW242" s="78"/>
      <c r="AX242" s="78"/>
      <c r="AY242" s="78"/>
      <c r="AZ242" s="78"/>
      <c r="BA242" s="78"/>
      <c r="BB242" s="78"/>
      <c r="BC242" s="78"/>
      <c r="BD242" s="78"/>
      <c r="BE242" s="78"/>
      <c r="BF242" s="78"/>
      <c r="BG242" s="78"/>
      <c r="BH242" s="78"/>
      <c r="BI242" s="78"/>
      <c r="BJ242" s="78"/>
      <c r="BK242" s="78"/>
      <c r="BL242" s="78"/>
      <c r="BM242" s="78"/>
      <c r="BN242" s="78"/>
      <c r="BO242" s="78"/>
      <c r="BP242" s="78"/>
      <c r="BQ242" s="78"/>
      <c r="BR242" s="78"/>
    </row>
    <row r="243" spans="1:70" ht="15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8"/>
      <c r="AK243" s="78"/>
      <c r="AL243" s="78"/>
      <c r="AM243" s="78"/>
      <c r="AN243" s="78"/>
      <c r="AO243" s="78"/>
      <c r="AP243" s="78"/>
      <c r="AQ243" s="78"/>
      <c r="AR243" s="78"/>
      <c r="AS243" s="78"/>
      <c r="AT243" s="78"/>
      <c r="AU243" s="78"/>
      <c r="AV243" s="78"/>
      <c r="AW243" s="78"/>
      <c r="AX243" s="78"/>
      <c r="AY243" s="78"/>
      <c r="AZ243" s="78"/>
      <c r="BA243" s="78"/>
      <c r="BB243" s="78"/>
      <c r="BC243" s="78"/>
      <c r="BD243" s="78"/>
      <c r="BE243" s="78"/>
      <c r="BF243" s="78"/>
      <c r="BG243" s="78"/>
      <c r="BH243" s="78"/>
      <c r="BI243" s="78"/>
      <c r="BJ243" s="78"/>
      <c r="BK243" s="78"/>
      <c r="BL243" s="78"/>
      <c r="BM243" s="78"/>
      <c r="BN243" s="78"/>
      <c r="BO243" s="78"/>
      <c r="BP243" s="78"/>
      <c r="BQ243" s="78"/>
      <c r="BR243" s="78"/>
    </row>
    <row r="244" spans="1:70" ht="15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  <c r="AI244" s="78"/>
      <c r="AJ244" s="78"/>
      <c r="AK244" s="78"/>
      <c r="AL244" s="78"/>
      <c r="AM244" s="78"/>
      <c r="AN244" s="78"/>
      <c r="AO244" s="78"/>
      <c r="AP244" s="78"/>
      <c r="AQ244" s="78"/>
      <c r="AR244" s="78"/>
      <c r="AS244" s="78"/>
      <c r="AT244" s="78"/>
      <c r="AU244" s="78"/>
      <c r="AV244" s="78"/>
      <c r="AW244" s="78"/>
      <c r="AX244" s="78"/>
      <c r="AY244" s="78"/>
      <c r="AZ244" s="78"/>
      <c r="BA244" s="78"/>
      <c r="BB244" s="78"/>
      <c r="BC244" s="78"/>
      <c r="BD244" s="78"/>
      <c r="BE244" s="78"/>
      <c r="BF244" s="78"/>
      <c r="BG244" s="78"/>
      <c r="BH244" s="78"/>
      <c r="BI244" s="78"/>
      <c r="BJ244" s="78"/>
      <c r="BK244" s="78"/>
      <c r="BL244" s="78"/>
      <c r="BM244" s="78"/>
      <c r="BN244" s="78"/>
      <c r="BO244" s="78"/>
      <c r="BP244" s="78"/>
      <c r="BQ244" s="78"/>
      <c r="BR244" s="78"/>
    </row>
    <row r="245" spans="1:70" ht="15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  <c r="AI245" s="78"/>
      <c r="AJ245" s="78"/>
      <c r="AK245" s="78"/>
      <c r="AL245" s="78"/>
      <c r="AM245" s="78"/>
      <c r="AN245" s="78"/>
      <c r="AO245" s="78"/>
      <c r="AP245" s="78"/>
      <c r="AQ245" s="78"/>
      <c r="AR245" s="78"/>
      <c r="AS245" s="78"/>
      <c r="AT245" s="78"/>
      <c r="AU245" s="78"/>
      <c r="AV245" s="78"/>
      <c r="AW245" s="78"/>
      <c r="AX245" s="78"/>
      <c r="AY245" s="78"/>
      <c r="AZ245" s="78"/>
      <c r="BA245" s="78"/>
      <c r="BB245" s="78"/>
      <c r="BC245" s="78"/>
      <c r="BD245" s="78"/>
      <c r="BE245" s="78"/>
      <c r="BF245" s="78"/>
      <c r="BG245" s="78"/>
      <c r="BH245" s="78"/>
      <c r="BI245" s="78"/>
      <c r="BJ245" s="78"/>
      <c r="BK245" s="78"/>
      <c r="BL245" s="78"/>
      <c r="BM245" s="78"/>
      <c r="BN245" s="78"/>
      <c r="BO245" s="78"/>
      <c r="BP245" s="78"/>
      <c r="BQ245" s="78"/>
      <c r="BR245" s="78"/>
    </row>
    <row r="246" spans="1:70" ht="15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  <c r="AI246" s="78"/>
      <c r="AJ246" s="78"/>
      <c r="AK246" s="78"/>
      <c r="AL246" s="78"/>
      <c r="AM246" s="78"/>
      <c r="AN246" s="78"/>
      <c r="AO246" s="78"/>
      <c r="AP246" s="78"/>
      <c r="AQ246" s="78"/>
      <c r="AR246" s="78"/>
      <c r="AS246" s="78"/>
      <c r="AT246" s="78"/>
      <c r="AU246" s="78"/>
      <c r="AV246" s="78"/>
      <c r="AW246" s="78"/>
      <c r="AX246" s="78"/>
      <c r="AY246" s="78"/>
      <c r="AZ246" s="78"/>
      <c r="BA246" s="78"/>
      <c r="BB246" s="78"/>
      <c r="BC246" s="78"/>
      <c r="BD246" s="78"/>
      <c r="BE246" s="78"/>
      <c r="BF246" s="78"/>
      <c r="BG246" s="78"/>
      <c r="BH246" s="78"/>
      <c r="BI246" s="78"/>
      <c r="BJ246" s="78"/>
      <c r="BK246" s="78"/>
      <c r="BL246" s="78"/>
      <c r="BM246" s="78"/>
      <c r="BN246" s="78"/>
      <c r="BO246" s="78"/>
      <c r="BP246" s="78"/>
      <c r="BQ246" s="78"/>
      <c r="BR246" s="78"/>
    </row>
    <row r="247" spans="1:70" ht="15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  <c r="AI247" s="78"/>
      <c r="AJ247" s="78"/>
      <c r="AK247" s="78"/>
      <c r="AL247" s="78"/>
      <c r="AM247" s="78"/>
      <c r="AN247" s="78"/>
      <c r="AO247" s="78"/>
      <c r="AP247" s="78"/>
      <c r="AQ247" s="78"/>
      <c r="AR247" s="78"/>
      <c r="AS247" s="78"/>
      <c r="AT247" s="78"/>
      <c r="AU247" s="78"/>
      <c r="AV247" s="78"/>
      <c r="AW247" s="78"/>
      <c r="AX247" s="78"/>
      <c r="AY247" s="78"/>
      <c r="AZ247" s="78"/>
      <c r="BA247" s="78"/>
      <c r="BB247" s="78"/>
      <c r="BC247" s="78"/>
      <c r="BD247" s="78"/>
      <c r="BE247" s="78"/>
      <c r="BF247" s="78"/>
      <c r="BG247" s="78"/>
      <c r="BH247" s="78"/>
      <c r="BI247" s="78"/>
      <c r="BJ247" s="78"/>
      <c r="BK247" s="78"/>
      <c r="BL247" s="78"/>
      <c r="BM247" s="78"/>
      <c r="BN247" s="78"/>
      <c r="BO247" s="78"/>
      <c r="BP247" s="78"/>
      <c r="BQ247" s="78"/>
      <c r="BR247" s="78"/>
    </row>
    <row r="248" spans="1:70" ht="15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  <c r="AI248" s="78"/>
      <c r="AJ248" s="78"/>
      <c r="AK248" s="78"/>
      <c r="AL248" s="78"/>
      <c r="AM248" s="78"/>
      <c r="AN248" s="78"/>
      <c r="AO248" s="78"/>
      <c r="AP248" s="78"/>
      <c r="AQ248" s="78"/>
      <c r="AR248" s="78"/>
      <c r="AS248" s="78"/>
      <c r="AT248" s="78"/>
      <c r="AU248" s="78"/>
      <c r="AV248" s="78"/>
      <c r="AW248" s="78"/>
      <c r="AX248" s="78"/>
      <c r="AY248" s="78"/>
      <c r="AZ248" s="78"/>
      <c r="BA248" s="78"/>
      <c r="BB248" s="78"/>
      <c r="BC248" s="78"/>
      <c r="BD248" s="78"/>
      <c r="BE248" s="78"/>
      <c r="BF248" s="78"/>
      <c r="BG248" s="78"/>
      <c r="BH248" s="78"/>
      <c r="BI248" s="78"/>
      <c r="BJ248" s="78"/>
      <c r="BK248" s="78"/>
      <c r="BL248" s="78"/>
      <c r="BM248" s="78"/>
      <c r="BN248" s="78"/>
      <c r="BO248" s="78"/>
      <c r="BP248" s="78"/>
      <c r="BQ248" s="78"/>
      <c r="BR248" s="78"/>
    </row>
    <row r="249" spans="1:70" ht="15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  <c r="AI249" s="78"/>
      <c r="AJ249" s="78"/>
      <c r="AK249" s="78"/>
      <c r="AL249" s="78"/>
      <c r="AM249" s="78"/>
      <c r="AN249" s="78"/>
      <c r="AO249" s="78"/>
      <c r="AP249" s="78"/>
      <c r="AQ249" s="78"/>
      <c r="AR249" s="78"/>
      <c r="AS249" s="78"/>
      <c r="AT249" s="78"/>
      <c r="AU249" s="78"/>
      <c r="AV249" s="78"/>
      <c r="AW249" s="78"/>
      <c r="AX249" s="78"/>
      <c r="AY249" s="78"/>
      <c r="AZ249" s="78"/>
      <c r="BA249" s="78"/>
      <c r="BB249" s="78"/>
      <c r="BC249" s="78"/>
      <c r="BD249" s="78"/>
      <c r="BE249" s="78"/>
      <c r="BF249" s="78"/>
      <c r="BG249" s="78"/>
      <c r="BH249" s="78"/>
      <c r="BI249" s="78"/>
      <c r="BJ249" s="78"/>
      <c r="BK249" s="78"/>
      <c r="BL249" s="78"/>
      <c r="BM249" s="78"/>
      <c r="BN249" s="78"/>
      <c r="BO249" s="78"/>
      <c r="BP249" s="78"/>
      <c r="BQ249" s="78"/>
      <c r="BR249" s="78"/>
    </row>
    <row r="250" spans="1:70" ht="15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  <c r="AD250" s="78"/>
      <c r="AE250" s="78"/>
      <c r="AF250" s="78"/>
      <c r="AG250" s="78"/>
      <c r="AH250" s="78"/>
      <c r="AI250" s="78"/>
      <c r="AJ250" s="78"/>
      <c r="AK250" s="78"/>
      <c r="AL250" s="78"/>
      <c r="AM250" s="78"/>
      <c r="AN250" s="78"/>
      <c r="AO250" s="78"/>
      <c r="AP250" s="78"/>
      <c r="AQ250" s="78"/>
      <c r="AR250" s="78"/>
      <c r="AS250" s="78"/>
      <c r="AT250" s="78"/>
      <c r="AU250" s="78"/>
      <c r="AV250" s="78"/>
      <c r="AW250" s="78"/>
      <c r="AX250" s="78"/>
      <c r="AY250" s="78"/>
      <c r="AZ250" s="78"/>
      <c r="BA250" s="78"/>
      <c r="BB250" s="78"/>
      <c r="BC250" s="78"/>
      <c r="BD250" s="78"/>
      <c r="BE250" s="78"/>
      <c r="BF250" s="78"/>
      <c r="BG250" s="78"/>
      <c r="BH250" s="78"/>
      <c r="BI250" s="78"/>
      <c r="BJ250" s="78"/>
      <c r="BK250" s="78"/>
      <c r="BL250" s="78"/>
      <c r="BM250" s="78"/>
      <c r="BN250" s="78"/>
      <c r="BO250" s="78"/>
      <c r="BP250" s="78"/>
      <c r="BQ250" s="78"/>
      <c r="BR250" s="78"/>
    </row>
    <row r="251" spans="1:70" ht="15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  <c r="AI251" s="78"/>
      <c r="AJ251" s="78"/>
      <c r="AK251" s="78"/>
      <c r="AL251" s="78"/>
      <c r="AM251" s="78"/>
      <c r="AN251" s="78"/>
      <c r="AO251" s="78"/>
      <c r="AP251" s="78"/>
      <c r="AQ251" s="78"/>
      <c r="AR251" s="78"/>
      <c r="AS251" s="78"/>
      <c r="AT251" s="78"/>
      <c r="AU251" s="78"/>
      <c r="AV251" s="78"/>
      <c r="AW251" s="78"/>
      <c r="AX251" s="78"/>
      <c r="AY251" s="78"/>
      <c r="AZ251" s="78"/>
      <c r="BA251" s="78"/>
      <c r="BB251" s="78"/>
      <c r="BC251" s="78"/>
      <c r="BD251" s="78"/>
      <c r="BE251" s="78"/>
      <c r="BF251" s="78"/>
      <c r="BG251" s="78"/>
      <c r="BH251" s="78"/>
      <c r="BI251" s="78"/>
      <c r="BJ251" s="78"/>
      <c r="BK251" s="78"/>
      <c r="BL251" s="78"/>
      <c r="BM251" s="78"/>
      <c r="BN251" s="78"/>
      <c r="BO251" s="78"/>
      <c r="BP251" s="78"/>
      <c r="BQ251" s="78"/>
      <c r="BR251" s="78"/>
    </row>
    <row r="252" spans="1:70" ht="15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  <c r="AI252" s="78"/>
      <c r="AJ252" s="78"/>
      <c r="AK252" s="78"/>
      <c r="AL252" s="78"/>
      <c r="AM252" s="78"/>
      <c r="AN252" s="78"/>
      <c r="AO252" s="78"/>
      <c r="AP252" s="78"/>
      <c r="AQ252" s="78"/>
      <c r="AR252" s="78"/>
      <c r="AS252" s="78"/>
      <c r="AT252" s="78"/>
      <c r="AU252" s="78"/>
      <c r="AV252" s="78"/>
      <c r="AW252" s="78"/>
      <c r="AX252" s="78"/>
      <c r="AY252" s="78"/>
      <c r="AZ252" s="78"/>
      <c r="BA252" s="78"/>
      <c r="BB252" s="78"/>
      <c r="BC252" s="78"/>
      <c r="BD252" s="78"/>
      <c r="BE252" s="78"/>
      <c r="BF252" s="78"/>
      <c r="BG252" s="78"/>
      <c r="BH252" s="78"/>
      <c r="BI252" s="78"/>
      <c r="BJ252" s="78"/>
      <c r="BK252" s="78"/>
      <c r="BL252" s="78"/>
      <c r="BM252" s="78"/>
      <c r="BN252" s="78"/>
      <c r="BO252" s="78"/>
      <c r="BP252" s="78"/>
      <c r="BQ252" s="78"/>
      <c r="BR252" s="78"/>
    </row>
    <row r="253" spans="1:70" ht="15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  <c r="AI253" s="78"/>
      <c r="AJ253" s="78"/>
      <c r="AK253" s="78"/>
      <c r="AL253" s="78"/>
      <c r="AM253" s="78"/>
      <c r="AN253" s="78"/>
      <c r="AO253" s="78"/>
      <c r="AP253" s="78"/>
      <c r="AQ253" s="78"/>
      <c r="AR253" s="78"/>
      <c r="AS253" s="78"/>
      <c r="AT253" s="78"/>
      <c r="AU253" s="78"/>
      <c r="AV253" s="78"/>
      <c r="AW253" s="78"/>
      <c r="AX253" s="78"/>
      <c r="AY253" s="78"/>
      <c r="AZ253" s="78"/>
      <c r="BA253" s="78"/>
      <c r="BB253" s="78"/>
      <c r="BC253" s="78"/>
      <c r="BD253" s="78"/>
      <c r="BE253" s="78"/>
      <c r="BF253" s="78"/>
      <c r="BG253" s="78"/>
      <c r="BH253" s="78"/>
      <c r="BI253" s="78"/>
      <c r="BJ253" s="78"/>
      <c r="BK253" s="78"/>
      <c r="BL253" s="78"/>
      <c r="BM253" s="78"/>
      <c r="BN253" s="78"/>
      <c r="BO253" s="78"/>
      <c r="BP253" s="78"/>
      <c r="BQ253" s="78"/>
      <c r="BR253" s="78"/>
    </row>
    <row r="254" spans="1:70" ht="15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  <c r="AI254" s="78"/>
      <c r="AJ254" s="78"/>
      <c r="AK254" s="78"/>
      <c r="AL254" s="78"/>
      <c r="AM254" s="78"/>
      <c r="AN254" s="78"/>
      <c r="AO254" s="78"/>
      <c r="AP254" s="78"/>
      <c r="AQ254" s="78"/>
      <c r="AR254" s="78"/>
      <c r="AS254" s="78"/>
      <c r="AT254" s="78"/>
      <c r="AU254" s="78"/>
      <c r="AV254" s="78"/>
      <c r="AW254" s="78"/>
      <c r="AX254" s="78"/>
      <c r="AY254" s="78"/>
      <c r="AZ254" s="78"/>
      <c r="BA254" s="78"/>
      <c r="BB254" s="78"/>
      <c r="BC254" s="78"/>
      <c r="BD254" s="78"/>
      <c r="BE254" s="78"/>
      <c r="BF254" s="78"/>
      <c r="BG254" s="78"/>
      <c r="BH254" s="78"/>
      <c r="BI254" s="78"/>
      <c r="BJ254" s="78"/>
      <c r="BK254" s="78"/>
      <c r="BL254" s="78"/>
      <c r="BM254" s="78"/>
      <c r="BN254" s="78"/>
      <c r="BO254" s="78"/>
      <c r="BP254" s="78"/>
      <c r="BQ254" s="78"/>
      <c r="BR254" s="78"/>
    </row>
    <row r="255" spans="1:70" ht="15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  <c r="AI255" s="78"/>
      <c r="AJ255" s="78"/>
      <c r="AK255" s="78"/>
      <c r="AL255" s="78"/>
      <c r="AM255" s="78"/>
      <c r="AN255" s="78"/>
      <c r="AO255" s="78"/>
      <c r="AP255" s="78"/>
      <c r="AQ255" s="78"/>
      <c r="AR255" s="78"/>
      <c r="AS255" s="78"/>
      <c r="AT255" s="78"/>
      <c r="AU255" s="78"/>
      <c r="AV255" s="78"/>
      <c r="AW255" s="78"/>
      <c r="AX255" s="78"/>
      <c r="AY255" s="78"/>
      <c r="AZ255" s="78"/>
      <c r="BA255" s="78"/>
      <c r="BB255" s="78"/>
      <c r="BC255" s="78"/>
      <c r="BD255" s="78"/>
      <c r="BE255" s="78"/>
      <c r="BF255" s="78"/>
      <c r="BG255" s="78"/>
      <c r="BH255" s="78"/>
      <c r="BI255" s="78"/>
      <c r="BJ255" s="78"/>
      <c r="BK255" s="78"/>
      <c r="BL255" s="78"/>
      <c r="BM255" s="78"/>
      <c r="BN255" s="78"/>
      <c r="BO255" s="78"/>
      <c r="BP255" s="78"/>
      <c r="BQ255" s="78"/>
      <c r="BR255" s="78"/>
    </row>
    <row r="256" spans="1:70" ht="15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  <c r="AI256" s="78"/>
      <c r="AJ256" s="78"/>
      <c r="AK256" s="78"/>
      <c r="AL256" s="78"/>
      <c r="AM256" s="78"/>
      <c r="AN256" s="78"/>
      <c r="AO256" s="78"/>
      <c r="AP256" s="78"/>
      <c r="AQ256" s="78"/>
      <c r="AR256" s="78"/>
      <c r="AS256" s="78"/>
      <c r="AT256" s="78"/>
      <c r="AU256" s="78"/>
      <c r="AV256" s="78"/>
      <c r="AW256" s="78"/>
      <c r="AX256" s="78"/>
      <c r="AY256" s="78"/>
      <c r="AZ256" s="78"/>
      <c r="BA256" s="78"/>
      <c r="BB256" s="78"/>
      <c r="BC256" s="78"/>
      <c r="BD256" s="78"/>
      <c r="BE256" s="78"/>
      <c r="BF256" s="78"/>
      <c r="BG256" s="78"/>
      <c r="BH256" s="78"/>
      <c r="BI256" s="78"/>
      <c r="BJ256" s="78"/>
      <c r="BK256" s="78"/>
      <c r="BL256" s="78"/>
      <c r="BM256" s="78"/>
      <c r="BN256" s="78"/>
      <c r="BO256" s="78"/>
      <c r="BP256" s="78"/>
      <c r="BQ256" s="78"/>
      <c r="BR256" s="78"/>
    </row>
    <row r="257" spans="1:70" ht="15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  <c r="AI257" s="78"/>
      <c r="AJ257" s="78"/>
      <c r="AK257" s="78"/>
      <c r="AL257" s="78"/>
      <c r="AM257" s="78"/>
      <c r="AN257" s="78"/>
      <c r="AO257" s="78"/>
      <c r="AP257" s="78"/>
      <c r="AQ257" s="78"/>
      <c r="AR257" s="78"/>
      <c r="AS257" s="78"/>
      <c r="AT257" s="78"/>
      <c r="AU257" s="78"/>
      <c r="AV257" s="78"/>
      <c r="AW257" s="78"/>
      <c r="AX257" s="78"/>
      <c r="AY257" s="78"/>
      <c r="AZ257" s="78"/>
      <c r="BA257" s="78"/>
      <c r="BB257" s="78"/>
      <c r="BC257" s="78"/>
      <c r="BD257" s="78"/>
      <c r="BE257" s="78"/>
      <c r="BF257" s="78"/>
      <c r="BG257" s="78"/>
      <c r="BH257" s="78"/>
      <c r="BI257" s="78"/>
      <c r="BJ257" s="78"/>
      <c r="BK257" s="78"/>
      <c r="BL257" s="78"/>
      <c r="BM257" s="78"/>
      <c r="BN257" s="78"/>
      <c r="BO257" s="78"/>
      <c r="BP257" s="78"/>
      <c r="BQ257" s="78"/>
      <c r="BR257" s="78"/>
    </row>
    <row r="258" spans="1:70" ht="15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  <c r="AI258" s="78"/>
      <c r="AJ258" s="78"/>
      <c r="AK258" s="78"/>
      <c r="AL258" s="78"/>
      <c r="AM258" s="78"/>
      <c r="AN258" s="78"/>
      <c r="AO258" s="78"/>
      <c r="AP258" s="78"/>
      <c r="AQ258" s="78"/>
      <c r="AR258" s="78"/>
      <c r="AS258" s="78"/>
      <c r="AT258" s="78"/>
      <c r="AU258" s="78"/>
      <c r="AV258" s="78"/>
      <c r="AW258" s="78"/>
      <c r="AX258" s="78"/>
      <c r="AY258" s="78"/>
      <c r="AZ258" s="78"/>
      <c r="BA258" s="78"/>
      <c r="BB258" s="78"/>
      <c r="BC258" s="78"/>
      <c r="BD258" s="78"/>
      <c r="BE258" s="78"/>
      <c r="BF258" s="78"/>
      <c r="BG258" s="78"/>
      <c r="BH258" s="78"/>
      <c r="BI258" s="78"/>
      <c r="BJ258" s="78"/>
      <c r="BK258" s="78"/>
      <c r="BL258" s="78"/>
      <c r="BM258" s="78"/>
      <c r="BN258" s="78"/>
      <c r="BO258" s="78"/>
      <c r="BP258" s="78"/>
      <c r="BQ258" s="78"/>
      <c r="BR258" s="78"/>
    </row>
    <row r="259" spans="1:70" ht="15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  <c r="AI259" s="78"/>
      <c r="AJ259" s="78"/>
      <c r="AK259" s="78"/>
      <c r="AL259" s="78"/>
      <c r="AM259" s="78"/>
      <c r="AN259" s="78"/>
      <c r="AO259" s="78"/>
      <c r="AP259" s="78"/>
      <c r="AQ259" s="78"/>
      <c r="AR259" s="78"/>
      <c r="AS259" s="78"/>
      <c r="AT259" s="78"/>
      <c r="AU259" s="78"/>
      <c r="AV259" s="78"/>
      <c r="AW259" s="78"/>
      <c r="AX259" s="78"/>
      <c r="AY259" s="78"/>
      <c r="AZ259" s="78"/>
      <c r="BA259" s="78"/>
      <c r="BB259" s="78"/>
      <c r="BC259" s="78"/>
      <c r="BD259" s="78"/>
      <c r="BE259" s="78"/>
      <c r="BF259" s="78"/>
      <c r="BG259" s="78"/>
      <c r="BH259" s="78"/>
      <c r="BI259" s="78"/>
      <c r="BJ259" s="78"/>
      <c r="BK259" s="78"/>
      <c r="BL259" s="78"/>
      <c r="BM259" s="78"/>
      <c r="BN259" s="78"/>
      <c r="BO259" s="78"/>
      <c r="BP259" s="78"/>
      <c r="BQ259" s="78"/>
      <c r="BR259" s="78"/>
    </row>
    <row r="260" spans="1:70" ht="15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  <c r="AI260" s="78"/>
      <c r="AJ260" s="78"/>
      <c r="AK260" s="78"/>
      <c r="AL260" s="78"/>
      <c r="AM260" s="78"/>
      <c r="AN260" s="78"/>
      <c r="AO260" s="78"/>
      <c r="AP260" s="78"/>
      <c r="AQ260" s="78"/>
      <c r="AR260" s="78"/>
      <c r="AS260" s="78"/>
      <c r="AT260" s="78"/>
      <c r="AU260" s="78"/>
      <c r="AV260" s="78"/>
      <c r="AW260" s="78"/>
      <c r="AX260" s="78"/>
      <c r="AY260" s="78"/>
      <c r="AZ260" s="78"/>
      <c r="BA260" s="78"/>
      <c r="BB260" s="78"/>
      <c r="BC260" s="78"/>
      <c r="BD260" s="78"/>
      <c r="BE260" s="78"/>
      <c r="BF260" s="78"/>
      <c r="BG260" s="78"/>
      <c r="BH260" s="78"/>
      <c r="BI260" s="78"/>
      <c r="BJ260" s="78"/>
      <c r="BK260" s="78"/>
      <c r="BL260" s="78"/>
      <c r="BM260" s="78"/>
      <c r="BN260" s="78"/>
      <c r="BO260" s="78"/>
      <c r="BP260" s="78"/>
      <c r="BQ260" s="78"/>
      <c r="BR260" s="78"/>
    </row>
    <row r="261" spans="1:70" ht="15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  <c r="AI261" s="78"/>
      <c r="AJ261" s="78"/>
      <c r="AK261" s="78"/>
      <c r="AL261" s="78"/>
      <c r="AM261" s="78"/>
      <c r="AN261" s="78"/>
      <c r="AO261" s="78"/>
      <c r="AP261" s="78"/>
      <c r="AQ261" s="78"/>
      <c r="AR261" s="78"/>
      <c r="AS261" s="78"/>
      <c r="AT261" s="78"/>
      <c r="AU261" s="78"/>
      <c r="AV261" s="78"/>
      <c r="AW261" s="78"/>
      <c r="AX261" s="78"/>
      <c r="AY261" s="78"/>
      <c r="AZ261" s="78"/>
      <c r="BA261" s="78"/>
      <c r="BB261" s="78"/>
      <c r="BC261" s="78"/>
      <c r="BD261" s="78"/>
      <c r="BE261" s="78"/>
      <c r="BF261" s="78"/>
      <c r="BG261" s="78"/>
      <c r="BH261" s="78"/>
      <c r="BI261" s="78"/>
      <c r="BJ261" s="78"/>
      <c r="BK261" s="78"/>
      <c r="BL261" s="78"/>
      <c r="BM261" s="78"/>
      <c r="BN261" s="78"/>
      <c r="BO261" s="78"/>
      <c r="BP261" s="78"/>
      <c r="BQ261" s="78"/>
      <c r="BR261" s="78"/>
    </row>
    <row r="262" spans="1:70" ht="15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  <c r="AI262" s="78"/>
      <c r="AJ262" s="78"/>
      <c r="AK262" s="78"/>
      <c r="AL262" s="78"/>
      <c r="AM262" s="78"/>
      <c r="AN262" s="78"/>
      <c r="AO262" s="78"/>
      <c r="AP262" s="78"/>
      <c r="AQ262" s="78"/>
      <c r="AR262" s="78"/>
      <c r="AS262" s="78"/>
      <c r="AT262" s="78"/>
      <c r="AU262" s="78"/>
      <c r="AV262" s="78"/>
      <c r="AW262" s="78"/>
      <c r="AX262" s="78"/>
      <c r="AY262" s="78"/>
      <c r="AZ262" s="78"/>
      <c r="BA262" s="78"/>
      <c r="BB262" s="78"/>
      <c r="BC262" s="78"/>
      <c r="BD262" s="78"/>
      <c r="BE262" s="78"/>
      <c r="BF262" s="78"/>
      <c r="BG262" s="78"/>
      <c r="BH262" s="78"/>
      <c r="BI262" s="78"/>
      <c r="BJ262" s="78"/>
      <c r="BK262" s="78"/>
      <c r="BL262" s="78"/>
      <c r="BM262" s="78"/>
      <c r="BN262" s="78"/>
      <c r="BO262" s="78"/>
      <c r="BP262" s="78"/>
      <c r="BQ262" s="78"/>
      <c r="BR262" s="78"/>
    </row>
    <row r="263" spans="1:70" ht="15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  <c r="AI263" s="78"/>
      <c r="AJ263" s="78"/>
      <c r="AK263" s="78"/>
      <c r="AL263" s="78"/>
      <c r="AM263" s="78"/>
      <c r="AN263" s="78"/>
      <c r="AO263" s="78"/>
      <c r="AP263" s="78"/>
      <c r="AQ263" s="78"/>
      <c r="AR263" s="78"/>
      <c r="AS263" s="78"/>
      <c r="AT263" s="78"/>
      <c r="AU263" s="78"/>
      <c r="AV263" s="78"/>
      <c r="AW263" s="78"/>
      <c r="AX263" s="78"/>
      <c r="AY263" s="78"/>
      <c r="AZ263" s="78"/>
      <c r="BA263" s="78"/>
      <c r="BB263" s="78"/>
      <c r="BC263" s="78"/>
      <c r="BD263" s="78"/>
      <c r="BE263" s="78"/>
      <c r="BF263" s="78"/>
      <c r="BG263" s="78"/>
      <c r="BH263" s="78"/>
      <c r="BI263" s="78"/>
      <c r="BJ263" s="78"/>
      <c r="BK263" s="78"/>
      <c r="BL263" s="78"/>
      <c r="BM263" s="78"/>
      <c r="BN263" s="78"/>
      <c r="BO263" s="78"/>
      <c r="BP263" s="78"/>
      <c r="BQ263" s="78"/>
      <c r="BR263" s="78"/>
    </row>
    <row r="264" spans="1:70" ht="15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  <c r="AI264" s="78"/>
      <c r="AJ264" s="78"/>
      <c r="AK264" s="78"/>
      <c r="AL264" s="78"/>
      <c r="AM264" s="78"/>
      <c r="AN264" s="78"/>
      <c r="AO264" s="78"/>
      <c r="AP264" s="78"/>
      <c r="AQ264" s="78"/>
      <c r="AR264" s="78"/>
      <c r="AS264" s="78"/>
      <c r="AT264" s="78"/>
      <c r="AU264" s="78"/>
      <c r="AV264" s="78"/>
      <c r="AW264" s="78"/>
      <c r="AX264" s="78"/>
      <c r="AY264" s="78"/>
      <c r="AZ264" s="78"/>
      <c r="BA264" s="78"/>
      <c r="BB264" s="78"/>
      <c r="BC264" s="78"/>
      <c r="BD264" s="78"/>
      <c r="BE264" s="78"/>
      <c r="BF264" s="78"/>
      <c r="BG264" s="78"/>
      <c r="BH264" s="78"/>
      <c r="BI264" s="78"/>
      <c r="BJ264" s="78"/>
      <c r="BK264" s="78"/>
      <c r="BL264" s="78"/>
      <c r="BM264" s="78"/>
      <c r="BN264" s="78"/>
      <c r="BO264" s="78"/>
      <c r="BP264" s="78"/>
      <c r="BQ264" s="78"/>
      <c r="BR264" s="78"/>
    </row>
    <row r="265" spans="1:70" ht="15.75" customHeight="1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  <c r="AL265" s="84"/>
      <c r="AM265" s="84"/>
      <c r="AN265" s="84"/>
      <c r="AO265" s="84"/>
      <c r="AP265" s="84"/>
      <c r="AQ265" s="84"/>
      <c r="AR265" s="84"/>
      <c r="AS265" s="84"/>
      <c r="AT265" s="84"/>
      <c r="AU265" s="84"/>
      <c r="AV265" s="84"/>
      <c r="AW265" s="84"/>
      <c r="AX265" s="84"/>
      <c r="AY265" s="84"/>
      <c r="AZ265" s="84"/>
      <c r="BA265" s="84"/>
      <c r="BB265" s="84"/>
      <c r="BC265" s="84"/>
      <c r="BD265" s="84"/>
      <c r="BE265" s="84"/>
      <c r="BF265" s="84"/>
      <c r="BG265" s="84"/>
      <c r="BH265" s="84"/>
      <c r="BI265" s="84"/>
      <c r="BJ265" s="84"/>
      <c r="BK265" s="84"/>
      <c r="BL265" s="84"/>
      <c r="BM265" s="84"/>
      <c r="BN265" s="84"/>
      <c r="BO265" s="84"/>
      <c r="BP265" s="84"/>
      <c r="BQ265" s="84"/>
      <c r="BR265" s="84"/>
    </row>
    <row r="266" spans="1:70" ht="15.75" customHeight="1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  <c r="AY266" s="84"/>
      <c r="AZ266" s="84"/>
      <c r="BA266" s="84"/>
      <c r="BB266" s="84"/>
      <c r="BC266" s="84"/>
      <c r="BD266" s="84"/>
      <c r="BE266" s="84"/>
      <c r="BF266" s="84"/>
      <c r="BG266" s="84"/>
      <c r="BH266" s="84"/>
      <c r="BI266" s="84"/>
      <c r="BJ266" s="84"/>
      <c r="BK266" s="84"/>
      <c r="BL266" s="84"/>
      <c r="BM266" s="84"/>
      <c r="BN266" s="84"/>
      <c r="BO266" s="84"/>
      <c r="BP266" s="84"/>
      <c r="BQ266" s="84"/>
      <c r="BR266" s="84"/>
    </row>
    <row r="267" spans="1:70" ht="15.75" customHeight="1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84"/>
      <c r="AW267" s="84"/>
      <c r="AX267" s="84"/>
      <c r="AY267" s="84"/>
      <c r="AZ267" s="84"/>
      <c r="BA267" s="84"/>
      <c r="BB267" s="84"/>
      <c r="BC267" s="84"/>
      <c r="BD267" s="84"/>
      <c r="BE267" s="84"/>
      <c r="BF267" s="84"/>
      <c r="BG267" s="84"/>
      <c r="BH267" s="84"/>
      <c r="BI267" s="84"/>
      <c r="BJ267" s="84"/>
      <c r="BK267" s="84"/>
      <c r="BL267" s="84"/>
      <c r="BM267" s="84"/>
      <c r="BN267" s="84"/>
      <c r="BO267" s="84"/>
      <c r="BP267" s="84"/>
      <c r="BQ267" s="84"/>
      <c r="BR267" s="84"/>
    </row>
    <row r="268" spans="1:70" ht="15.75" customHeight="1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  <c r="AL268" s="84"/>
      <c r="AM268" s="84"/>
      <c r="AN268" s="84"/>
      <c r="AO268" s="84"/>
      <c r="AP268" s="84"/>
      <c r="AQ268" s="84"/>
      <c r="AR268" s="84"/>
      <c r="AS268" s="84"/>
      <c r="AT268" s="84"/>
      <c r="AU268" s="84"/>
      <c r="AV268" s="84"/>
      <c r="AW268" s="84"/>
      <c r="AX268" s="84"/>
      <c r="AY268" s="84"/>
      <c r="AZ268" s="84"/>
      <c r="BA268" s="84"/>
      <c r="BB268" s="84"/>
      <c r="BC268" s="84"/>
      <c r="BD268" s="84"/>
      <c r="BE268" s="84"/>
      <c r="BF268" s="84"/>
      <c r="BG268" s="84"/>
      <c r="BH268" s="84"/>
      <c r="BI268" s="84"/>
      <c r="BJ268" s="84"/>
      <c r="BK268" s="84"/>
      <c r="BL268" s="84"/>
      <c r="BM268" s="84"/>
      <c r="BN268" s="84"/>
      <c r="BO268" s="84"/>
      <c r="BP268" s="84"/>
      <c r="BQ268" s="84"/>
      <c r="BR268" s="84"/>
    </row>
    <row r="269" spans="1:70" ht="15.75" customHeight="1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  <c r="AL269" s="84"/>
      <c r="AM269" s="84"/>
      <c r="AN269" s="84"/>
      <c r="AO269" s="84"/>
      <c r="AP269" s="84"/>
      <c r="AQ269" s="84"/>
      <c r="AR269" s="84"/>
      <c r="AS269" s="84"/>
      <c r="AT269" s="84"/>
      <c r="AU269" s="84"/>
      <c r="AV269" s="84"/>
      <c r="AW269" s="84"/>
      <c r="AX269" s="84"/>
      <c r="AY269" s="84"/>
      <c r="AZ269" s="84"/>
      <c r="BA269" s="84"/>
      <c r="BB269" s="84"/>
      <c r="BC269" s="84"/>
      <c r="BD269" s="84"/>
      <c r="BE269" s="84"/>
      <c r="BF269" s="84"/>
      <c r="BG269" s="84"/>
      <c r="BH269" s="84"/>
      <c r="BI269" s="84"/>
      <c r="BJ269" s="84"/>
      <c r="BK269" s="84"/>
      <c r="BL269" s="84"/>
      <c r="BM269" s="84"/>
      <c r="BN269" s="84"/>
      <c r="BO269" s="84"/>
      <c r="BP269" s="84"/>
      <c r="BQ269" s="84"/>
      <c r="BR269" s="84"/>
    </row>
    <row r="270" spans="1:70" ht="15.75" customHeight="1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  <c r="AL270" s="84"/>
      <c r="AM270" s="84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  <c r="AY270" s="84"/>
      <c r="AZ270" s="84"/>
      <c r="BA270" s="84"/>
      <c r="BB270" s="84"/>
      <c r="BC270" s="84"/>
      <c r="BD270" s="84"/>
      <c r="BE270" s="84"/>
      <c r="BF270" s="84"/>
      <c r="BG270" s="84"/>
      <c r="BH270" s="84"/>
      <c r="BI270" s="84"/>
      <c r="BJ270" s="84"/>
      <c r="BK270" s="84"/>
      <c r="BL270" s="84"/>
      <c r="BM270" s="84"/>
      <c r="BN270" s="84"/>
      <c r="BO270" s="84"/>
      <c r="BP270" s="84"/>
      <c r="BQ270" s="84"/>
      <c r="BR270" s="84"/>
    </row>
    <row r="271" spans="1:70" ht="15.75" customHeight="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  <c r="AL271" s="84"/>
      <c r="AM271" s="84"/>
      <c r="AN271" s="84"/>
      <c r="AO271" s="84"/>
      <c r="AP271" s="84"/>
      <c r="AQ271" s="84"/>
      <c r="AR271" s="84"/>
      <c r="AS271" s="84"/>
      <c r="AT271" s="84"/>
      <c r="AU271" s="84"/>
      <c r="AV271" s="84"/>
      <c r="AW271" s="84"/>
      <c r="AX271" s="84"/>
      <c r="AY271" s="84"/>
      <c r="AZ271" s="84"/>
      <c r="BA271" s="84"/>
      <c r="BB271" s="84"/>
      <c r="BC271" s="84"/>
      <c r="BD271" s="84"/>
      <c r="BE271" s="84"/>
      <c r="BF271" s="84"/>
      <c r="BG271" s="84"/>
      <c r="BH271" s="84"/>
      <c r="BI271" s="84"/>
      <c r="BJ271" s="84"/>
      <c r="BK271" s="84"/>
      <c r="BL271" s="84"/>
      <c r="BM271" s="84"/>
      <c r="BN271" s="84"/>
      <c r="BO271" s="84"/>
      <c r="BP271" s="84"/>
      <c r="BQ271" s="84"/>
      <c r="BR271" s="84"/>
    </row>
    <row r="272" spans="1:70" ht="15.75" customHeight="1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  <c r="AL272" s="84"/>
      <c r="AM272" s="84"/>
      <c r="AN272" s="84"/>
      <c r="AO272" s="84"/>
      <c r="AP272" s="84"/>
      <c r="AQ272" s="84"/>
      <c r="AR272" s="84"/>
      <c r="AS272" s="84"/>
      <c r="AT272" s="84"/>
      <c r="AU272" s="84"/>
      <c r="AV272" s="84"/>
      <c r="AW272" s="84"/>
      <c r="AX272" s="84"/>
      <c r="AY272" s="84"/>
      <c r="AZ272" s="84"/>
      <c r="BA272" s="84"/>
      <c r="BB272" s="84"/>
      <c r="BC272" s="84"/>
      <c r="BD272" s="84"/>
      <c r="BE272" s="84"/>
      <c r="BF272" s="84"/>
      <c r="BG272" s="84"/>
      <c r="BH272" s="84"/>
      <c r="BI272" s="84"/>
      <c r="BJ272" s="84"/>
      <c r="BK272" s="84"/>
      <c r="BL272" s="84"/>
      <c r="BM272" s="84"/>
      <c r="BN272" s="84"/>
      <c r="BO272" s="84"/>
      <c r="BP272" s="84"/>
      <c r="BQ272" s="84"/>
      <c r="BR272" s="84"/>
    </row>
    <row r="273" spans="1:70" ht="15.75" customHeight="1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  <c r="AV273" s="84"/>
      <c r="AW273" s="84"/>
      <c r="AX273" s="84"/>
      <c r="AY273" s="84"/>
      <c r="AZ273" s="84"/>
      <c r="BA273" s="84"/>
      <c r="BB273" s="84"/>
      <c r="BC273" s="84"/>
      <c r="BD273" s="84"/>
      <c r="BE273" s="84"/>
      <c r="BF273" s="84"/>
      <c r="BG273" s="84"/>
      <c r="BH273" s="84"/>
      <c r="BI273" s="84"/>
      <c r="BJ273" s="84"/>
      <c r="BK273" s="84"/>
      <c r="BL273" s="84"/>
      <c r="BM273" s="84"/>
      <c r="BN273" s="84"/>
      <c r="BO273" s="84"/>
      <c r="BP273" s="84"/>
      <c r="BQ273" s="84"/>
      <c r="BR273" s="84"/>
    </row>
    <row r="274" spans="1:70" ht="15.75" customHeight="1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  <c r="AY274" s="84"/>
      <c r="AZ274" s="84"/>
      <c r="BA274" s="84"/>
      <c r="BB274" s="84"/>
      <c r="BC274" s="84"/>
      <c r="BD274" s="84"/>
      <c r="BE274" s="84"/>
      <c r="BF274" s="84"/>
      <c r="BG274" s="84"/>
      <c r="BH274" s="84"/>
      <c r="BI274" s="84"/>
      <c r="BJ274" s="84"/>
      <c r="BK274" s="84"/>
      <c r="BL274" s="84"/>
      <c r="BM274" s="84"/>
      <c r="BN274" s="84"/>
      <c r="BO274" s="84"/>
      <c r="BP274" s="84"/>
      <c r="BQ274" s="84"/>
      <c r="BR274" s="84"/>
    </row>
    <row r="275" spans="1:70" ht="15.75" customHeight="1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84"/>
      <c r="AW275" s="84"/>
      <c r="AX275" s="84"/>
      <c r="AY275" s="84"/>
      <c r="AZ275" s="84"/>
      <c r="BA275" s="84"/>
      <c r="BB275" s="84"/>
      <c r="BC275" s="84"/>
      <c r="BD275" s="84"/>
      <c r="BE275" s="84"/>
      <c r="BF275" s="84"/>
      <c r="BG275" s="84"/>
      <c r="BH275" s="84"/>
      <c r="BI275" s="84"/>
      <c r="BJ275" s="84"/>
      <c r="BK275" s="84"/>
      <c r="BL275" s="84"/>
      <c r="BM275" s="84"/>
      <c r="BN275" s="84"/>
      <c r="BO275" s="84"/>
      <c r="BP275" s="84"/>
      <c r="BQ275" s="84"/>
      <c r="BR275" s="84"/>
    </row>
    <row r="276" spans="1:70" ht="15.75" customHeight="1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84"/>
      <c r="AQ276" s="84"/>
      <c r="AR276" s="84"/>
      <c r="AS276" s="84"/>
      <c r="AT276" s="84"/>
      <c r="AU276" s="84"/>
      <c r="AV276" s="84"/>
      <c r="AW276" s="84"/>
      <c r="AX276" s="84"/>
      <c r="AY276" s="84"/>
      <c r="AZ276" s="84"/>
      <c r="BA276" s="84"/>
      <c r="BB276" s="84"/>
      <c r="BC276" s="84"/>
      <c r="BD276" s="84"/>
      <c r="BE276" s="84"/>
      <c r="BF276" s="84"/>
      <c r="BG276" s="84"/>
      <c r="BH276" s="84"/>
      <c r="BI276" s="84"/>
      <c r="BJ276" s="84"/>
      <c r="BK276" s="84"/>
      <c r="BL276" s="84"/>
      <c r="BM276" s="84"/>
      <c r="BN276" s="84"/>
      <c r="BO276" s="84"/>
      <c r="BP276" s="84"/>
      <c r="BQ276" s="84"/>
      <c r="BR276" s="84"/>
    </row>
    <row r="277" spans="1:70" ht="15.75" customHeight="1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  <c r="AL277" s="84"/>
      <c r="AM277" s="84"/>
      <c r="AN277" s="84"/>
      <c r="AO277" s="84"/>
      <c r="AP277" s="84"/>
      <c r="AQ277" s="84"/>
      <c r="AR277" s="84"/>
      <c r="AS277" s="84"/>
      <c r="AT277" s="84"/>
      <c r="AU277" s="84"/>
      <c r="AV277" s="84"/>
      <c r="AW277" s="84"/>
      <c r="AX277" s="84"/>
      <c r="AY277" s="84"/>
      <c r="AZ277" s="84"/>
      <c r="BA277" s="84"/>
      <c r="BB277" s="84"/>
      <c r="BC277" s="84"/>
      <c r="BD277" s="84"/>
      <c r="BE277" s="84"/>
      <c r="BF277" s="84"/>
      <c r="BG277" s="84"/>
      <c r="BH277" s="84"/>
      <c r="BI277" s="84"/>
      <c r="BJ277" s="84"/>
      <c r="BK277" s="84"/>
      <c r="BL277" s="84"/>
      <c r="BM277" s="84"/>
      <c r="BN277" s="84"/>
      <c r="BO277" s="84"/>
      <c r="BP277" s="84"/>
      <c r="BQ277" s="84"/>
      <c r="BR277" s="84"/>
    </row>
    <row r="278" spans="1:70" ht="15.75" customHeight="1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  <c r="AL278" s="84"/>
      <c r="AM278" s="84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  <c r="AY278" s="84"/>
      <c r="AZ278" s="84"/>
      <c r="BA278" s="84"/>
      <c r="BB278" s="84"/>
      <c r="BC278" s="84"/>
      <c r="BD278" s="84"/>
      <c r="BE278" s="84"/>
      <c r="BF278" s="84"/>
      <c r="BG278" s="84"/>
      <c r="BH278" s="84"/>
      <c r="BI278" s="84"/>
      <c r="BJ278" s="84"/>
      <c r="BK278" s="84"/>
      <c r="BL278" s="84"/>
      <c r="BM278" s="84"/>
      <c r="BN278" s="84"/>
      <c r="BO278" s="84"/>
      <c r="BP278" s="84"/>
      <c r="BQ278" s="84"/>
      <c r="BR278" s="84"/>
    </row>
    <row r="279" spans="1:70" ht="15.75" customHeight="1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  <c r="AL279" s="84"/>
      <c r="AM279" s="84"/>
      <c r="AN279" s="84"/>
      <c r="AO279" s="84"/>
      <c r="AP279" s="84"/>
      <c r="AQ279" s="84"/>
      <c r="AR279" s="84"/>
      <c r="AS279" s="84"/>
      <c r="AT279" s="84"/>
      <c r="AU279" s="84"/>
      <c r="AV279" s="84"/>
      <c r="AW279" s="84"/>
      <c r="AX279" s="84"/>
      <c r="AY279" s="84"/>
      <c r="AZ279" s="84"/>
      <c r="BA279" s="84"/>
      <c r="BB279" s="84"/>
      <c r="BC279" s="84"/>
      <c r="BD279" s="84"/>
      <c r="BE279" s="84"/>
      <c r="BF279" s="84"/>
      <c r="BG279" s="84"/>
      <c r="BH279" s="84"/>
      <c r="BI279" s="84"/>
      <c r="BJ279" s="84"/>
      <c r="BK279" s="84"/>
      <c r="BL279" s="84"/>
      <c r="BM279" s="84"/>
      <c r="BN279" s="84"/>
      <c r="BO279" s="84"/>
      <c r="BP279" s="84"/>
      <c r="BQ279" s="84"/>
      <c r="BR279" s="84"/>
    </row>
    <row r="280" spans="1:70" ht="15.75" customHeight="1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  <c r="AL280" s="84"/>
      <c r="AM280" s="84"/>
      <c r="AN280" s="84"/>
      <c r="AO280" s="84"/>
      <c r="AP280" s="84"/>
      <c r="AQ280" s="84"/>
      <c r="AR280" s="84"/>
      <c r="AS280" s="84"/>
      <c r="AT280" s="84"/>
      <c r="AU280" s="84"/>
      <c r="AV280" s="84"/>
      <c r="AW280" s="84"/>
      <c r="AX280" s="84"/>
      <c r="AY280" s="84"/>
      <c r="AZ280" s="84"/>
      <c r="BA280" s="84"/>
      <c r="BB280" s="84"/>
      <c r="BC280" s="84"/>
      <c r="BD280" s="84"/>
      <c r="BE280" s="84"/>
      <c r="BF280" s="84"/>
      <c r="BG280" s="84"/>
      <c r="BH280" s="84"/>
      <c r="BI280" s="84"/>
      <c r="BJ280" s="84"/>
      <c r="BK280" s="84"/>
      <c r="BL280" s="84"/>
      <c r="BM280" s="84"/>
      <c r="BN280" s="84"/>
      <c r="BO280" s="84"/>
      <c r="BP280" s="84"/>
      <c r="BQ280" s="84"/>
      <c r="BR280" s="84"/>
    </row>
    <row r="281" spans="1:70" ht="15.75" customHeight="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  <c r="AL281" s="84"/>
      <c r="AM281" s="84"/>
      <c r="AN281" s="84"/>
      <c r="AO281" s="84"/>
      <c r="AP281" s="84"/>
      <c r="AQ281" s="84"/>
      <c r="AR281" s="84"/>
      <c r="AS281" s="84"/>
      <c r="AT281" s="84"/>
      <c r="AU281" s="84"/>
      <c r="AV281" s="84"/>
      <c r="AW281" s="84"/>
      <c r="AX281" s="84"/>
      <c r="AY281" s="84"/>
      <c r="AZ281" s="84"/>
      <c r="BA281" s="84"/>
      <c r="BB281" s="84"/>
      <c r="BC281" s="84"/>
      <c r="BD281" s="84"/>
      <c r="BE281" s="84"/>
      <c r="BF281" s="84"/>
      <c r="BG281" s="84"/>
      <c r="BH281" s="84"/>
      <c r="BI281" s="84"/>
      <c r="BJ281" s="84"/>
      <c r="BK281" s="84"/>
      <c r="BL281" s="84"/>
      <c r="BM281" s="84"/>
      <c r="BN281" s="84"/>
      <c r="BO281" s="84"/>
      <c r="BP281" s="84"/>
      <c r="BQ281" s="84"/>
      <c r="BR281" s="84"/>
    </row>
    <row r="282" spans="1:70" ht="15.75" customHeight="1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  <c r="AL282" s="84"/>
      <c r="AM282" s="84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  <c r="AY282" s="84"/>
      <c r="AZ282" s="84"/>
      <c r="BA282" s="84"/>
      <c r="BB282" s="84"/>
      <c r="BC282" s="84"/>
      <c r="BD282" s="84"/>
      <c r="BE282" s="84"/>
      <c r="BF282" s="84"/>
      <c r="BG282" s="84"/>
      <c r="BH282" s="84"/>
      <c r="BI282" s="84"/>
      <c r="BJ282" s="84"/>
      <c r="BK282" s="84"/>
      <c r="BL282" s="84"/>
      <c r="BM282" s="84"/>
      <c r="BN282" s="84"/>
      <c r="BO282" s="84"/>
      <c r="BP282" s="84"/>
      <c r="BQ282" s="84"/>
      <c r="BR282" s="84"/>
    </row>
    <row r="283" spans="1:70" ht="15.75" customHeight="1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  <c r="AL283" s="84"/>
      <c r="AM283" s="84"/>
      <c r="AN283" s="84"/>
      <c r="AO283" s="84"/>
      <c r="AP283" s="84"/>
      <c r="AQ283" s="84"/>
      <c r="AR283" s="84"/>
      <c r="AS283" s="84"/>
      <c r="AT283" s="84"/>
      <c r="AU283" s="84"/>
      <c r="AV283" s="84"/>
      <c r="AW283" s="84"/>
      <c r="AX283" s="84"/>
      <c r="AY283" s="84"/>
      <c r="AZ283" s="84"/>
      <c r="BA283" s="84"/>
      <c r="BB283" s="84"/>
      <c r="BC283" s="84"/>
      <c r="BD283" s="84"/>
      <c r="BE283" s="84"/>
      <c r="BF283" s="84"/>
      <c r="BG283" s="84"/>
      <c r="BH283" s="84"/>
      <c r="BI283" s="84"/>
      <c r="BJ283" s="84"/>
      <c r="BK283" s="84"/>
      <c r="BL283" s="84"/>
      <c r="BM283" s="84"/>
      <c r="BN283" s="84"/>
      <c r="BO283" s="84"/>
      <c r="BP283" s="84"/>
      <c r="BQ283" s="84"/>
      <c r="BR283" s="84"/>
    </row>
    <row r="284" spans="1:70" ht="15.75" customHeight="1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  <c r="AL284" s="84"/>
      <c r="AM284" s="84"/>
      <c r="AN284" s="84"/>
      <c r="AO284" s="84"/>
      <c r="AP284" s="84"/>
      <c r="AQ284" s="84"/>
      <c r="AR284" s="84"/>
      <c r="AS284" s="84"/>
      <c r="AT284" s="84"/>
      <c r="AU284" s="84"/>
      <c r="AV284" s="84"/>
      <c r="AW284" s="84"/>
      <c r="AX284" s="84"/>
      <c r="AY284" s="84"/>
      <c r="AZ284" s="84"/>
      <c r="BA284" s="84"/>
      <c r="BB284" s="84"/>
      <c r="BC284" s="84"/>
      <c r="BD284" s="84"/>
      <c r="BE284" s="84"/>
      <c r="BF284" s="84"/>
      <c r="BG284" s="84"/>
      <c r="BH284" s="84"/>
      <c r="BI284" s="84"/>
      <c r="BJ284" s="84"/>
      <c r="BK284" s="84"/>
      <c r="BL284" s="84"/>
      <c r="BM284" s="84"/>
      <c r="BN284" s="84"/>
      <c r="BO284" s="84"/>
      <c r="BP284" s="84"/>
      <c r="BQ284" s="84"/>
      <c r="BR284" s="84"/>
    </row>
    <row r="285" spans="1:70" ht="15.75" customHeight="1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  <c r="AL285" s="84"/>
      <c r="AM285" s="84"/>
      <c r="AN285" s="84"/>
      <c r="AO285" s="84"/>
      <c r="AP285" s="84"/>
      <c r="AQ285" s="84"/>
      <c r="AR285" s="84"/>
      <c r="AS285" s="84"/>
      <c r="AT285" s="84"/>
      <c r="AU285" s="84"/>
      <c r="AV285" s="84"/>
      <c r="AW285" s="84"/>
      <c r="AX285" s="84"/>
      <c r="AY285" s="84"/>
      <c r="AZ285" s="84"/>
      <c r="BA285" s="84"/>
      <c r="BB285" s="84"/>
      <c r="BC285" s="84"/>
      <c r="BD285" s="84"/>
      <c r="BE285" s="84"/>
      <c r="BF285" s="84"/>
      <c r="BG285" s="84"/>
      <c r="BH285" s="84"/>
      <c r="BI285" s="84"/>
      <c r="BJ285" s="84"/>
      <c r="BK285" s="84"/>
      <c r="BL285" s="84"/>
      <c r="BM285" s="84"/>
      <c r="BN285" s="84"/>
      <c r="BO285" s="84"/>
      <c r="BP285" s="84"/>
      <c r="BQ285" s="84"/>
      <c r="BR285" s="84"/>
    </row>
    <row r="286" spans="1:70" ht="15.75" customHeight="1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  <c r="AL286" s="84"/>
      <c r="AM286" s="84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  <c r="AY286" s="84"/>
      <c r="AZ286" s="84"/>
      <c r="BA286" s="84"/>
      <c r="BB286" s="84"/>
      <c r="BC286" s="84"/>
      <c r="BD286" s="84"/>
      <c r="BE286" s="84"/>
      <c r="BF286" s="84"/>
      <c r="BG286" s="84"/>
      <c r="BH286" s="84"/>
      <c r="BI286" s="84"/>
      <c r="BJ286" s="84"/>
      <c r="BK286" s="84"/>
      <c r="BL286" s="84"/>
      <c r="BM286" s="84"/>
      <c r="BN286" s="84"/>
      <c r="BO286" s="84"/>
      <c r="BP286" s="84"/>
      <c r="BQ286" s="84"/>
      <c r="BR286" s="84"/>
    </row>
    <row r="287" spans="1:70" ht="15.75" customHeight="1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  <c r="AL287" s="84"/>
      <c r="AM287" s="84"/>
      <c r="AN287" s="84"/>
      <c r="AO287" s="84"/>
      <c r="AP287" s="84"/>
      <c r="AQ287" s="84"/>
      <c r="AR287" s="84"/>
      <c r="AS287" s="84"/>
      <c r="AT287" s="84"/>
      <c r="AU287" s="84"/>
      <c r="AV287" s="84"/>
      <c r="AW287" s="84"/>
      <c r="AX287" s="84"/>
      <c r="AY287" s="84"/>
      <c r="AZ287" s="84"/>
      <c r="BA287" s="84"/>
      <c r="BB287" s="84"/>
      <c r="BC287" s="84"/>
      <c r="BD287" s="84"/>
      <c r="BE287" s="84"/>
      <c r="BF287" s="84"/>
      <c r="BG287" s="84"/>
      <c r="BH287" s="84"/>
      <c r="BI287" s="84"/>
      <c r="BJ287" s="84"/>
      <c r="BK287" s="84"/>
      <c r="BL287" s="84"/>
      <c r="BM287" s="84"/>
      <c r="BN287" s="84"/>
      <c r="BO287" s="84"/>
      <c r="BP287" s="84"/>
      <c r="BQ287" s="84"/>
      <c r="BR287" s="84"/>
    </row>
    <row r="288" spans="1:70" ht="15.75" customHeight="1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  <c r="AL288" s="84"/>
      <c r="AM288" s="84"/>
      <c r="AN288" s="84"/>
      <c r="AO288" s="84"/>
      <c r="AP288" s="84"/>
      <c r="AQ288" s="84"/>
      <c r="AR288" s="84"/>
      <c r="AS288" s="84"/>
      <c r="AT288" s="84"/>
      <c r="AU288" s="84"/>
      <c r="AV288" s="84"/>
      <c r="AW288" s="84"/>
      <c r="AX288" s="84"/>
      <c r="AY288" s="84"/>
      <c r="AZ288" s="84"/>
      <c r="BA288" s="84"/>
      <c r="BB288" s="84"/>
      <c r="BC288" s="84"/>
      <c r="BD288" s="84"/>
      <c r="BE288" s="84"/>
      <c r="BF288" s="84"/>
      <c r="BG288" s="84"/>
      <c r="BH288" s="84"/>
      <c r="BI288" s="84"/>
      <c r="BJ288" s="84"/>
      <c r="BK288" s="84"/>
      <c r="BL288" s="84"/>
      <c r="BM288" s="84"/>
      <c r="BN288" s="84"/>
      <c r="BO288" s="84"/>
      <c r="BP288" s="84"/>
      <c r="BQ288" s="84"/>
      <c r="BR288" s="84"/>
    </row>
    <row r="289" spans="1:70" ht="15.75" customHeight="1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AN289" s="84"/>
      <c r="AO289" s="84"/>
      <c r="AP289" s="84"/>
      <c r="AQ289" s="84"/>
      <c r="AR289" s="84"/>
      <c r="AS289" s="84"/>
      <c r="AT289" s="84"/>
      <c r="AU289" s="84"/>
      <c r="AV289" s="84"/>
      <c r="AW289" s="84"/>
      <c r="AX289" s="84"/>
      <c r="AY289" s="84"/>
      <c r="AZ289" s="84"/>
      <c r="BA289" s="84"/>
      <c r="BB289" s="84"/>
      <c r="BC289" s="84"/>
      <c r="BD289" s="84"/>
      <c r="BE289" s="84"/>
      <c r="BF289" s="84"/>
      <c r="BG289" s="84"/>
      <c r="BH289" s="84"/>
      <c r="BI289" s="84"/>
      <c r="BJ289" s="84"/>
      <c r="BK289" s="84"/>
      <c r="BL289" s="84"/>
      <c r="BM289" s="84"/>
      <c r="BN289" s="84"/>
      <c r="BO289" s="84"/>
      <c r="BP289" s="84"/>
      <c r="BQ289" s="84"/>
      <c r="BR289" s="84"/>
    </row>
    <row r="290" spans="1:70" ht="15.75" customHeight="1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  <c r="AY290" s="84"/>
      <c r="AZ290" s="84"/>
      <c r="BA290" s="84"/>
      <c r="BB290" s="84"/>
      <c r="BC290" s="84"/>
      <c r="BD290" s="84"/>
      <c r="BE290" s="84"/>
      <c r="BF290" s="84"/>
      <c r="BG290" s="84"/>
      <c r="BH290" s="84"/>
      <c r="BI290" s="84"/>
      <c r="BJ290" s="84"/>
      <c r="BK290" s="84"/>
      <c r="BL290" s="84"/>
      <c r="BM290" s="84"/>
      <c r="BN290" s="84"/>
      <c r="BO290" s="84"/>
      <c r="BP290" s="84"/>
      <c r="BQ290" s="84"/>
      <c r="BR290" s="84"/>
    </row>
    <row r="291" spans="1:70" ht="15.75" customHeight="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  <c r="AL291" s="84"/>
      <c r="AM291" s="84"/>
      <c r="AN291" s="84"/>
      <c r="AO291" s="84"/>
      <c r="AP291" s="84"/>
      <c r="AQ291" s="84"/>
      <c r="AR291" s="84"/>
      <c r="AS291" s="84"/>
      <c r="AT291" s="84"/>
      <c r="AU291" s="84"/>
      <c r="AV291" s="84"/>
      <c r="AW291" s="84"/>
      <c r="AX291" s="84"/>
      <c r="AY291" s="84"/>
      <c r="AZ291" s="84"/>
      <c r="BA291" s="84"/>
      <c r="BB291" s="84"/>
      <c r="BC291" s="84"/>
      <c r="BD291" s="84"/>
      <c r="BE291" s="84"/>
      <c r="BF291" s="84"/>
      <c r="BG291" s="84"/>
      <c r="BH291" s="84"/>
      <c r="BI291" s="84"/>
      <c r="BJ291" s="84"/>
      <c r="BK291" s="84"/>
      <c r="BL291" s="84"/>
      <c r="BM291" s="84"/>
      <c r="BN291" s="84"/>
      <c r="BO291" s="84"/>
      <c r="BP291" s="84"/>
      <c r="BQ291" s="84"/>
      <c r="BR291" s="84"/>
    </row>
    <row r="292" spans="1:70" ht="15.75" customHeight="1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  <c r="AL292" s="84"/>
      <c r="AM292" s="84"/>
      <c r="AN292" s="84"/>
      <c r="AO292" s="84"/>
      <c r="AP292" s="84"/>
      <c r="AQ292" s="84"/>
      <c r="AR292" s="84"/>
      <c r="AS292" s="84"/>
      <c r="AT292" s="84"/>
      <c r="AU292" s="84"/>
      <c r="AV292" s="84"/>
      <c r="AW292" s="84"/>
      <c r="AX292" s="84"/>
      <c r="AY292" s="84"/>
      <c r="AZ292" s="84"/>
      <c r="BA292" s="84"/>
      <c r="BB292" s="84"/>
      <c r="BC292" s="84"/>
      <c r="BD292" s="84"/>
      <c r="BE292" s="84"/>
      <c r="BF292" s="84"/>
      <c r="BG292" s="84"/>
      <c r="BH292" s="84"/>
      <c r="BI292" s="84"/>
      <c r="BJ292" s="84"/>
      <c r="BK292" s="84"/>
      <c r="BL292" s="84"/>
      <c r="BM292" s="84"/>
      <c r="BN292" s="84"/>
      <c r="BO292" s="84"/>
      <c r="BP292" s="84"/>
      <c r="BQ292" s="84"/>
      <c r="BR292" s="84"/>
    </row>
    <row r="293" spans="1:70" ht="15.75" customHeight="1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  <c r="AL293" s="84"/>
      <c r="AM293" s="84"/>
      <c r="AN293" s="84"/>
      <c r="AO293" s="84"/>
      <c r="AP293" s="84"/>
      <c r="AQ293" s="84"/>
      <c r="AR293" s="84"/>
      <c r="AS293" s="84"/>
      <c r="AT293" s="84"/>
      <c r="AU293" s="84"/>
      <c r="AV293" s="84"/>
      <c r="AW293" s="84"/>
      <c r="AX293" s="84"/>
      <c r="AY293" s="84"/>
      <c r="AZ293" s="84"/>
      <c r="BA293" s="84"/>
      <c r="BB293" s="84"/>
      <c r="BC293" s="84"/>
      <c r="BD293" s="84"/>
      <c r="BE293" s="84"/>
      <c r="BF293" s="84"/>
      <c r="BG293" s="84"/>
      <c r="BH293" s="84"/>
      <c r="BI293" s="84"/>
      <c r="BJ293" s="84"/>
      <c r="BK293" s="84"/>
      <c r="BL293" s="84"/>
      <c r="BM293" s="84"/>
      <c r="BN293" s="84"/>
      <c r="BO293" s="84"/>
      <c r="BP293" s="84"/>
      <c r="BQ293" s="84"/>
      <c r="BR293" s="84"/>
    </row>
    <row r="294" spans="1:70" ht="15.75" customHeight="1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  <c r="AL294" s="84"/>
      <c r="AM294" s="84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  <c r="AY294" s="84"/>
      <c r="AZ294" s="84"/>
      <c r="BA294" s="84"/>
      <c r="BB294" s="84"/>
      <c r="BC294" s="84"/>
      <c r="BD294" s="84"/>
      <c r="BE294" s="84"/>
      <c r="BF294" s="84"/>
      <c r="BG294" s="84"/>
      <c r="BH294" s="84"/>
      <c r="BI294" s="84"/>
      <c r="BJ294" s="84"/>
      <c r="BK294" s="84"/>
      <c r="BL294" s="84"/>
      <c r="BM294" s="84"/>
      <c r="BN294" s="84"/>
      <c r="BO294" s="84"/>
      <c r="BP294" s="84"/>
      <c r="BQ294" s="84"/>
      <c r="BR294" s="84"/>
    </row>
    <row r="295" spans="1:70" ht="15.75" customHeight="1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  <c r="AL295" s="84"/>
      <c r="AM295" s="84"/>
      <c r="AN295" s="84"/>
      <c r="AO295" s="84"/>
      <c r="AP295" s="84"/>
      <c r="AQ295" s="84"/>
      <c r="AR295" s="84"/>
      <c r="AS295" s="84"/>
      <c r="AT295" s="84"/>
      <c r="AU295" s="84"/>
      <c r="AV295" s="84"/>
      <c r="AW295" s="84"/>
      <c r="AX295" s="84"/>
      <c r="AY295" s="84"/>
      <c r="AZ295" s="84"/>
      <c r="BA295" s="84"/>
      <c r="BB295" s="84"/>
      <c r="BC295" s="84"/>
      <c r="BD295" s="84"/>
      <c r="BE295" s="84"/>
      <c r="BF295" s="84"/>
      <c r="BG295" s="84"/>
      <c r="BH295" s="84"/>
      <c r="BI295" s="84"/>
      <c r="BJ295" s="84"/>
      <c r="BK295" s="84"/>
      <c r="BL295" s="84"/>
      <c r="BM295" s="84"/>
      <c r="BN295" s="84"/>
      <c r="BO295" s="84"/>
      <c r="BP295" s="84"/>
      <c r="BQ295" s="84"/>
      <c r="BR295" s="84"/>
    </row>
    <row r="296" spans="1:70" ht="15.75" customHeight="1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  <c r="AL296" s="84"/>
      <c r="AM296" s="84"/>
      <c r="AN296" s="84"/>
      <c r="AO296" s="84"/>
      <c r="AP296" s="84"/>
      <c r="AQ296" s="84"/>
      <c r="AR296" s="84"/>
      <c r="AS296" s="84"/>
      <c r="AT296" s="84"/>
      <c r="AU296" s="84"/>
      <c r="AV296" s="84"/>
      <c r="AW296" s="84"/>
      <c r="AX296" s="84"/>
      <c r="AY296" s="84"/>
      <c r="AZ296" s="84"/>
      <c r="BA296" s="84"/>
      <c r="BB296" s="84"/>
      <c r="BC296" s="84"/>
      <c r="BD296" s="84"/>
      <c r="BE296" s="84"/>
      <c r="BF296" s="84"/>
      <c r="BG296" s="84"/>
      <c r="BH296" s="84"/>
      <c r="BI296" s="84"/>
      <c r="BJ296" s="84"/>
      <c r="BK296" s="84"/>
      <c r="BL296" s="84"/>
      <c r="BM296" s="84"/>
      <c r="BN296" s="84"/>
      <c r="BO296" s="84"/>
      <c r="BP296" s="84"/>
      <c r="BQ296" s="84"/>
      <c r="BR296" s="84"/>
    </row>
    <row r="297" spans="1:70" ht="15.75" customHeight="1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84"/>
      <c r="AS297" s="84"/>
      <c r="AT297" s="84"/>
      <c r="AU297" s="84"/>
      <c r="AV297" s="84"/>
      <c r="AW297" s="84"/>
      <c r="AX297" s="84"/>
      <c r="AY297" s="84"/>
      <c r="AZ297" s="84"/>
      <c r="BA297" s="84"/>
      <c r="BB297" s="84"/>
      <c r="BC297" s="84"/>
      <c r="BD297" s="84"/>
      <c r="BE297" s="84"/>
      <c r="BF297" s="84"/>
      <c r="BG297" s="84"/>
      <c r="BH297" s="84"/>
      <c r="BI297" s="84"/>
      <c r="BJ297" s="84"/>
      <c r="BK297" s="84"/>
      <c r="BL297" s="84"/>
      <c r="BM297" s="84"/>
      <c r="BN297" s="84"/>
      <c r="BO297" s="84"/>
      <c r="BP297" s="84"/>
      <c r="BQ297" s="84"/>
      <c r="BR297" s="84"/>
    </row>
    <row r="298" spans="1:70" ht="15.75" customHeight="1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  <c r="AY298" s="84"/>
      <c r="AZ298" s="84"/>
      <c r="BA298" s="84"/>
      <c r="BB298" s="84"/>
      <c r="BC298" s="84"/>
      <c r="BD298" s="84"/>
      <c r="BE298" s="84"/>
      <c r="BF298" s="84"/>
      <c r="BG298" s="84"/>
      <c r="BH298" s="84"/>
      <c r="BI298" s="84"/>
      <c r="BJ298" s="84"/>
      <c r="BK298" s="84"/>
      <c r="BL298" s="84"/>
      <c r="BM298" s="84"/>
      <c r="BN298" s="84"/>
      <c r="BO298" s="84"/>
      <c r="BP298" s="84"/>
      <c r="BQ298" s="84"/>
      <c r="BR298" s="84"/>
    </row>
    <row r="299" spans="1:70" ht="15.75" customHeight="1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84"/>
      <c r="AS299" s="84"/>
      <c r="AT299" s="84"/>
      <c r="AU299" s="84"/>
      <c r="AV299" s="84"/>
      <c r="AW299" s="84"/>
      <c r="AX299" s="84"/>
      <c r="AY299" s="84"/>
      <c r="AZ299" s="84"/>
      <c r="BA299" s="84"/>
      <c r="BB299" s="84"/>
      <c r="BC299" s="84"/>
      <c r="BD299" s="84"/>
      <c r="BE299" s="84"/>
      <c r="BF299" s="84"/>
      <c r="BG299" s="84"/>
      <c r="BH299" s="84"/>
      <c r="BI299" s="84"/>
      <c r="BJ299" s="84"/>
      <c r="BK299" s="84"/>
      <c r="BL299" s="84"/>
      <c r="BM299" s="84"/>
      <c r="BN299" s="84"/>
      <c r="BO299" s="84"/>
      <c r="BP299" s="84"/>
      <c r="BQ299" s="84"/>
      <c r="BR299" s="84"/>
    </row>
    <row r="300" spans="1:70" ht="15.75" customHeight="1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84"/>
      <c r="AW300" s="84"/>
      <c r="AX300" s="84"/>
      <c r="AY300" s="84"/>
      <c r="AZ300" s="84"/>
      <c r="BA300" s="84"/>
      <c r="BB300" s="84"/>
      <c r="BC300" s="84"/>
      <c r="BD300" s="84"/>
      <c r="BE300" s="84"/>
      <c r="BF300" s="84"/>
      <c r="BG300" s="84"/>
      <c r="BH300" s="84"/>
      <c r="BI300" s="84"/>
      <c r="BJ300" s="84"/>
      <c r="BK300" s="84"/>
      <c r="BL300" s="84"/>
      <c r="BM300" s="84"/>
      <c r="BN300" s="84"/>
      <c r="BO300" s="84"/>
      <c r="BP300" s="84"/>
      <c r="BQ300" s="84"/>
      <c r="BR300" s="84"/>
    </row>
    <row r="301" spans="1:70" ht="15.75" customHeight="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  <c r="AL301" s="84"/>
      <c r="AM301" s="84"/>
      <c r="AN301" s="84"/>
      <c r="AO301" s="84"/>
      <c r="AP301" s="84"/>
      <c r="AQ301" s="84"/>
      <c r="AR301" s="84"/>
      <c r="AS301" s="84"/>
      <c r="AT301" s="84"/>
      <c r="AU301" s="84"/>
      <c r="AV301" s="84"/>
      <c r="AW301" s="84"/>
      <c r="AX301" s="84"/>
      <c r="AY301" s="84"/>
      <c r="AZ301" s="84"/>
      <c r="BA301" s="84"/>
      <c r="BB301" s="84"/>
      <c r="BC301" s="84"/>
      <c r="BD301" s="84"/>
      <c r="BE301" s="84"/>
      <c r="BF301" s="84"/>
      <c r="BG301" s="84"/>
      <c r="BH301" s="84"/>
      <c r="BI301" s="84"/>
      <c r="BJ301" s="84"/>
      <c r="BK301" s="84"/>
      <c r="BL301" s="84"/>
      <c r="BM301" s="84"/>
      <c r="BN301" s="84"/>
      <c r="BO301" s="84"/>
      <c r="BP301" s="84"/>
      <c r="BQ301" s="84"/>
      <c r="BR301" s="84"/>
    </row>
    <row r="302" spans="1:70" ht="15.75" customHeight="1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  <c r="AL302" s="84"/>
      <c r="AM302" s="84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  <c r="AY302" s="84"/>
      <c r="AZ302" s="84"/>
      <c r="BA302" s="84"/>
      <c r="BB302" s="84"/>
      <c r="BC302" s="84"/>
      <c r="BD302" s="84"/>
      <c r="BE302" s="84"/>
      <c r="BF302" s="84"/>
      <c r="BG302" s="84"/>
      <c r="BH302" s="84"/>
      <c r="BI302" s="84"/>
      <c r="BJ302" s="84"/>
      <c r="BK302" s="84"/>
      <c r="BL302" s="84"/>
      <c r="BM302" s="84"/>
      <c r="BN302" s="84"/>
      <c r="BO302" s="84"/>
      <c r="BP302" s="84"/>
      <c r="BQ302" s="84"/>
      <c r="BR302" s="84"/>
    </row>
    <row r="303" spans="1:70" ht="15.75" customHeight="1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  <c r="BC303" s="84"/>
      <c r="BD303" s="84"/>
      <c r="BE303" s="84"/>
      <c r="BF303" s="84"/>
      <c r="BG303" s="84"/>
      <c r="BH303" s="84"/>
      <c r="BI303" s="84"/>
      <c r="BJ303" s="84"/>
      <c r="BK303" s="84"/>
      <c r="BL303" s="84"/>
      <c r="BM303" s="84"/>
      <c r="BN303" s="84"/>
      <c r="BO303" s="84"/>
      <c r="BP303" s="84"/>
      <c r="BQ303" s="84"/>
      <c r="BR303" s="84"/>
    </row>
    <row r="304" spans="1:70" ht="15.75" customHeight="1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84"/>
      <c r="AV304" s="84"/>
      <c r="AW304" s="84"/>
      <c r="AX304" s="84"/>
      <c r="AY304" s="84"/>
      <c r="AZ304" s="84"/>
      <c r="BA304" s="84"/>
      <c r="BB304" s="84"/>
      <c r="BC304" s="84"/>
      <c r="BD304" s="84"/>
      <c r="BE304" s="84"/>
      <c r="BF304" s="84"/>
      <c r="BG304" s="84"/>
      <c r="BH304" s="84"/>
      <c r="BI304" s="84"/>
      <c r="BJ304" s="84"/>
      <c r="BK304" s="84"/>
      <c r="BL304" s="84"/>
      <c r="BM304" s="84"/>
      <c r="BN304" s="84"/>
      <c r="BO304" s="84"/>
      <c r="BP304" s="84"/>
      <c r="BQ304" s="84"/>
      <c r="BR304" s="84"/>
    </row>
    <row r="305" spans="1:70" ht="15.75" customHeight="1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84"/>
      <c r="AV305" s="84"/>
      <c r="AW305" s="84"/>
      <c r="AX305" s="84"/>
      <c r="AY305" s="84"/>
      <c r="AZ305" s="84"/>
      <c r="BA305" s="84"/>
      <c r="BB305" s="84"/>
      <c r="BC305" s="84"/>
      <c r="BD305" s="84"/>
      <c r="BE305" s="84"/>
      <c r="BF305" s="84"/>
      <c r="BG305" s="84"/>
      <c r="BH305" s="84"/>
      <c r="BI305" s="84"/>
      <c r="BJ305" s="84"/>
      <c r="BK305" s="84"/>
      <c r="BL305" s="84"/>
      <c r="BM305" s="84"/>
      <c r="BN305" s="84"/>
      <c r="BO305" s="84"/>
      <c r="BP305" s="84"/>
      <c r="BQ305" s="84"/>
      <c r="BR305" s="84"/>
    </row>
    <row r="306" spans="1:70" ht="15.75" customHeight="1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  <c r="AY306" s="84"/>
      <c r="AZ306" s="84"/>
      <c r="BA306" s="84"/>
      <c r="BB306" s="84"/>
      <c r="BC306" s="84"/>
      <c r="BD306" s="84"/>
      <c r="BE306" s="84"/>
      <c r="BF306" s="84"/>
      <c r="BG306" s="84"/>
      <c r="BH306" s="84"/>
      <c r="BI306" s="84"/>
      <c r="BJ306" s="84"/>
      <c r="BK306" s="84"/>
      <c r="BL306" s="84"/>
      <c r="BM306" s="84"/>
      <c r="BN306" s="84"/>
      <c r="BO306" s="84"/>
      <c r="BP306" s="84"/>
      <c r="BQ306" s="84"/>
      <c r="BR306" s="84"/>
    </row>
    <row r="307" spans="1:70" ht="15.75" customHeight="1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84"/>
      <c r="AV307" s="84"/>
      <c r="AW307" s="84"/>
      <c r="AX307" s="84"/>
      <c r="AY307" s="84"/>
      <c r="AZ307" s="84"/>
      <c r="BA307" s="84"/>
      <c r="BB307" s="84"/>
      <c r="BC307" s="84"/>
      <c r="BD307" s="84"/>
      <c r="BE307" s="84"/>
      <c r="BF307" s="84"/>
      <c r="BG307" s="84"/>
      <c r="BH307" s="84"/>
      <c r="BI307" s="84"/>
      <c r="BJ307" s="84"/>
      <c r="BK307" s="84"/>
      <c r="BL307" s="84"/>
      <c r="BM307" s="84"/>
      <c r="BN307" s="84"/>
      <c r="BO307" s="84"/>
      <c r="BP307" s="84"/>
      <c r="BQ307" s="84"/>
      <c r="BR307" s="84"/>
    </row>
    <row r="308" spans="1:70" ht="15.75" customHeight="1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84"/>
      <c r="AV308" s="84"/>
      <c r="AW308" s="84"/>
      <c r="AX308" s="84"/>
      <c r="AY308" s="84"/>
      <c r="AZ308" s="84"/>
      <c r="BA308" s="84"/>
      <c r="BB308" s="84"/>
      <c r="BC308" s="84"/>
      <c r="BD308" s="84"/>
      <c r="BE308" s="84"/>
      <c r="BF308" s="84"/>
      <c r="BG308" s="84"/>
      <c r="BH308" s="84"/>
      <c r="BI308" s="84"/>
      <c r="BJ308" s="84"/>
      <c r="BK308" s="84"/>
      <c r="BL308" s="84"/>
      <c r="BM308" s="84"/>
      <c r="BN308" s="84"/>
      <c r="BO308" s="84"/>
      <c r="BP308" s="84"/>
      <c r="BQ308" s="84"/>
      <c r="BR308" s="84"/>
    </row>
    <row r="309" spans="1:70" ht="15.75" customHeight="1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  <c r="AL309" s="84"/>
      <c r="AM309" s="84"/>
      <c r="AN309" s="84"/>
      <c r="AO309" s="84"/>
      <c r="AP309" s="84"/>
      <c r="AQ309" s="84"/>
      <c r="AR309" s="84"/>
      <c r="AS309" s="84"/>
      <c r="AT309" s="84"/>
      <c r="AU309" s="84"/>
      <c r="AV309" s="84"/>
      <c r="AW309" s="84"/>
      <c r="AX309" s="84"/>
      <c r="AY309" s="84"/>
      <c r="AZ309" s="84"/>
      <c r="BA309" s="84"/>
      <c r="BB309" s="84"/>
      <c r="BC309" s="84"/>
      <c r="BD309" s="84"/>
      <c r="BE309" s="84"/>
      <c r="BF309" s="84"/>
      <c r="BG309" s="84"/>
      <c r="BH309" s="84"/>
      <c r="BI309" s="84"/>
      <c r="BJ309" s="84"/>
      <c r="BK309" s="84"/>
      <c r="BL309" s="84"/>
      <c r="BM309" s="84"/>
      <c r="BN309" s="84"/>
      <c r="BO309" s="84"/>
      <c r="BP309" s="84"/>
      <c r="BQ309" s="84"/>
      <c r="BR309" s="84"/>
    </row>
    <row r="310" spans="1:70" ht="15.75" customHeight="1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  <c r="AL310" s="84"/>
      <c r="AM310" s="84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  <c r="AY310" s="84"/>
      <c r="AZ310" s="84"/>
      <c r="BA310" s="84"/>
      <c r="BB310" s="84"/>
      <c r="BC310" s="84"/>
      <c r="BD310" s="84"/>
      <c r="BE310" s="84"/>
      <c r="BF310" s="84"/>
      <c r="BG310" s="84"/>
      <c r="BH310" s="84"/>
      <c r="BI310" s="84"/>
      <c r="BJ310" s="84"/>
      <c r="BK310" s="84"/>
      <c r="BL310" s="84"/>
      <c r="BM310" s="84"/>
      <c r="BN310" s="84"/>
      <c r="BO310" s="84"/>
      <c r="BP310" s="84"/>
      <c r="BQ310" s="84"/>
      <c r="BR310" s="84"/>
    </row>
    <row r="311" spans="1:70" ht="15.75" customHeight="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84"/>
      <c r="AW311" s="84"/>
      <c r="AX311" s="84"/>
      <c r="AY311" s="84"/>
      <c r="AZ311" s="84"/>
      <c r="BA311" s="84"/>
      <c r="BB311" s="84"/>
      <c r="BC311" s="84"/>
      <c r="BD311" s="84"/>
      <c r="BE311" s="84"/>
      <c r="BF311" s="84"/>
      <c r="BG311" s="84"/>
      <c r="BH311" s="84"/>
      <c r="BI311" s="84"/>
      <c r="BJ311" s="84"/>
      <c r="BK311" s="84"/>
      <c r="BL311" s="84"/>
      <c r="BM311" s="84"/>
      <c r="BN311" s="84"/>
      <c r="BO311" s="84"/>
      <c r="BP311" s="84"/>
      <c r="BQ311" s="84"/>
      <c r="BR311" s="84"/>
    </row>
    <row r="312" spans="1:70" ht="15.75" customHeight="1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  <c r="AL312" s="84"/>
      <c r="AM312" s="84"/>
      <c r="AN312" s="84"/>
      <c r="AO312" s="84"/>
      <c r="AP312" s="84"/>
      <c r="AQ312" s="84"/>
      <c r="AR312" s="84"/>
      <c r="AS312" s="84"/>
      <c r="AT312" s="84"/>
      <c r="AU312" s="84"/>
      <c r="AV312" s="84"/>
      <c r="AW312" s="84"/>
      <c r="AX312" s="84"/>
      <c r="AY312" s="84"/>
      <c r="AZ312" s="84"/>
      <c r="BA312" s="84"/>
      <c r="BB312" s="84"/>
      <c r="BC312" s="84"/>
      <c r="BD312" s="84"/>
      <c r="BE312" s="84"/>
      <c r="BF312" s="84"/>
      <c r="BG312" s="84"/>
      <c r="BH312" s="84"/>
      <c r="BI312" s="84"/>
      <c r="BJ312" s="84"/>
      <c r="BK312" s="84"/>
      <c r="BL312" s="84"/>
      <c r="BM312" s="84"/>
      <c r="BN312" s="84"/>
      <c r="BO312" s="84"/>
      <c r="BP312" s="84"/>
      <c r="BQ312" s="84"/>
      <c r="BR312" s="84"/>
    </row>
    <row r="313" spans="1:70" ht="15.75" customHeight="1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  <c r="AL313" s="84"/>
      <c r="AM313" s="84"/>
      <c r="AN313" s="84"/>
      <c r="AO313" s="84"/>
      <c r="AP313" s="84"/>
      <c r="AQ313" s="84"/>
      <c r="AR313" s="84"/>
      <c r="AS313" s="84"/>
      <c r="AT313" s="84"/>
      <c r="AU313" s="84"/>
      <c r="AV313" s="84"/>
      <c r="AW313" s="84"/>
      <c r="AX313" s="84"/>
      <c r="AY313" s="84"/>
      <c r="AZ313" s="84"/>
      <c r="BA313" s="84"/>
      <c r="BB313" s="84"/>
      <c r="BC313" s="84"/>
      <c r="BD313" s="84"/>
      <c r="BE313" s="84"/>
      <c r="BF313" s="84"/>
      <c r="BG313" s="84"/>
      <c r="BH313" s="84"/>
      <c r="BI313" s="84"/>
      <c r="BJ313" s="84"/>
      <c r="BK313" s="84"/>
      <c r="BL313" s="84"/>
      <c r="BM313" s="84"/>
      <c r="BN313" s="84"/>
      <c r="BO313" s="84"/>
      <c r="BP313" s="84"/>
      <c r="BQ313" s="84"/>
      <c r="BR313" s="84"/>
    </row>
    <row r="314" spans="1:70" ht="15.75" customHeight="1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  <c r="AL314" s="84"/>
      <c r="AM314" s="84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  <c r="AY314" s="84"/>
      <c r="AZ314" s="84"/>
      <c r="BA314" s="84"/>
      <c r="BB314" s="84"/>
      <c r="BC314" s="84"/>
      <c r="BD314" s="84"/>
      <c r="BE314" s="84"/>
      <c r="BF314" s="84"/>
      <c r="BG314" s="84"/>
      <c r="BH314" s="84"/>
      <c r="BI314" s="84"/>
      <c r="BJ314" s="84"/>
      <c r="BK314" s="84"/>
      <c r="BL314" s="84"/>
      <c r="BM314" s="84"/>
      <c r="BN314" s="84"/>
      <c r="BO314" s="84"/>
      <c r="BP314" s="84"/>
      <c r="BQ314" s="84"/>
      <c r="BR314" s="84"/>
    </row>
    <row r="315" spans="1:70" ht="15.75" customHeight="1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84"/>
      <c r="AW315" s="84"/>
      <c r="AX315" s="84"/>
      <c r="AY315" s="84"/>
      <c r="AZ315" s="84"/>
      <c r="BA315" s="84"/>
      <c r="BB315" s="84"/>
      <c r="BC315" s="84"/>
      <c r="BD315" s="84"/>
      <c r="BE315" s="84"/>
      <c r="BF315" s="84"/>
      <c r="BG315" s="84"/>
      <c r="BH315" s="84"/>
      <c r="BI315" s="84"/>
      <c r="BJ315" s="84"/>
      <c r="BK315" s="84"/>
      <c r="BL315" s="84"/>
      <c r="BM315" s="84"/>
      <c r="BN315" s="84"/>
      <c r="BO315" s="84"/>
      <c r="BP315" s="84"/>
      <c r="BQ315" s="84"/>
      <c r="BR315" s="84"/>
    </row>
    <row r="316" spans="1:70" ht="15.75" customHeight="1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  <c r="AL316" s="84"/>
      <c r="AM316" s="84"/>
      <c r="AN316" s="84"/>
      <c r="AO316" s="84"/>
      <c r="AP316" s="84"/>
      <c r="AQ316" s="84"/>
      <c r="AR316" s="84"/>
      <c r="AS316" s="84"/>
      <c r="AT316" s="84"/>
      <c r="AU316" s="84"/>
      <c r="AV316" s="84"/>
      <c r="AW316" s="84"/>
      <c r="AX316" s="84"/>
      <c r="AY316" s="84"/>
      <c r="AZ316" s="84"/>
      <c r="BA316" s="84"/>
      <c r="BB316" s="84"/>
      <c r="BC316" s="84"/>
      <c r="BD316" s="84"/>
      <c r="BE316" s="84"/>
      <c r="BF316" s="84"/>
      <c r="BG316" s="84"/>
      <c r="BH316" s="84"/>
      <c r="BI316" s="84"/>
      <c r="BJ316" s="84"/>
      <c r="BK316" s="84"/>
      <c r="BL316" s="84"/>
      <c r="BM316" s="84"/>
      <c r="BN316" s="84"/>
      <c r="BO316" s="84"/>
      <c r="BP316" s="84"/>
      <c r="BQ316" s="84"/>
      <c r="BR316" s="84"/>
    </row>
    <row r="317" spans="1:70" ht="15.75" customHeight="1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84"/>
      <c r="AT317" s="84"/>
      <c r="AU317" s="84"/>
      <c r="AV317" s="84"/>
      <c r="AW317" s="84"/>
      <c r="AX317" s="84"/>
      <c r="AY317" s="84"/>
      <c r="AZ317" s="84"/>
      <c r="BA317" s="84"/>
      <c r="BB317" s="84"/>
      <c r="BC317" s="84"/>
      <c r="BD317" s="84"/>
      <c r="BE317" s="84"/>
      <c r="BF317" s="84"/>
      <c r="BG317" s="84"/>
      <c r="BH317" s="84"/>
      <c r="BI317" s="84"/>
      <c r="BJ317" s="84"/>
      <c r="BK317" s="84"/>
      <c r="BL317" s="84"/>
      <c r="BM317" s="84"/>
      <c r="BN317" s="84"/>
      <c r="BO317" s="84"/>
      <c r="BP317" s="84"/>
      <c r="BQ317" s="84"/>
      <c r="BR317" s="84"/>
    </row>
    <row r="318" spans="1:70" ht="15.75" customHeight="1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  <c r="AY318" s="84"/>
      <c r="AZ318" s="84"/>
      <c r="BA318" s="84"/>
      <c r="BB318" s="84"/>
      <c r="BC318" s="84"/>
      <c r="BD318" s="84"/>
      <c r="BE318" s="84"/>
      <c r="BF318" s="84"/>
      <c r="BG318" s="84"/>
      <c r="BH318" s="84"/>
      <c r="BI318" s="84"/>
      <c r="BJ318" s="84"/>
      <c r="BK318" s="84"/>
      <c r="BL318" s="84"/>
      <c r="BM318" s="84"/>
      <c r="BN318" s="84"/>
      <c r="BO318" s="84"/>
      <c r="BP318" s="84"/>
      <c r="BQ318" s="84"/>
      <c r="BR318" s="84"/>
    </row>
    <row r="319" spans="1:70" ht="15.75" customHeight="1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  <c r="AL319" s="84"/>
      <c r="AM319" s="84"/>
      <c r="AN319" s="84"/>
      <c r="AO319" s="84"/>
      <c r="AP319" s="84"/>
      <c r="AQ319" s="84"/>
      <c r="AR319" s="84"/>
      <c r="AS319" s="84"/>
      <c r="AT319" s="84"/>
      <c r="AU319" s="84"/>
      <c r="AV319" s="84"/>
      <c r="AW319" s="84"/>
      <c r="AX319" s="84"/>
      <c r="AY319" s="84"/>
      <c r="AZ319" s="84"/>
      <c r="BA319" s="84"/>
      <c r="BB319" s="84"/>
      <c r="BC319" s="84"/>
      <c r="BD319" s="84"/>
      <c r="BE319" s="84"/>
      <c r="BF319" s="84"/>
      <c r="BG319" s="84"/>
      <c r="BH319" s="84"/>
      <c r="BI319" s="84"/>
      <c r="BJ319" s="84"/>
      <c r="BK319" s="84"/>
      <c r="BL319" s="84"/>
      <c r="BM319" s="84"/>
      <c r="BN319" s="84"/>
      <c r="BO319" s="84"/>
      <c r="BP319" s="84"/>
      <c r="BQ319" s="84"/>
      <c r="BR319" s="84"/>
    </row>
    <row r="320" spans="1:70" ht="15.75" customHeight="1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  <c r="AL320" s="84"/>
      <c r="AM320" s="84"/>
      <c r="AN320" s="84"/>
      <c r="AO320" s="84"/>
      <c r="AP320" s="84"/>
      <c r="AQ320" s="84"/>
      <c r="AR320" s="84"/>
      <c r="AS320" s="84"/>
      <c r="AT320" s="84"/>
      <c r="AU320" s="84"/>
      <c r="AV320" s="84"/>
      <c r="AW320" s="84"/>
      <c r="AX320" s="84"/>
      <c r="AY320" s="84"/>
      <c r="AZ320" s="84"/>
      <c r="BA320" s="84"/>
      <c r="BB320" s="84"/>
      <c r="BC320" s="84"/>
      <c r="BD320" s="84"/>
      <c r="BE320" s="84"/>
      <c r="BF320" s="84"/>
      <c r="BG320" s="84"/>
      <c r="BH320" s="84"/>
      <c r="BI320" s="84"/>
      <c r="BJ320" s="84"/>
      <c r="BK320" s="84"/>
      <c r="BL320" s="84"/>
      <c r="BM320" s="84"/>
      <c r="BN320" s="84"/>
      <c r="BO320" s="84"/>
      <c r="BP320" s="84"/>
      <c r="BQ320" s="84"/>
      <c r="BR320" s="84"/>
    </row>
    <row r="321" spans="1:70" ht="15.75" customHeight="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84"/>
      <c r="AW321" s="84"/>
      <c r="AX321" s="84"/>
      <c r="AY321" s="84"/>
      <c r="AZ321" s="84"/>
      <c r="BA321" s="84"/>
      <c r="BB321" s="84"/>
      <c r="BC321" s="84"/>
      <c r="BD321" s="84"/>
      <c r="BE321" s="84"/>
      <c r="BF321" s="84"/>
      <c r="BG321" s="84"/>
      <c r="BH321" s="84"/>
      <c r="BI321" s="84"/>
      <c r="BJ321" s="84"/>
      <c r="BK321" s="84"/>
      <c r="BL321" s="84"/>
      <c r="BM321" s="84"/>
      <c r="BN321" s="84"/>
      <c r="BO321" s="84"/>
      <c r="BP321" s="84"/>
      <c r="BQ321" s="84"/>
      <c r="BR321" s="84"/>
    </row>
    <row r="322" spans="1:70" ht="15.75" customHeight="1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  <c r="AY322" s="84"/>
      <c r="AZ322" s="84"/>
      <c r="BA322" s="84"/>
      <c r="BB322" s="84"/>
      <c r="BC322" s="84"/>
      <c r="BD322" s="84"/>
      <c r="BE322" s="84"/>
      <c r="BF322" s="84"/>
      <c r="BG322" s="84"/>
      <c r="BH322" s="84"/>
      <c r="BI322" s="84"/>
      <c r="BJ322" s="84"/>
      <c r="BK322" s="84"/>
      <c r="BL322" s="84"/>
      <c r="BM322" s="84"/>
      <c r="BN322" s="84"/>
      <c r="BO322" s="84"/>
      <c r="BP322" s="84"/>
      <c r="BQ322" s="84"/>
      <c r="BR322" s="84"/>
    </row>
    <row r="323" spans="1:70" ht="15.75" customHeight="1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84"/>
      <c r="AW323" s="84"/>
      <c r="AX323" s="84"/>
      <c r="AY323" s="84"/>
      <c r="AZ323" s="84"/>
      <c r="BA323" s="84"/>
      <c r="BB323" s="84"/>
      <c r="BC323" s="84"/>
      <c r="BD323" s="84"/>
      <c r="BE323" s="84"/>
      <c r="BF323" s="84"/>
      <c r="BG323" s="84"/>
      <c r="BH323" s="84"/>
      <c r="BI323" s="84"/>
      <c r="BJ323" s="84"/>
      <c r="BK323" s="84"/>
      <c r="BL323" s="84"/>
      <c r="BM323" s="84"/>
      <c r="BN323" s="84"/>
      <c r="BO323" s="84"/>
      <c r="BP323" s="84"/>
      <c r="BQ323" s="84"/>
      <c r="BR323" s="84"/>
    </row>
    <row r="324" spans="1:70" ht="15.75" customHeight="1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84"/>
      <c r="AW324" s="84"/>
      <c r="AX324" s="84"/>
      <c r="AY324" s="84"/>
      <c r="AZ324" s="84"/>
      <c r="BA324" s="84"/>
      <c r="BB324" s="84"/>
      <c r="BC324" s="84"/>
      <c r="BD324" s="84"/>
      <c r="BE324" s="84"/>
      <c r="BF324" s="84"/>
      <c r="BG324" s="84"/>
      <c r="BH324" s="84"/>
      <c r="BI324" s="84"/>
      <c r="BJ324" s="84"/>
      <c r="BK324" s="84"/>
      <c r="BL324" s="84"/>
      <c r="BM324" s="84"/>
      <c r="BN324" s="84"/>
      <c r="BO324" s="84"/>
      <c r="BP324" s="84"/>
      <c r="BQ324" s="84"/>
      <c r="BR324" s="84"/>
    </row>
    <row r="325" spans="1:70" ht="15.75" customHeight="1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  <c r="AL325" s="84"/>
      <c r="AM325" s="84"/>
      <c r="AN325" s="84"/>
      <c r="AO325" s="84"/>
      <c r="AP325" s="84"/>
      <c r="AQ325" s="84"/>
      <c r="AR325" s="84"/>
      <c r="AS325" s="84"/>
      <c r="AT325" s="84"/>
      <c r="AU325" s="84"/>
      <c r="AV325" s="84"/>
      <c r="AW325" s="84"/>
      <c r="AX325" s="84"/>
      <c r="AY325" s="84"/>
      <c r="AZ325" s="84"/>
      <c r="BA325" s="84"/>
      <c r="BB325" s="84"/>
      <c r="BC325" s="84"/>
      <c r="BD325" s="84"/>
      <c r="BE325" s="84"/>
      <c r="BF325" s="84"/>
      <c r="BG325" s="84"/>
      <c r="BH325" s="84"/>
      <c r="BI325" s="84"/>
      <c r="BJ325" s="84"/>
      <c r="BK325" s="84"/>
      <c r="BL325" s="84"/>
      <c r="BM325" s="84"/>
      <c r="BN325" s="84"/>
      <c r="BO325" s="84"/>
      <c r="BP325" s="84"/>
      <c r="BQ325" s="84"/>
      <c r="BR325" s="84"/>
    </row>
    <row r="326" spans="1:70" ht="15.75" customHeight="1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  <c r="AL326" s="84"/>
      <c r="AM326" s="84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  <c r="AY326" s="84"/>
      <c r="AZ326" s="84"/>
      <c r="BA326" s="84"/>
      <c r="BB326" s="84"/>
      <c r="BC326" s="84"/>
      <c r="BD326" s="84"/>
      <c r="BE326" s="84"/>
      <c r="BF326" s="84"/>
      <c r="BG326" s="84"/>
      <c r="BH326" s="84"/>
      <c r="BI326" s="84"/>
      <c r="BJ326" s="84"/>
      <c r="BK326" s="84"/>
      <c r="BL326" s="84"/>
      <c r="BM326" s="84"/>
      <c r="BN326" s="84"/>
      <c r="BO326" s="84"/>
      <c r="BP326" s="84"/>
      <c r="BQ326" s="84"/>
      <c r="BR326" s="84"/>
    </row>
    <row r="327" spans="1:70" ht="15.75" customHeight="1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  <c r="AL327" s="84"/>
      <c r="AM327" s="84"/>
      <c r="AN327" s="84"/>
      <c r="AO327" s="84"/>
      <c r="AP327" s="84"/>
      <c r="AQ327" s="84"/>
      <c r="AR327" s="84"/>
      <c r="AS327" s="84"/>
      <c r="AT327" s="84"/>
      <c r="AU327" s="84"/>
      <c r="AV327" s="84"/>
      <c r="AW327" s="84"/>
      <c r="AX327" s="84"/>
      <c r="AY327" s="84"/>
      <c r="AZ327" s="84"/>
      <c r="BA327" s="84"/>
      <c r="BB327" s="84"/>
      <c r="BC327" s="84"/>
      <c r="BD327" s="84"/>
      <c r="BE327" s="84"/>
      <c r="BF327" s="84"/>
      <c r="BG327" s="84"/>
      <c r="BH327" s="84"/>
      <c r="BI327" s="84"/>
      <c r="BJ327" s="84"/>
      <c r="BK327" s="84"/>
      <c r="BL327" s="84"/>
      <c r="BM327" s="84"/>
      <c r="BN327" s="84"/>
      <c r="BO327" s="84"/>
      <c r="BP327" s="84"/>
      <c r="BQ327" s="84"/>
      <c r="BR327" s="84"/>
    </row>
    <row r="328" spans="1:70" ht="15.75" customHeight="1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  <c r="AL328" s="84"/>
      <c r="AM328" s="84"/>
      <c r="AN328" s="84"/>
      <c r="AO328" s="84"/>
      <c r="AP328" s="84"/>
      <c r="AQ328" s="84"/>
      <c r="AR328" s="84"/>
      <c r="AS328" s="84"/>
      <c r="AT328" s="84"/>
      <c r="AU328" s="84"/>
      <c r="AV328" s="84"/>
      <c r="AW328" s="84"/>
      <c r="AX328" s="84"/>
      <c r="AY328" s="84"/>
      <c r="AZ328" s="84"/>
      <c r="BA328" s="84"/>
      <c r="BB328" s="84"/>
      <c r="BC328" s="84"/>
      <c r="BD328" s="84"/>
      <c r="BE328" s="84"/>
      <c r="BF328" s="84"/>
      <c r="BG328" s="84"/>
      <c r="BH328" s="84"/>
      <c r="BI328" s="84"/>
      <c r="BJ328" s="84"/>
      <c r="BK328" s="84"/>
      <c r="BL328" s="84"/>
      <c r="BM328" s="84"/>
      <c r="BN328" s="84"/>
      <c r="BO328" s="84"/>
      <c r="BP328" s="84"/>
      <c r="BQ328" s="84"/>
      <c r="BR328" s="84"/>
    </row>
    <row r="329" spans="1:70" ht="15.75" customHeight="1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  <c r="AL329" s="84"/>
      <c r="AM329" s="84"/>
      <c r="AN329" s="84"/>
      <c r="AO329" s="84"/>
      <c r="AP329" s="84"/>
      <c r="AQ329" s="84"/>
      <c r="AR329" s="84"/>
      <c r="AS329" s="84"/>
      <c r="AT329" s="84"/>
      <c r="AU329" s="84"/>
      <c r="AV329" s="84"/>
      <c r="AW329" s="84"/>
      <c r="AX329" s="84"/>
      <c r="AY329" s="84"/>
      <c r="AZ329" s="84"/>
      <c r="BA329" s="84"/>
      <c r="BB329" s="84"/>
      <c r="BC329" s="84"/>
      <c r="BD329" s="84"/>
      <c r="BE329" s="84"/>
      <c r="BF329" s="84"/>
      <c r="BG329" s="84"/>
      <c r="BH329" s="84"/>
      <c r="BI329" s="84"/>
      <c r="BJ329" s="84"/>
      <c r="BK329" s="84"/>
      <c r="BL329" s="84"/>
      <c r="BM329" s="84"/>
      <c r="BN329" s="84"/>
      <c r="BO329" s="84"/>
      <c r="BP329" s="84"/>
      <c r="BQ329" s="84"/>
      <c r="BR329" s="84"/>
    </row>
    <row r="330" spans="1:70" ht="15.75" customHeight="1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  <c r="AL330" s="84"/>
      <c r="AM330" s="84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  <c r="AY330" s="84"/>
      <c r="AZ330" s="84"/>
      <c r="BA330" s="84"/>
      <c r="BB330" s="84"/>
      <c r="BC330" s="84"/>
      <c r="BD330" s="84"/>
      <c r="BE330" s="84"/>
      <c r="BF330" s="84"/>
      <c r="BG330" s="84"/>
      <c r="BH330" s="84"/>
      <c r="BI330" s="84"/>
      <c r="BJ330" s="84"/>
      <c r="BK330" s="84"/>
      <c r="BL330" s="84"/>
      <c r="BM330" s="84"/>
      <c r="BN330" s="84"/>
      <c r="BO330" s="84"/>
      <c r="BP330" s="84"/>
      <c r="BQ330" s="84"/>
      <c r="BR330" s="84"/>
    </row>
    <row r="331" spans="1:70" ht="15.75" customHeight="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  <c r="AL331" s="84"/>
      <c r="AM331" s="84"/>
      <c r="AN331" s="84"/>
      <c r="AO331" s="84"/>
      <c r="AP331" s="84"/>
      <c r="AQ331" s="84"/>
      <c r="AR331" s="84"/>
      <c r="AS331" s="84"/>
      <c r="AT331" s="84"/>
      <c r="AU331" s="84"/>
      <c r="AV331" s="84"/>
      <c r="AW331" s="84"/>
      <c r="AX331" s="84"/>
      <c r="AY331" s="84"/>
      <c r="AZ331" s="84"/>
      <c r="BA331" s="84"/>
      <c r="BB331" s="84"/>
      <c r="BC331" s="84"/>
      <c r="BD331" s="84"/>
      <c r="BE331" s="84"/>
      <c r="BF331" s="84"/>
      <c r="BG331" s="84"/>
      <c r="BH331" s="84"/>
      <c r="BI331" s="84"/>
      <c r="BJ331" s="84"/>
      <c r="BK331" s="84"/>
      <c r="BL331" s="84"/>
      <c r="BM331" s="84"/>
      <c r="BN331" s="84"/>
      <c r="BO331" s="84"/>
      <c r="BP331" s="84"/>
      <c r="BQ331" s="84"/>
      <c r="BR331" s="84"/>
    </row>
    <row r="332" spans="1:70" ht="15.75" customHeight="1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  <c r="AL332" s="84"/>
      <c r="AM332" s="84"/>
      <c r="AN332" s="84"/>
      <c r="AO332" s="84"/>
      <c r="AP332" s="84"/>
      <c r="AQ332" s="84"/>
      <c r="AR332" s="84"/>
      <c r="AS332" s="84"/>
      <c r="AT332" s="84"/>
      <c r="AU332" s="84"/>
      <c r="AV332" s="84"/>
      <c r="AW332" s="84"/>
      <c r="AX332" s="84"/>
      <c r="AY332" s="84"/>
      <c r="AZ332" s="84"/>
      <c r="BA332" s="84"/>
      <c r="BB332" s="84"/>
      <c r="BC332" s="84"/>
      <c r="BD332" s="84"/>
      <c r="BE332" s="84"/>
      <c r="BF332" s="84"/>
      <c r="BG332" s="84"/>
      <c r="BH332" s="84"/>
      <c r="BI332" s="84"/>
      <c r="BJ332" s="84"/>
      <c r="BK332" s="84"/>
      <c r="BL332" s="84"/>
      <c r="BM332" s="84"/>
      <c r="BN332" s="84"/>
      <c r="BO332" s="84"/>
      <c r="BP332" s="84"/>
      <c r="BQ332" s="84"/>
      <c r="BR332" s="84"/>
    </row>
    <row r="333" spans="1:70" ht="15.75" customHeight="1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84"/>
      <c r="AW333" s="84"/>
      <c r="AX333" s="84"/>
      <c r="AY333" s="84"/>
      <c r="AZ333" s="84"/>
      <c r="BA333" s="84"/>
      <c r="BB333" s="84"/>
      <c r="BC333" s="84"/>
      <c r="BD333" s="84"/>
      <c r="BE333" s="84"/>
      <c r="BF333" s="84"/>
      <c r="BG333" s="84"/>
      <c r="BH333" s="84"/>
      <c r="BI333" s="84"/>
      <c r="BJ333" s="84"/>
      <c r="BK333" s="84"/>
      <c r="BL333" s="84"/>
      <c r="BM333" s="84"/>
      <c r="BN333" s="84"/>
      <c r="BO333" s="84"/>
      <c r="BP333" s="84"/>
      <c r="BQ333" s="84"/>
      <c r="BR333" s="84"/>
    </row>
    <row r="334" spans="1:70" ht="15.75" customHeight="1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  <c r="AY334" s="84"/>
      <c r="AZ334" s="84"/>
      <c r="BA334" s="84"/>
      <c r="BB334" s="84"/>
      <c r="BC334" s="84"/>
      <c r="BD334" s="84"/>
      <c r="BE334" s="84"/>
      <c r="BF334" s="84"/>
      <c r="BG334" s="84"/>
      <c r="BH334" s="84"/>
      <c r="BI334" s="84"/>
      <c r="BJ334" s="84"/>
      <c r="BK334" s="84"/>
      <c r="BL334" s="84"/>
      <c r="BM334" s="84"/>
      <c r="BN334" s="84"/>
      <c r="BO334" s="84"/>
      <c r="BP334" s="84"/>
      <c r="BQ334" s="84"/>
      <c r="BR334" s="84"/>
    </row>
    <row r="335" spans="1:70" ht="15.75" customHeight="1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84"/>
      <c r="AW335" s="84"/>
      <c r="AX335" s="84"/>
      <c r="AY335" s="84"/>
      <c r="AZ335" s="84"/>
      <c r="BA335" s="84"/>
      <c r="BB335" s="84"/>
      <c r="BC335" s="84"/>
      <c r="BD335" s="84"/>
      <c r="BE335" s="84"/>
      <c r="BF335" s="84"/>
      <c r="BG335" s="84"/>
      <c r="BH335" s="84"/>
      <c r="BI335" s="84"/>
      <c r="BJ335" s="84"/>
      <c r="BK335" s="84"/>
      <c r="BL335" s="84"/>
      <c r="BM335" s="84"/>
      <c r="BN335" s="84"/>
      <c r="BO335" s="84"/>
      <c r="BP335" s="84"/>
      <c r="BQ335" s="84"/>
      <c r="BR335" s="84"/>
    </row>
    <row r="336" spans="1:70" ht="15.75" customHeight="1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84"/>
      <c r="AW336" s="84"/>
      <c r="AX336" s="84"/>
      <c r="AY336" s="84"/>
      <c r="AZ336" s="84"/>
      <c r="BA336" s="84"/>
      <c r="BB336" s="84"/>
      <c r="BC336" s="84"/>
      <c r="BD336" s="84"/>
      <c r="BE336" s="84"/>
      <c r="BF336" s="84"/>
      <c r="BG336" s="84"/>
      <c r="BH336" s="84"/>
      <c r="BI336" s="84"/>
      <c r="BJ336" s="84"/>
      <c r="BK336" s="84"/>
      <c r="BL336" s="84"/>
      <c r="BM336" s="84"/>
      <c r="BN336" s="84"/>
      <c r="BO336" s="84"/>
      <c r="BP336" s="84"/>
      <c r="BQ336" s="84"/>
      <c r="BR336" s="84"/>
    </row>
    <row r="337" spans="1:70" ht="15.75" customHeight="1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84"/>
      <c r="AS337" s="84"/>
      <c r="AT337" s="84"/>
      <c r="AU337" s="84"/>
      <c r="AV337" s="84"/>
      <c r="AW337" s="84"/>
      <c r="AX337" s="84"/>
      <c r="AY337" s="84"/>
      <c r="AZ337" s="84"/>
      <c r="BA337" s="84"/>
      <c r="BB337" s="84"/>
      <c r="BC337" s="84"/>
      <c r="BD337" s="84"/>
      <c r="BE337" s="84"/>
      <c r="BF337" s="84"/>
      <c r="BG337" s="84"/>
      <c r="BH337" s="84"/>
      <c r="BI337" s="84"/>
      <c r="BJ337" s="84"/>
      <c r="BK337" s="84"/>
      <c r="BL337" s="84"/>
      <c r="BM337" s="84"/>
      <c r="BN337" s="84"/>
      <c r="BO337" s="84"/>
      <c r="BP337" s="84"/>
      <c r="BQ337" s="84"/>
      <c r="BR337" s="84"/>
    </row>
    <row r="338" spans="1:70" ht="15.75" customHeight="1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  <c r="AY338" s="84"/>
      <c r="AZ338" s="84"/>
      <c r="BA338" s="84"/>
      <c r="BB338" s="84"/>
      <c r="BC338" s="84"/>
      <c r="BD338" s="84"/>
      <c r="BE338" s="84"/>
      <c r="BF338" s="84"/>
      <c r="BG338" s="84"/>
      <c r="BH338" s="84"/>
      <c r="BI338" s="84"/>
      <c r="BJ338" s="84"/>
      <c r="BK338" s="84"/>
      <c r="BL338" s="84"/>
      <c r="BM338" s="84"/>
      <c r="BN338" s="84"/>
      <c r="BO338" s="84"/>
      <c r="BP338" s="84"/>
      <c r="BQ338" s="84"/>
      <c r="BR338" s="84"/>
    </row>
    <row r="339" spans="1:70" ht="15.75" customHeight="1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  <c r="AL339" s="84"/>
      <c r="AM339" s="84"/>
      <c r="AN339" s="84"/>
      <c r="AO339" s="84"/>
      <c r="AP339" s="84"/>
      <c r="AQ339" s="84"/>
      <c r="AR339" s="84"/>
      <c r="AS339" s="84"/>
      <c r="AT339" s="84"/>
      <c r="AU339" s="84"/>
      <c r="AV339" s="84"/>
      <c r="AW339" s="84"/>
      <c r="AX339" s="84"/>
      <c r="AY339" s="84"/>
      <c r="AZ339" s="84"/>
      <c r="BA339" s="84"/>
      <c r="BB339" s="84"/>
      <c r="BC339" s="84"/>
      <c r="BD339" s="84"/>
      <c r="BE339" s="84"/>
      <c r="BF339" s="84"/>
      <c r="BG339" s="84"/>
      <c r="BH339" s="84"/>
      <c r="BI339" s="84"/>
      <c r="BJ339" s="84"/>
      <c r="BK339" s="84"/>
      <c r="BL339" s="84"/>
      <c r="BM339" s="84"/>
      <c r="BN339" s="84"/>
      <c r="BO339" s="84"/>
      <c r="BP339" s="84"/>
      <c r="BQ339" s="84"/>
      <c r="BR339" s="84"/>
    </row>
    <row r="340" spans="1:70" ht="15.75" customHeight="1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  <c r="AL340" s="84"/>
      <c r="AM340" s="84"/>
      <c r="AN340" s="84"/>
      <c r="AO340" s="84"/>
      <c r="AP340" s="84"/>
      <c r="AQ340" s="84"/>
      <c r="AR340" s="84"/>
      <c r="AS340" s="84"/>
      <c r="AT340" s="84"/>
      <c r="AU340" s="84"/>
      <c r="AV340" s="84"/>
      <c r="AW340" s="84"/>
      <c r="AX340" s="84"/>
      <c r="AY340" s="84"/>
      <c r="AZ340" s="84"/>
      <c r="BA340" s="84"/>
      <c r="BB340" s="84"/>
      <c r="BC340" s="84"/>
      <c r="BD340" s="84"/>
      <c r="BE340" s="84"/>
      <c r="BF340" s="84"/>
      <c r="BG340" s="84"/>
      <c r="BH340" s="84"/>
      <c r="BI340" s="84"/>
      <c r="BJ340" s="84"/>
      <c r="BK340" s="84"/>
      <c r="BL340" s="84"/>
      <c r="BM340" s="84"/>
      <c r="BN340" s="84"/>
      <c r="BO340" s="84"/>
      <c r="BP340" s="84"/>
      <c r="BQ340" s="84"/>
      <c r="BR340" s="84"/>
    </row>
    <row r="341" spans="1:70" ht="15.75" customHeight="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  <c r="AL341" s="84"/>
      <c r="AM341" s="84"/>
      <c r="AN341" s="84"/>
      <c r="AO341" s="84"/>
      <c r="AP341" s="84"/>
      <c r="AQ341" s="84"/>
      <c r="AR341" s="84"/>
      <c r="AS341" s="84"/>
      <c r="AT341" s="84"/>
      <c r="AU341" s="84"/>
      <c r="AV341" s="84"/>
      <c r="AW341" s="84"/>
      <c r="AX341" s="84"/>
      <c r="AY341" s="84"/>
      <c r="AZ341" s="84"/>
      <c r="BA341" s="84"/>
      <c r="BB341" s="84"/>
      <c r="BC341" s="84"/>
      <c r="BD341" s="84"/>
      <c r="BE341" s="84"/>
      <c r="BF341" s="84"/>
      <c r="BG341" s="84"/>
      <c r="BH341" s="84"/>
      <c r="BI341" s="84"/>
      <c r="BJ341" s="84"/>
      <c r="BK341" s="84"/>
      <c r="BL341" s="84"/>
      <c r="BM341" s="84"/>
      <c r="BN341" s="84"/>
      <c r="BO341" s="84"/>
      <c r="BP341" s="84"/>
      <c r="BQ341" s="84"/>
      <c r="BR341" s="84"/>
    </row>
    <row r="342" spans="1:70" ht="15.75" customHeight="1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  <c r="AL342" s="84"/>
      <c r="AM342" s="84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  <c r="AY342" s="84"/>
      <c r="AZ342" s="84"/>
      <c r="BA342" s="84"/>
      <c r="BB342" s="84"/>
      <c r="BC342" s="84"/>
      <c r="BD342" s="84"/>
      <c r="BE342" s="84"/>
      <c r="BF342" s="84"/>
      <c r="BG342" s="84"/>
      <c r="BH342" s="84"/>
      <c r="BI342" s="84"/>
      <c r="BJ342" s="84"/>
      <c r="BK342" s="84"/>
      <c r="BL342" s="84"/>
      <c r="BM342" s="84"/>
      <c r="BN342" s="84"/>
      <c r="BO342" s="84"/>
      <c r="BP342" s="84"/>
      <c r="BQ342" s="84"/>
      <c r="BR342" s="84"/>
    </row>
    <row r="343" spans="1:70" ht="15.75" customHeight="1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  <c r="AL343" s="84"/>
      <c r="AM343" s="84"/>
      <c r="AN343" s="84"/>
      <c r="AO343" s="84"/>
      <c r="AP343" s="84"/>
      <c r="AQ343" s="84"/>
      <c r="AR343" s="84"/>
      <c r="AS343" s="84"/>
      <c r="AT343" s="84"/>
      <c r="AU343" s="84"/>
      <c r="AV343" s="84"/>
      <c r="AW343" s="84"/>
      <c r="AX343" s="84"/>
      <c r="AY343" s="84"/>
      <c r="AZ343" s="84"/>
      <c r="BA343" s="84"/>
      <c r="BB343" s="84"/>
      <c r="BC343" s="84"/>
      <c r="BD343" s="84"/>
      <c r="BE343" s="84"/>
      <c r="BF343" s="84"/>
      <c r="BG343" s="84"/>
      <c r="BH343" s="84"/>
      <c r="BI343" s="84"/>
      <c r="BJ343" s="84"/>
      <c r="BK343" s="84"/>
      <c r="BL343" s="84"/>
      <c r="BM343" s="84"/>
      <c r="BN343" s="84"/>
      <c r="BO343" s="84"/>
      <c r="BP343" s="84"/>
      <c r="BQ343" s="84"/>
      <c r="BR343" s="84"/>
    </row>
    <row r="344" spans="1:70" ht="15.75" customHeight="1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  <c r="AL344" s="84"/>
      <c r="AM344" s="84"/>
      <c r="AN344" s="84"/>
      <c r="AO344" s="84"/>
      <c r="AP344" s="84"/>
      <c r="AQ344" s="84"/>
      <c r="AR344" s="84"/>
      <c r="AS344" s="84"/>
      <c r="AT344" s="84"/>
      <c r="AU344" s="84"/>
      <c r="AV344" s="84"/>
      <c r="AW344" s="84"/>
      <c r="AX344" s="84"/>
      <c r="AY344" s="84"/>
      <c r="AZ344" s="84"/>
      <c r="BA344" s="84"/>
      <c r="BB344" s="84"/>
      <c r="BC344" s="84"/>
      <c r="BD344" s="84"/>
      <c r="BE344" s="84"/>
      <c r="BF344" s="84"/>
      <c r="BG344" s="84"/>
      <c r="BH344" s="84"/>
      <c r="BI344" s="84"/>
      <c r="BJ344" s="84"/>
      <c r="BK344" s="84"/>
      <c r="BL344" s="84"/>
      <c r="BM344" s="84"/>
      <c r="BN344" s="84"/>
      <c r="BO344" s="84"/>
      <c r="BP344" s="84"/>
      <c r="BQ344" s="84"/>
      <c r="BR344" s="84"/>
    </row>
    <row r="345" spans="1:70" ht="15.75" customHeight="1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  <c r="AL345" s="84"/>
      <c r="AM345" s="84"/>
      <c r="AN345" s="84"/>
      <c r="AO345" s="84"/>
      <c r="AP345" s="84"/>
      <c r="AQ345" s="84"/>
      <c r="AR345" s="84"/>
      <c r="AS345" s="84"/>
      <c r="AT345" s="84"/>
      <c r="AU345" s="84"/>
      <c r="AV345" s="84"/>
      <c r="AW345" s="84"/>
      <c r="AX345" s="84"/>
      <c r="AY345" s="84"/>
      <c r="AZ345" s="84"/>
      <c r="BA345" s="84"/>
      <c r="BB345" s="84"/>
      <c r="BC345" s="84"/>
      <c r="BD345" s="84"/>
      <c r="BE345" s="84"/>
      <c r="BF345" s="84"/>
      <c r="BG345" s="84"/>
      <c r="BH345" s="84"/>
      <c r="BI345" s="84"/>
      <c r="BJ345" s="84"/>
      <c r="BK345" s="84"/>
      <c r="BL345" s="84"/>
      <c r="BM345" s="84"/>
      <c r="BN345" s="84"/>
      <c r="BO345" s="84"/>
      <c r="BP345" s="84"/>
      <c r="BQ345" s="84"/>
      <c r="BR345" s="84"/>
    </row>
    <row r="346" spans="1:70" ht="15.75" customHeight="1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  <c r="AL346" s="84"/>
      <c r="AM346" s="84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  <c r="AY346" s="84"/>
      <c r="AZ346" s="84"/>
      <c r="BA346" s="84"/>
      <c r="BB346" s="84"/>
      <c r="BC346" s="84"/>
      <c r="BD346" s="84"/>
      <c r="BE346" s="84"/>
      <c r="BF346" s="84"/>
      <c r="BG346" s="84"/>
      <c r="BH346" s="84"/>
      <c r="BI346" s="84"/>
      <c r="BJ346" s="84"/>
      <c r="BK346" s="84"/>
      <c r="BL346" s="84"/>
      <c r="BM346" s="84"/>
      <c r="BN346" s="84"/>
      <c r="BO346" s="84"/>
      <c r="BP346" s="84"/>
      <c r="BQ346" s="84"/>
      <c r="BR346" s="84"/>
    </row>
    <row r="347" spans="1:70" ht="15.75" customHeight="1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  <c r="AL347" s="84"/>
      <c r="AM347" s="84"/>
      <c r="AN347" s="84"/>
      <c r="AO347" s="84"/>
      <c r="AP347" s="84"/>
      <c r="AQ347" s="84"/>
      <c r="AR347" s="84"/>
      <c r="AS347" s="84"/>
      <c r="AT347" s="84"/>
      <c r="AU347" s="84"/>
      <c r="AV347" s="84"/>
      <c r="AW347" s="84"/>
      <c r="AX347" s="84"/>
      <c r="AY347" s="84"/>
      <c r="AZ347" s="84"/>
      <c r="BA347" s="84"/>
      <c r="BB347" s="84"/>
      <c r="BC347" s="84"/>
      <c r="BD347" s="84"/>
      <c r="BE347" s="84"/>
      <c r="BF347" s="84"/>
      <c r="BG347" s="84"/>
      <c r="BH347" s="84"/>
      <c r="BI347" s="84"/>
      <c r="BJ347" s="84"/>
      <c r="BK347" s="84"/>
      <c r="BL347" s="84"/>
      <c r="BM347" s="84"/>
      <c r="BN347" s="84"/>
      <c r="BO347" s="84"/>
      <c r="BP347" s="84"/>
      <c r="BQ347" s="84"/>
      <c r="BR347" s="84"/>
    </row>
    <row r="348" spans="1:70" ht="15.75" customHeight="1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84"/>
      <c r="AW348" s="84"/>
      <c r="AX348" s="84"/>
      <c r="AY348" s="84"/>
      <c r="AZ348" s="84"/>
      <c r="BA348" s="84"/>
      <c r="BB348" s="84"/>
      <c r="BC348" s="84"/>
      <c r="BD348" s="84"/>
      <c r="BE348" s="84"/>
      <c r="BF348" s="84"/>
      <c r="BG348" s="84"/>
      <c r="BH348" s="84"/>
      <c r="BI348" s="84"/>
      <c r="BJ348" s="84"/>
      <c r="BK348" s="84"/>
      <c r="BL348" s="84"/>
      <c r="BM348" s="84"/>
      <c r="BN348" s="84"/>
      <c r="BO348" s="84"/>
      <c r="BP348" s="84"/>
      <c r="BQ348" s="84"/>
      <c r="BR348" s="84"/>
    </row>
    <row r="349" spans="1:70" ht="15.75" customHeight="1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84"/>
      <c r="AW349" s="84"/>
      <c r="AX349" s="84"/>
      <c r="AY349" s="84"/>
      <c r="AZ349" s="84"/>
      <c r="BA349" s="84"/>
      <c r="BB349" s="84"/>
      <c r="BC349" s="84"/>
      <c r="BD349" s="84"/>
      <c r="BE349" s="84"/>
      <c r="BF349" s="84"/>
      <c r="BG349" s="84"/>
      <c r="BH349" s="84"/>
      <c r="BI349" s="84"/>
      <c r="BJ349" s="84"/>
      <c r="BK349" s="84"/>
      <c r="BL349" s="84"/>
      <c r="BM349" s="84"/>
      <c r="BN349" s="84"/>
      <c r="BO349" s="84"/>
      <c r="BP349" s="84"/>
      <c r="BQ349" s="84"/>
      <c r="BR349" s="84"/>
    </row>
    <row r="350" spans="1:70" ht="15.75" customHeight="1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  <c r="AL350" s="84"/>
      <c r="AM350" s="84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  <c r="AY350" s="84"/>
      <c r="AZ350" s="84"/>
      <c r="BA350" s="84"/>
      <c r="BB350" s="84"/>
      <c r="BC350" s="84"/>
      <c r="BD350" s="84"/>
      <c r="BE350" s="84"/>
      <c r="BF350" s="84"/>
      <c r="BG350" s="84"/>
      <c r="BH350" s="84"/>
      <c r="BI350" s="84"/>
      <c r="BJ350" s="84"/>
      <c r="BK350" s="84"/>
      <c r="BL350" s="84"/>
      <c r="BM350" s="84"/>
      <c r="BN350" s="84"/>
      <c r="BO350" s="84"/>
      <c r="BP350" s="84"/>
      <c r="BQ350" s="84"/>
      <c r="BR350" s="84"/>
    </row>
    <row r="351" spans="1:70" ht="15.75" customHeight="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  <c r="AL351" s="84"/>
      <c r="AM351" s="84"/>
      <c r="AN351" s="84"/>
      <c r="AO351" s="84"/>
      <c r="AP351" s="84"/>
      <c r="AQ351" s="84"/>
      <c r="AR351" s="84"/>
      <c r="AS351" s="84"/>
      <c r="AT351" s="84"/>
      <c r="AU351" s="84"/>
      <c r="AV351" s="84"/>
      <c r="AW351" s="84"/>
      <c r="AX351" s="84"/>
      <c r="AY351" s="84"/>
      <c r="AZ351" s="84"/>
      <c r="BA351" s="84"/>
      <c r="BB351" s="84"/>
      <c r="BC351" s="84"/>
      <c r="BD351" s="84"/>
      <c r="BE351" s="84"/>
      <c r="BF351" s="84"/>
      <c r="BG351" s="84"/>
      <c r="BH351" s="84"/>
      <c r="BI351" s="84"/>
      <c r="BJ351" s="84"/>
      <c r="BK351" s="84"/>
      <c r="BL351" s="84"/>
      <c r="BM351" s="84"/>
      <c r="BN351" s="84"/>
      <c r="BO351" s="84"/>
      <c r="BP351" s="84"/>
      <c r="BQ351" s="84"/>
      <c r="BR351" s="84"/>
    </row>
    <row r="352" spans="1:70" ht="15.75" customHeight="1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84"/>
      <c r="AR352" s="84"/>
      <c r="AS352" s="84"/>
      <c r="AT352" s="84"/>
      <c r="AU352" s="84"/>
      <c r="AV352" s="84"/>
      <c r="AW352" s="84"/>
      <c r="AX352" s="84"/>
      <c r="AY352" s="84"/>
      <c r="AZ352" s="84"/>
      <c r="BA352" s="84"/>
      <c r="BB352" s="84"/>
      <c r="BC352" s="84"/>
      <c r="BD352" s="84"/>
      <c r="BE352" s="84"/>
      <c r="BF352" s="84"/>
      <c r="BG352" s="84"/>
      <c r="BH352" s="84"/>
      <c r="BI352" s="84"/>
      <c r="BJ352" s="84"/>
      <c r="BK352" s="84"/>
      <c r="BL352" s="84"/>
      <c r="BM352" s="84"/>
      <c r="BN352" s="84"/>
      <c r="BO352" s="84"/>
      <c r="BP352" s="84"/>
      <c r="BQ352" s="84"/>
      <c r="BR352" s="84"/>
    </row>
    <row r="353" spans="1:70" ht="15.75" customHeight="1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  <c r="AL353" s="84"/>
      <c r="AM353" s="84"/>
      <c r="AN353" s="84"/>
      <c r="AO353" s="84"/>
      <c r="AP353" s="84"/>
      <c r="AQ353" s="84"/>
      <c r="AR353" s="84"/>
      <c r="AS353" s="84"/>
      <c r="AT353" s="84"/>
      <c r="AU353" s="84"/>
      <c r="AV353" s="84"/>
      <c r="AW353" s="84"/>
      <c r="AX353" s="84"/>
      <c r="AY353" s="84"/>
      <c r="AZ353" s="84"/>
      <c r="BA353" s="84"/>
      <c r="BB353" s="84"/>
      <c r="BC353" s="84"/>
      <c r="BD353" s="84"/>
      <c r="BE353" s="84"/>
      <c r="BF353" s="84"/>
      <c r="BG353" s="84"/>
      <c r="BH353" s="84"/>
      <c r="BI353" s="84"/>
      <c r="BJ353" s="84"/>
      <c r="BK353" s="84"/>
      <c r="BL353" s="84"/>
      <c r="BM353" s="84"/>
      <c r="BN353" s="84"/>
      <c r="BO353" s="84"/>
      <c r="BP353" s="84"/>
      <c r="BQ353" s="84"/>
      <c r="BR353" s="84"/>
    </row>
    <row r="354" spans="1:70" ht="15.75" customHeight="1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  <c r="AL354" s="84"/>
      <c r="AM354" s="84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  <c r="AY354" s="84"/>
      <c r="AZ354" s="84"/>
      <c r="BA354" s="84"/>
      <c r="BB354" s="84"/>
      <c r="BC354" s="84"/>
      <c r="BD354" s="84"/>
      <c r="BE354" s="84"/>
      <c r="BF354" s="84"/>
      <c r="BG354" s="84"/>
      <c r="BH354" s="84"/>
      <c r="BI354" s="84"/>
      <c r="BJ354" s="84"/>
      <c r="BK354" s="84"/>
      <c r="BL354" s="84"/>
      <c r="BM354" s="84"/>
      <c r="BN354" s="84"/>
      <c r="BO354" s="84"/>
      <c r="BP354" s="84"/>
      <c r="BQ354" s="84"/>
      <c r="BR354" s="84"/>
    </row>
    <row r="355" spans="1:70" ht="15.75" customHeight="1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  <c r="AL355" s="84"/>
      <c r="AM355" s="84"/>
      <c r="AN355" s="84"/>
      <c r="AO355" s="84"/>
      <c r="AP355" s="84"/>
      <c r="AQ355" s="84"/>
      <c r="AR355" s="84"/>
      <c r="AS355" s="84"/>
      <c r="AT355" s="84"/>
      <c r="AU355" s="84"/>
      <c r="AV355" s="84"/>
      <c r="AW355" s="84"/>
      <c r="AX355" s="84"/>
      <c r="AY355" s="84"/>
      <c r="AZ355" s="84"/>
      <c r="BA355" s="84"/>
      <c r="BB355" s="84"/>
      <c r="BC355" s="84"/>
      <c r="BD355" s="84"/>
      <c r="BE355" s="84"/>
      <c r="BF355" s="84"/>
      <c r="BG355" s="84"/>
      <c r="BH355" s="84"/>
      <c r="BI355" s="84"/>
      <c r="BJ355" s="84"/>
      <c r="BK355" s="84"/>
      <c r="BL355" s="84"/>
      <c r="BM355" s="84"/>
      <c r="BN355" s="84"/>
      <c r="BO355" s="84"/>
      <c r="BP355" s="84"/>
      <c r="BQ355" s="84"/>
      <c r="BR355" s="84"/>
    </row>
    <row r="356" spans="1:70" ht="15.75" customHeight="1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  <c r="AL356" s="84"/>
      <c r="AM356" s="84"/>
      <c r="AN356" s="84"/>
      <c r="AO356" s="84"/>
      <c r="AP356" s="84"/>
      <c r="AQ356" s="84"/>
      <c r="AR356" s="84"/>
      <c r="AS356" s="84"/>
      <c r="AT356" s="84"/>
      <c r="AU356" s="84"/>
      <c r="AV356" s="84"/>
      <c r="AW356" s="84"/>
      <c r="AX356" s="84"/>
      <c r="AY356" s="84"/>
      <c r="AZ356" s="84"/>
      <c r="BA356" s="84"/>
      <c r="BB356" s="84"/>
      <c r="BC356" s="84"/>
      <c r="BD356" s="84"/>
      <c r="BE356" s="84"/>
      <c r="BF356" s="84"/>
      <c r="BG356" s="84"/>
      <c r="BH356" s="84"/>
      <c r="BI356" s="84"/>
      <c r="BJ356" s="84"/>
      <c r="BK356" s="84"/>
      <c r="BL356" s="84"/>
      <c r="BM356" s="84"/>
      <c r="BN356" s="84"/>
      <c r="BO356" s="84"/>
      <c r="BP356" s="84"/>
      <c r="BQ356" s="84"/>
      <c r="BR356" s="84"/>
    </row>
    <row r="357" spans="1:70" ht="15.75" customHeight="1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  <c r="AL357" s="84"/>
      <c r="AM357" s="84"/>
      <c r="AN357" s="84"/>
      <c r="AO357" s="84"/>
      <c r="AP357" s="84"/>
      <c r="AQ357" s="84"/>
      <c r="AR357" s="84"/>
      <c r="AS357" s="84"/>
      <c r="AT357" s="84"/>
      <c r="AU357" s="84"/>
      <c r="AV357" s="84"/>
      <c r="AW357" s="84"/>
      <c r="AX357" s="84"/>
      <c r="AY357" s="84"/>
      <c r="AZ357" s="84"/>
      <c r="BA357" s="84"/>
      <c r="BB357" s="84"/>
      <c r="BC357" s="84"/>
      <c r="BD357" s="84"/>
      <c r="BE357" s="84"/>
      <c r="BF357" s="84"/>
      <c r="BG357" s="84"/>
      <c r="BH357" s="84"/>
      <c r="BI357" s="84"/>
      <c r="BJ357" s="84"/>
      <c r="BK357" s="84"/>
      <c r="BL357" s="84"/>
      <c r="BM357" s="84"/>
      <c r="BN357" s="84"/>
      <c r="BO357" s="84"/>
      <c r="BP357" s="84"/>
      <c r="BQ357" s="84"/>
      <c r="BR357" s="84"/>
    </row>
    <row r="358" spans="1:70" ht="15.75" customHeight="1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  <c r="AL358" s="84"/>
      <c r="AM358" s="84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  <c r="AY358" s="84"/>
      <c r="AZ358" s="84"/>
      <c r="BA358" s="84"/>
      <c r="BB358" s="84"/>
      <c r="BC358" s="84"/>
      <c r="BD358" s="84"/>
      <c r="BE358" s="84"/>
      <c r="BF358" s="84"/>
      <c r="BG358" s="84"/>
      <c r="BH358" s="84"/>
      <c r="BI358" s="84"/>
      <c r="BJ358" s="84"/>
      <c r="BK358" s="84"/>
      <c r="BL358" s="84"/>
      <c r="BM358" s="84"/>
      <c r="BN358" s="84"/>
      <c r="BO358" s="84"/>
      <c r="BP358" s="84"/>
      <c r="BQ358" s="84"/>
      <c r="BR358" s="84"/>
    </row>
    <row r="359" spans="1:70" ht="15.75" customHeight="1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  <c r="AL359" s="84"/>
      <c r="AM359" s="84"/>
      <c r="AN359" s="84"/>
      <c r="AO359" s="84"/>
      <c r="AP359" s="84"/>
      <c r="AQ359" s="84"/>
      <c r="AR359" s="84"/>
      <c r="AS359" s="84"/>
      <c r="AT359" s="84"/>
      <c r="AU359" s="84"/>
      <c r="AV359" s="84"/>
      <c r="AW359" s="84"/>
      <c r="AX359" s="84"/>
      <c r="AY359" s="84"/>
      <c r="AZ359" s="84"/>
      <c r="BA359" s="84"/>
      <c r="BB359" s="84"/>
      <c r="BC359" s="84"/>
      <c r="BD359" s="84"/>
      <c r="BE359" s="84"/>
      <c r="BF359" s="84"/>
      <c r="BG359" s="84"/>
      <c r="BH359" s="84"/>
      <c r="BI359" s="84"/>
      <c r="BJ359" s="84"/>
      <c r="BK359" s="84"/>
      <c r="BL359" s="84"/>
      <c r="BM359" s="84"/>
      <c r="BN359" s="84"/>
      <c r="BO359" s="84"/>
      <c r="BP359" s="84"/>
      <c r="BQ359" s="84"/>
      <c r="BR359" s="84"/>
    </row>
    <row r="360" spans="1:70" ht="15.75" customHeight="1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  <c r="AL360" s="84"/>
      <c r="AM360" s="84"/>
      <c r="AN360" s="84"/>
      <c r="AO360" s="84"/>
      <c r="AP360" s="84"/>
      <c r="AQ360" s="84"/>
      <c r="AR360" s="84"/>
      <c r="AS360" s="84"/>
      <c r="AT360" s="84"/>
      <c r="AU360" s="84"/>
      <c r="AV360" s="84"/>
      <c r="AW360" s="84"/>
      <c r="AX360" s="84"/>
      <c r="AY360" s="84"/>
      <c r="AZ360" s="84"/>
      <c r="BA360" s="84"/>
      <c r="BB360" s="84"/>
      <c r="BC360" s="84"/>
      <c r="BD360" s="84"/>
      <c r="BE360" s="84"/>
      <c r="BF360" s="84"/>
      <c r="BG360" s="84"/>
      <c r="BH360" s="84"/>
      <c r="BI360" s="84"/>
      <c r="BJ360" s="84"/>
      <c r="BK360" s="84"/>
      <c r="BL360" s="84"/>
      <c r="BM360" s="84"/>
      <c r="BN360" s="84"/>
      <c r="BO360" s="84"/>
      <c r="BP360" s="84"/>
      <c r="BQ360" s="84"/>
      <c r="BR360" s="84"/>
    </row>
    <row r="361" spans="1:70" ht="15.75" customHeight="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84"/>
      <c r="AU361" s="84"/>
      <c r="AV361" s="84"/>
      <c r="AW361" s="84"/>
      <c r="AX361" s="84"/>
      <c r="AY361" s="84"/>
      <c r="AZ361" s="84"/>
      <c r="BA361" s="84"/>
      <c r="BB361" s="84"/>
      <c r="BC361" s="84"/>
      <c r="BD361" s="84"/>
      <c r="BE361" s="84"/>
      <c r="BF361" s="84"/>
      <c r="BG361" s="84"/>
      <c r="BH361" s="84"/>
      <c r="BI361" s="84"/>
      <c r="BJ361" s="84"/>
      <c r="BK361" s="84"/>
      <c r="BL361" s="84"/>
      <c r="BM361" s="84"/>
      <c r="BN361" s="84"/>
      <c r="BO361" s="84"/>
      <c r="BP361" s="84"/>
      <c r="BQ361" s="84"/>
      <c r="BR361" s="84"/>
    </row>
    <row r="362" spans="1:70" ht="15.75" customHeight="1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  <c r="AL362" s="84"/>
      <c r="AM362" s="84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  <c r="AY362" s="84"/>
      <c r="AZ362" s="84"/>
      <c r="BA362" s="84"/>
      <c r="BB362" s="84"/>
      <c r="BC362" s="84"/>
      <c r="BD362" s="84"/>
      <c r="BE362" s="84"/>
      <c r="BF362" s="84"/>
      <c r="BG362" s="84"/>
      <c r="BH362" s="84"/>
      <c r="BI362" s="84"/>
      <c r="BJ362" s="84"/>
      <c r="BK362" s="84"/>
      <c r="BL362" s="84"/>
      <c r="BM362" s="84"/>
      <c r="BN362" s="84"/>
      <c r="BO362" s="84"/>
      <c r="BP362" s="84"/>
      <c r="BQ362" s="84"/>
      <c r="BR362" s="84"/>
    </row>
    <row r="363" spans="1:70" ht="15.75" customHeight="1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84"/>
      <c r="AW363" s="84"/>
      <c r="AX363" s="84"/>
      <c r="AY363" s="84"/>
      <c r="AZ363" s="84"/>
      <c r="BA363" s="84"/>
      <c r="BB363" s="84"/>
      <c r="BC363" s="84"/>
      <c r="BD363" s="84"/>
      <c r="BE363" s="84"/>
      <c r="BF363" s="84"/>
      <c r="BG363" s="84"/>
      <c r="BH363" s="84"/>
      <c r="BI363" s="84"/>
      <c r="BJ363" s="84"/>
      <c r="BK363" s="84"/>
      <c r="BL363" s="84"/>
      <c r="BM363" s="84"/>
      <c r="BN363" s="84"/>
      <c r="BO363" s="84"/>
      <c r="BP363" s="84"/>
      <c r="BQ363" s="84"/>
      <c r="BR363" s="84"/>
    </row>
    <row r="364" spans="1:70" ht="15.75" customHeight="1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84"/>
      <c r="AQ364" s="84"/>
      <c r="AR364" s="84"/>
      <c r="AS364" s="84"/>
      <c r="AT364" s="84"/>
      <c r="AU364" s="84"/>
      <c r="AV364" s="84"/>
      <c r="AW364" s="84"/>
      <c r="AX364" s="84"/>
      <c r="AY364" s="84"/>
      <c r="AZ364" s="84"/>
      <c r="BA364" s="84"/>
      <c r="BB364" s="84"/>
      <c r="BC364" s="84"/>
      <c r="BD364" s="84"/>
      <c r="BE364" s="84"/>
      <c r="BF364" s="84"/>
      <c r="BG364" s="84"/>
      <c r="BH364" s="84"/>
      <c r="BI364" s="84"/>
      <c r="BJ364" s="84"/>
      <c r="BK364" s="84"/>
      <c r="BL364" s="84"/>
      <c r="BM364" s="84"/>
      <c r="BN364" s="84"/>
      <c r="BO364" s="84"/>
      <c r="BP364" s="84"/>
      <c r="BQ364" s="84"/>
      <c r="BR364" s="84"/>
    </row>
    <row r="365" spans="1:70" ht="15.75" customHeight="1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84"/>
      <c r="AQ365" s="84"/>
      <c r="AR365" s="84"/>
      <c r="AS365" s="84"/>
      <c r="AT365" s="84"/>
      <c r="AU365" s="84"/>
      <c r="AV365" s="84"/>
      <c r="AW365" s="84"/>
      <c r="AX365" s="84"/>
      <c r="AY365" s="84"/>
      <c r="AZ365" s="84"/>
      <c r="BA365" s="84"/>
      <c r="BB365" s="84"/>
      <c r="BC365" s="84"/>
      <c r="BD365" s="84"/>
      <c r="BE365" s="84"/>
      <c r="BF365" s="84"/>
      <c r="BG365" s="84"/>
      <c r="BH365" s="84"/>
      <c r="BI365" s="84"/>
      <c r="BJ365" s="84"/>
      <c r="BK365" s="84"/>
      <c r="BL365" s="84"/>
      <c r="BM365" s="84"/>
      <c r="BN365" s="84"/>
      <c r="BO365" s="84"/>
      <c r="BP365" s="84"/>
      <c r="BQ365" s="84"/>
      <c r="BR365" s="84"/>
    </row>
    <row r="366" spans="1:70" ht="15.75" customHeight="1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  <c r="AL366" s="84"/>
      <c r="AM366" s="84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  <c r="AY366" s="84"/>
      <c r="AZ366" s="84"/>
      <c r="BA366" s="84"/>
      <c r="BB366" s="84"/>
      <c r="BC366" s="84"/>
      <c r="BD366" s="84"/>
      <c r="BE366" s="84"/>
      <c r="BF366" s="84"/>
      <c r="BG366" s="84"/>
      <c r="BH366" s="84"/>
      <c r="BI366" s="84"/>
      <c r="BJ366" s="84"/>
      <c r="BK366" s="84"/>
      <c r="BL366" s="84"/>
      <c r="BM366" s="84"/>
      <c r="BN366" s="84"/>
      <c r="BO366" s="84"/>
      <c r="BP366" s="84"/>
      <c r="BQ366" s="84"/>
      <c r="BR366" s="84"/>
    </row>
    <row r="367" spans="1:70" ht="15.75" customHeight="1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84"/>
      <c r="AW367" s="84"/>
      <c r="AX367" s="84"/>
      <c r="AY367" s="84"/>
      <c r="AZ367" s="84"/>
      <c r="BA367" s="84"/>
      <c r="BB367" s="84"/>
      <c r="BC367" s="84"/>
      <c r="BD367" s="84"/>
      <c r="BE367" s="84"/>
      <c r="BF367" s="84"/>
      <c r="BG367" s="84"/>
      <c r="BH367" s="84"/>
      <c r="BI367" s="84"/>
      <c r="BJ367" s="84"/>
      <c r="BK367" s="84"/>
      <c r="BL367" s="84"/>
      <c r="BM367" s="84"/>
      <c r="BN367" s="84"/>
      <c r="BO367" s="84"/>
      <c r="BP367" s="84"/>
      <c r="BQ367" s="84"/>
      <c r="BR367" s="84"/>
    </row>
    <row r="368" spans="1:70" ht="15.75" customHeight="1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84"/>
      <c r="AS368" s="84"/>
      <c r="AT368" s="84"/>
      <c r="AU368" s="84"/>
      <c r="AV368" s="84"/>
      <c r="AW368" s="84"/>
      <c r="AX368" s="84"/>
      <c r="AY368" s="84"/>
      <c r="AZ368" s="84"/>
      <c r="BA368" s="84"/>
      <c r="BB368" s="84"/>
      <c r="BC368" s="84"/>
      <c r="BD368" s="84"/>
      <c r="BE368" s="84"/>
      <c r="BF368" s="84"/>
      <c r="BG368" s="84"/>
      <c r="BH368" s="84"/>
      <c r="BI368" s="84"/>
      <c r="BJ368" s="84"/>
      <c r="BK368" s="84"/>
      <c r="BL368" s="84"/>
      <c r="BM368" s="84"/>
      <c r="BN368" s="84"/>
      <c r="BO368" s="84"/>
      <c r="BP368" s="84"/>
      <c r="BQ368" s="84"/>
      <c r="BR368" s="84"/>
    </row>
    <row r="369" spans="1:70" ht="15.75" customHeight="1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84"/>
      <c r="AQ369" s="84"/>
      <c r="AR369" s="84"/>
      <c r="AS369" s="84"/>
      <c r="AT369" s="84"/>
      <c r="AU369" s="84"/>
      <c r="AV369" s="84"/>
      <c r="AW369" s="84"/>
      <c r="AX369" s="84"/>
      <c r="AY369" s="84"/>
      <c r="AZ369" s="84"/>
      <c r="BA369" s="84"/>
      <c r="BB369" s="84"/>
      <c r="BC369" s="84"/>
      <c r="BD369" s="84"/>
      <c r="BE369" s="84"/>
      <c r="BF369" s="84"/>
      <c r="BG369" s="84"/>
      <c r="BH369" s="84"/>
      <c r="BI369" s="84"/>
      <c r="BJ369" s="84"/>
      <c r="BK369" s="84"/>
      <c r="BL369" s="84"/>
      <c r="BM369" s="84"/>
      <c r="BN369" s="84"/>
      <c r="BO369" s="84"/>
      <c r="BP369" s="84"/>
      <c r="BQ369" s="84"/>
      <c r="BR369" s="84"/>
    </row>
    <row r="370" spans="1:70" ht="15.75" customHeight="1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  <c r="AY370" s="84"/>
      <c r="AZ370" s="84"/>
      <c r="BA370" s="84"/>
      <c r="BB370" s="84"/>
      <c r="BC370" s="84"/>
      <c r="BD370" s="84"/>
      <c r="BE370" s="84"/>
      <c r="BF370" s="84"/>
      <c r="BG370" s="84"/>
      <c r="BH370" s="84"/>
      <c r="BI370" s="84"/>
      <c r="BJ370" s="84"/>
      <c r="BK370" s="84"/>
      <c r="BL370" s="84"/>
      <c r="BM370" s="84"/>
      <c r="BN370" s="84"/>
      <c r="BO370" s="84"/>
      <c r="BP370" s="84"/>
      <c r="BQ370" s="84"/>
      <c r="BR370" s="84"/>
    </row>
    <row r="371" spans="1:70" ht="15.75" customHeight="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84"/>
      <c r="AR371" s="84"/>
      <c r="AS371" s="84"/>
      <c r="AT371" s="84"/>
      <c r="AU371" s="84"/>
      <c r="AV371" s="84"/>
      <c r="AW371" s="84"/>
      <c r="AX371" s="84"/>
      <c r="AY371" s="84"/>
      <c r="AZ371" s="84"/>
      <c r="BA371" s="84"/>
      <c r="BB371" s="84"/>
      <c r="BC371" s="84"/>
      <c r="BD371" s="84"/>
      <c r="BE371" s="84"/>
      <c r="BF371" s="84"/>
      <c r="BG371" s="84"/>
      <c r="BH371" s="84"/>
      <c r="BI371" s="84"/>
      <c r="BJ371" s="84"/>
      <c r="BK371" s="84"/>
      <c r="BL371" s="84"/>
      <c r="BM371" s="84"/>
      <c r="BN371" s="84"/>
      <c r="BO371" s="84"/>
      <c r="BP371" s="84"/>
      <c r="BQ371" s="84"/>
      <c r="BR371" s="84"/>
    </row>
    <row r="372" spans="1:70" ht="15.75" customHeight="1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84"/>
      <c r="AR372" s="84"/>
      <c r="AS372" s="84"/>
      <c r="AT372" s="84"/>
      <c r="AU372" s="84"/>
      <c r="AV372" s="84"/>
      <c r="AW372" s="84"/>
      <c r="AX372" s="84"/>
      <c r="AY372" s="84"/>
      <c r="AZ372" s="84"/>
      <c r="BA372" s="84"/>
      <c r="BB372" s="84"/>
      <c r="BC372" s="84"/>
      <c r="BD372" s="84"/>
      <c r="BE372" s="84"/>
      <c r="BF372" s="84"/>
      <c r="BG372" s="84"/>
      <c r="BH372" s="84"/>
      <c r="BI372" s="84"/>
      <c r="BJ372" s="84"/>
      <c r="BK372" s="84"/>
      <c r="BL372" s="84"/>
      <c r="BM372" s="84"/>
      <c r="BN372" s="84"/>
      <c r="BO372" s="84"/>
      <c r="BP372" s="84"/>
      <c r="BQ372" s="84"/>
      <c r="BR372" s="84"/>
    </row>
    <row r="373" spans="1:70" ht="15.75" customHeight="1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84"/>
      <c r="AW373" s="84"/>
      <c r="AX373" s="84"/>
      <c r="AY373" s="84"/>
      <c r="AZ373" s="84"/>
      <c r="BA373" s="84"/>
      <c r="BB373" s="84"/>
      <c r="BC373" s="84"/>
      <c r="BD373" s="84"/>
      <c r="BE373" s="84"/>
      <c r="BF373" s="84"/>
      <c r="BG373" s="84"/>
      <c r="BH373" s="84"/>
      <c r="BI373" s="84"/>
      <c r="BJ373" s="84"/>
      <c r="BK373" s="84"/>
      <c r="BL373" s="84"/>
      <c r="BM373" s="84"/>
      <c r="BN373" s="84"/>
      <c r="BO373" s="84"/>
      <c r="BP373" s="84"/>
      <c r="BQ373" s="84"/>
      <c r="BR373" s="84"/>
    </row>
    <row r="374" spans="1:70" ht="15.75" customHeight="1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  <c r="AY374" s="84"/>
      <c r="AZ374" s="84"/>
      <c r="BA374" s="84"/>
      <c r="BB374" s="84"/>
      <c r="BC374" s="84"/>
      <c r="BD374" s="84"/>
      <c r="BE374" s="84"/>
      <c r="BF374" s="84"/>
      <c r="BG374" s="84"/>
      <c r="BH374" s="84"/>
      <c r="BI374" s="84"/>
      <c r="BJ374" s="84"/>
      <c r="BK374" s="84"/>
      <c r="BL374" s="84"/>
      <c r="BM374" s="84"/>
      <c r="BN374" s="84"/>
      <c r="BO374" s="84"/>
      <c r="BP374" s="84"/>
      <c r="BQ374" s="84"/>
      <c r="BR374" s="84"/>
    </row>
    <row r="375" spans="1:70" ht="15.75" customHeight="1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  <c r="AL375" s="84"/>
      <c r="AM375" s="84"/>
      <c r="AN375" s="84"/>
      <c r="AO375" s="84"/>
      <c r="AP375" s="84"/>
      <c r="AQ375" s="84"/>
      <c r="AR375" s="84"/>
      <c r="AS375" s="84"/>
      <c r="AT375" s="84"/>
      <c r="AU375" s="84"/>
      <c r="AV375" s="84"/>
      <c r="AW375" s="84"/>
      <c r="AX375" s="84"/>
      <c r="AY375" s="84"/>
      <c r="AZ375" s="84"/>
      <c r="BA375" s="84"/>
      <c r="BB375" s="84"/>
      <c r="BC375" s="84"/>
      <c r="BD375" s="84"/>
      <c r="BE375" s="84"/>
      <c r="BF375" s="84"/>
      <c r="BG375" s="84"/>
      <c r="BH375" s="84"/>
      <c r="BI375" s="84"/>
      <c r="BJ375" s="84"/>
      <c r="BK375" s="84"/>
      <c r="BL375" s="84"/>
      <c r="BM375" s="84"/>
      <c r="BN375" s="84"/>
      <c r="BO375" s="84"/>
      <c r="BP375" s="84"/>
      <c r="BQ375" s="84"/>
      <c r="BR375" s="84"/>
    </row>
    <row r="376" spans="1:70" ht="15.75" customHeight="1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  <c r="AL376" s="84"/>
      <c r="AM376" s="84"/>
      <c r="AN376" s="84"/>
      <c r="AO376" s="84"/>
      <c r="AP376" s="84"/>
      <c r="AQ376" s="84"/>
      <c r="AR376" s="84"/>
      <c r="AS376" s="84"/>
      <c r="AT376" s="84"/>
      <c r="AU376" s="84"/>
      <c r="AV376" s="84"/>
      <c r="AW376" s="84"/>
      <c r="AX376" s="84"/>
      <c r="AY376" s="84"/>
      <c r="AZ376" s="84"/>
      <c r="BA376" s="84"/>
      <c r="BB376" s="84"/>
      <c r="BC376" s="84"/>
      <c r="BD376" s="84"/>
      <c r="BE376" s="84"/>
      <c r="BF376" s="84"/>
      <c r="BG376" s="84"/>
      <c r="BH376" s="84"/>
      <c r="BI376" s="84"/>
      <c r="BJ376" s="84"/>
      <c r="BK376" s="84"/>
      <c r="BL376" s="84"/>
      <c r="BM376" s="84"/>
      <c r="BN376" s="84"/>
      <c r="BO376" s="84"/>
      <c r="BP376" s="84"/>
      <c r="BQ376" s="84"/>
      <c r="BR376" s="84"/>
    </row>
    <row r="377" spans="1:70" ht="15.75" customHeight="1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84"/>
      <c r="AT377" s="84"/>
      <c r="AU377" s="84"/>
      <c r="AV377" s="84"/>
      <c r="AW377" s="84"/>
      <c r="AX377" s="84"/>
      <c r="AY377" s="84"/>
      <c r="AZ377" s="84"/>
      <c r="BA377" s="84"/>
      <c r="BB377" s="84"/>
      <c r="BC377" s="84"/>
      <c r="BD377" s="84"/>
      <c r="BE377" s="84"/>
      <c r="BF377" s="84"/>
      <c r="BG377" s="84"/>
      <c r="BH377" s="84"/>
      <c r="BI377" s="84"/>
      <c r="BJ377" s="84"/>
      <c r="BK377" s="84"/>
      <c r="BL377" s="84"/>
      <c r="BM377" s="84"/>
      <c r="BN377" s="84"/>
      <c r="BO377" s="84"/>
      <c r="BP377" s="84"/>
      <c r="BQ377" s="84"/>
      <c r="BR377" s="84"/>
    </row>
    <row r="378" spans="1:70" ht="15.75" customHeight="1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  <c r="AL378" s="84"/>
      <c r="AM378" s="84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  <c r="AY378" s="84"/>
      <c r="AZ378" s="84"/>
      <c r="BA378" s="84"/>
      <c r="BB378" s="84"/>
      <c r="BC378" s="84"/>
      <c r="BD378" s="84"/>
      <c r="BE378" s="84"/>
      <c r="BF378" s="84"/>
      <c r="BG378" s="84"/>
      <c r="BH378" s="84"/>
      <c r="BI378" s="84"/>
      <c r="BJ378" s="84"/>
      <c r="BK378" s="84"/>
      <c r="BL378" s="84"/>
      <c r="BM378" s="84"/>
      <c r="BN378" s="84"/>
      <c r="BO378" s="84"/>
      <c r="BP378" s="84"/>
      <c r="BQ378" s="84"/>
      <c r="BR378" s="84"/>
    </row>
    <row r="379" spans="1:70" ht="15.75" customHeight="1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84"/>
      <c r="AW379" s="84"/>
      <c r="AX379" s="84"/>
      <c r="AY379" s="84"/>
      <c r="AZ379" s="84"/>
      <c r="BA379" s="84"/>
      <c r="BB379" s="84"/>
      <c r="BC379" s="84"/>
      <c r="BD379" s="84"/>
      <c r="BE379" s="84"/>
      <c r="BF379" s="84"/>
      <c r="BG379" s="84"/>
      <c r="BH379" s="84"/>
      <c r="BI379" s="84"/>
      <c r="BJ379" s="84"/>
      <c r="BK379" s="84"/>
      <c r="BL379" s="84"/>
      <c r="BM379" s="84"/>
      <c r="BN379" s="84"/>
      <c r="BO379" s="84"/>
      <c r="BP379" s="84"/>
      <c r="BQ379" s="84"/>
      <c r="BR379" s="84"/>
    </row>
    <row r="380" spans="1:70" ht="15.75" customHeight="1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84"/>
      <c r="AW380" s="84"/>
      <c r="AX380" s="84"/>
      <c r="AY380" s="84"/>
      <c r="AZ380" s="84"/>
      <c r="BA380" s="84"/>
      <c r="BB380" s="84"/>
      <c r="BC380" s="84"/>
      <c r="BD380" s="84"/>
      <c r="BE380" s="84"/>
      <c r="BF380" s="84"/>
      <c r="BG380" s="84"/>
      <c r="BH380" s="84"/>
      <c r="BI380" s="84"/>
      <c r="BJ380" s="84"/>
      <c r="BK380" s="84"/>
      <c r="BL380" s="84"/>
      <c r="BM380" s="84"/>
      <c r="BN380" s="84"/>
      <c r="BO380" s="84"/>
      <c r="BP380" s="84"/>
      <c r="BQ380" s="84"/>
      <c r="BR380" s="84"/>
    </row>
    <row r="381" spans="1:70" ht="15.75" customHeight="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  <c r="AL381" s="84"/>
      <c r="AM381" s="84"/>
      <c r="AN381" s="84"/>
      <c r="AO381" s="84"/>
      <c r="AP381" s="84"/>
      <c r="AQ381" s="84"/>
      <c r="AR381" s="84"/>
      <c r="AS381" s="84"/>
      <c r="AT381" s="84"/>
      <c r="AU381" s="84"/>
      <c r="AV381" s="84"/>
      <c r="AW381" s="84"/>
      <c r="AX381" s="84"/>
      <c r="AY381" s="84"/>
      <c r="AZ381" s="84"/>
      <c r="BA381" s="84"/>
      <c r="BB381" s="84"/>
      <c r="BC381" s="84"/>
      <c r="BD381" s="84"/>
      <c r="BE381" s="84"/>
      <c r="BF381" s="84"/>
      <c r="BG381" s="84"/>
      <c r="BH381" s="84"/>
      <c r="BI381" s="84"/>
      <c r="BJ381" s="84"/>
      <c r="BK381" s="84"/>
      <c r="BL381" s="84"/>
      <c r="BM381" s="84"/>
      <c r="BN381" s="84"/>
      <c r="BO381" s="84"/>
      <c r="BP381" s="84"/>
      <c r="BQ381" s="84"/>
      <c r="BR381" s="84"/>
    </row>
    <row r="382" spans="1:70" ht="15.75" customHeight="1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  <c r="AL382" s="84"/>
      <c r="AM382" s="84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  <c r="AY382" s="84"/>
      <c r="AZ382" s="84"/>
      <c r="BA382" s="84"/>
      <c r="BB382" s="84"/>
      <c r="BC382" s="84"/>
      <c r="BD382" s="84"/>
      <c r="BE382" s="84"/>
      <c r="BF382" s="84"/>
      <c r="BG382" s="84"/>
      <c r="BH382" s="84"/>
      <c r="BI382" s="84"/>
      <c r="BJ382" s="84"/>
      <c r="BK382" s="84"/>
      <c r="BL382" s="84"/>
      <c r="BM382" s="84"/>
      <c r="BN382" s="84"/>
      <c r="BO382" s="84"/>
      <c r="BP382" s="84"/>
      <c r="BQ382" s="84"/>
      <c r="BR382" s="84"/>
    </row>
    <row r="383" spans="1:70" ht="15.75" customHeight="1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  <c r="AL383" s="84"/>
      <c r="AM383" s="84"/>
      <c r="AN383" s="84"/>
      <c r="AO383" s="84"/>
      <c r="AP383" s="84"/>
      <c r="AQ383" s="84"/>
      <c r="AR383" s="84"/>
      <c r="AS383" s="84"/>
      <c r="AT383" s="84"/>
      <c r="AU383" s="84"/>
      <c r="AV383" s="84"/>
      <c r="AW383" s="84"/>
      <c r="AX383" s="84"/>
      <c r="AY383" s="84"/>
      <c r="AZ383" s="84"/>
      <c r="BA383" s="84"/>
      <c r="BB383" s="84"/>
      <c r="BC383" s="84"/>
      <c r="BD383" s="84"/>
      <c r="BE383" s="84"/>
      <c r="BF383" s="84"/>
      <c r="BG383" s="84"/>
      <c r="BH383" s="84"/>
      <c r="BI383" s="84"/>
      <c r="BJ383" s="84"/>
      <c r="BK383" s="84"/>
      <c r="BL383" s="84"/>
      <c r="BM383" s="84"/>
      <c r="BN383" s="84"/>
      <c r="BO383" s="84"/>
      <c r="BP383" s="84"/>
      <c r="BQ383" s="84"/>
      <c r="BR383" s="84"/>
    </row>
    <row r="384" spans="1:70" ht="15.75" customHeight="1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  <c r="AL384" s="84"/>
      <c r="AM384" s="84"/>
      <c r="AN384" s="84"/>
      <c r="AO384" s="84"/>
      <c r="AP384" s="84"/>
      <c r="AQ384" s="84"/>
      <c r="AR384" s="84"/>
      <c r="AS384" s="84"/>
      <c r="AT384" s="84"/>
      <c r="AU384" s="84"/>
      <c r="AV384" s="84"/>
      <c r="AW384" s="84"/>
      <c r="AX384" s="84"/>
      <c r="AY384" s="84"/>
      <c r="AZ384" s="84"/>
      <c r="BA384" s="84"/>
      <c r="BB384" s="84"/>
      <c r="BC384" s="84"/>
      <c r="BD384" s="84"/>
      <c r="BE384" s="84"/>
      <c r="BF384" s="84"/>
      <c r="BG384" s="84"/>
      <c r="BH384" s="84"/>
      <c r="BI384" s="84"/>
      <c r="BJ384" s="84"/>
      <c r="BK384" s="84"/>
      <c r="BL384" s="84"/>
      <c r="BM384" s="84"/>
      <c r="BN384" s="84"/>
      <c r="BO384" s="84"/>
      <c r="BP384" s="84"/>
      <c r="BQ384" s="84"/>
      <c r="BR384" s="84"/>
    </row>
    <row r="385" spans="1:70" ht="15.75" customHeight="1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  <c r="AL385" s="84"/>
      <c r="AM385" s="84"/>
      <c r="AN385" s="84"/>
      <c r="AO385" s="84"/>
      <c r="AP385" s="84"/>
      <c r="AQ385" s="84"/>
      <c r="AR385" s="84"/>
      <c r="AS385" s="84"/>
      <c r="AT385" s="84"/>
      <c r="AU385" s="84"/>
      <c r="AV385" s="84"/>
      <c r="AW385" s="84"/>
      <c r="AX385" s="84"/>
      <c r="AY385" s="84"/>
      <c r="AZ385" s="84"/>
      <c r="BA385" s="84"/>
      <c r="BB385" s="84"/>
      <c r="BC385" s="84"/>
      <c r="BD385" s="84"/>
      <c r="BE385" s="84"/>
      <c r="BF385" s="84"/>
      <c r="BG385" s="84"/>
      <c r="BH385" s="84"/>
      <c r="BI385" s="84"/>
      <c r="BJ385" s="84"/>
      <c r="BK385" s="84"/>
      <c r="BL385" s="84"/>
      <c r="BM385" s="84"/>
      <c r="BN385" s="84"/>
      <c r="BO385" s="84"/>
      <c r="BP385" s="84"/>
      <c r="BQ385" s="84"/>
      <c r="BR385" s="84"/>
    </row>
    <row r="386" spans="1:70" ht="15.75" customHeight="1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  <c r="AL386" s="84"/>
      <c r="AM386" s="84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  <c r="AY386" s="84"/>
      <c r="AZ386" s="84"/>
      <c r="BA386" s="84"/>
      <c r="BB386" s="84"/>
      <c r="BC386" s="84"/>
      <c r="BD386" s="84"/>
      <c r="BE386" s="84"/>
      <c r="BF386" s="84"/>
      <c r="BG386" s="84"/>
      <c r="BH386" s="84"/>
      <c r="BI386" s="84"/>
      <c r="BJ386" s="84"/>
      <c r="BK386" s="84"/>
      <c r="BL386" s="84"/>
      <c r="BM386" s="84"/>
      <c r="BN386" s="84"/>
      <c r="BO386" s="84"/>
      <c r="BP386" s="84"/>
      <c r="BQ386" s="84"/>
      <c r="BR386" s="84"/>
    </row>
    <row r="387" spans="1:70" ht="15.75" customHeight="1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84"/>
      <c r="AQ387" s="84"/>
      <c r="AR387" s="84"/>
      <c r="AS387" s="84"/>
      <c r="AT387" s="84"/>
      <c r="AU387" s="84"/>
      <c r="AV387" s="84"/>
      <c r="AW387" s="84"/>
      <c r="AX387" s="84"/>
      <c r="AY387" s="84"/>
      <c r="AZ387" s="84"/>
      <c r="BA387" s="84"/>
      <c r="BB387" s="84"/>
      <c r="BC387" s="84"/>
      <c r="BD387" s="84"/>
      <c r="BE387" s="84"/>
      <c r="BF387" s="84"/>
      <c r="BG387" s="84"/>
      <c r="BH387" s="84"/>
      <c r="BI387" s="84"/>
      <c r="BJ387" s="84"/>
      <c r="BK387" s="84"/>
      <c r="BL387" s="84"/>
      <c r="BM387" s="84"/>
      <c r="BN387" s="84"/>
      <c r="BO387" s="84"/>
      <c r="BP387" s="84"/>
      <c r="BQ387" s="84"/>
      <c r="BR387" s="84"/>
    </row>
    <row r="388" spans="1:70" ht="15.75" customHeight="1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84"/>
      <c r="AQ388" s="84"/>
      <c r="AR388" s="84"/>
      <c r="AS388" s="84"/>
      <c r="AT388" s="84"/>
      <c r="AU388" s="84"/>
      <c r="AV388" s="84"/>
      <c r="AW388" s="84"/>
      <c r="AX388" s="84"/>
      <c r="AY388" s="84"/>
      <c r="AZ388" s="84"/>
      <c r="BA388" s="84"/>
      <c r="BB388" s="84"/>
      <c r="BC388" s="84"/>
      <c r="BD388" s="84"/>
      <c r="BE388" s="84"/>
      <c r="BF388" s="84"/>
      <c r="BG388" s="84"/>
      <c r="BH388" s="84"/>
      <c r="BI388" s="84"/>
      <c r="BJ388" s="84"/>
      <c r="BK388" s="84"/>
      <c r="BL388" s="84"/>
      <c r="BM388" s="84"/>
      <c r="BN388" s="84"/>
      <c r="BO388" s="84"/>
      <c r="BP388" s="84"/>
      <c r="BQ388" s="84"/>
      <c r="BR388" s="84"/>
    </row>
    <row r="389" spans="1:70" ht="15.75" customHeight="1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84"/>
      <c r="AQ389" s="84"/>
      <c r="AR389" s="84"/>
      <c r="AS389" s="84"/>
      <c r="AT389" s="84"/>
      <c r="AU389" s="84"/>
      <c r="AV389" s="84"/>
      <c r="AW389" s="84"/>
      <c r="AX389" s="84"/>
      <c r="AY389" s="84"/>
      <c r="AZ389" s="84"/>
      <c r="BA389" s="84"/>
      <c r="BB389" s="84"/>
      <c r="BC389" s="84"/>
      <c r="BD389" s="84"/>
      <c r="BE389" s="84"/>
      <c r="BF389" s="84"/>
      <c r="BG389" s="84"/>
      <c r="BH389" s="84"/>
      <c r="BI389" s="84"/>
      <c r="BJ389" s="84"/>
      <c r="BK389" s="84"/>
      <c r="BL389" s="84"/>
      <c r="BM389" s="84"/>
      <c r="BN389" s="84"/>
      <c r="BO389" s="84"/>
      <c r="BP389" s="84"/>
      <c r="BQ389" s="84"/>
      <c r="BR389" s="84"/>
    </row>
    <row r="390" spans="1:70" ht="15.75" customHeight="1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  <c r="AY390" s="84"/>
      <c r="AZ390" s="84"/>
      <c r="BA390" s="84"/>
      <c r="BB390" s="84"/>
      <c r="BC390" s="84"/>
      <c r="BD390" s="84"/>
      <c r="BE390" s="84"/>
      <c r="BF390" s="84"/>
      <c r="BG390" s="84"/>
      <c r="BH390" s="84"/>
      <c r="BI390" s="84"/>
      <c r="BJ390" s="84"/>
      <c r="BK390" s="84"/>
      <c r="BL390" s="84"/>
      <c r="BM390" s="84"/>
      <c r="BN390" s="84"/>
      <c r="BO390" s="84"/>
      <c r="BP390" s="84"/>
      <c r="BQ390" s="84"/>
      <c r="BR390" s="84"/>
    </row>
    <row r="391" spans="1:70" ht="15.75" customHeight="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84"/>
      <c r="AQ391" s="84"/>
      <c r="AR391" s="84"/>
      <c r="AS391" s="84"/>
      <c r="AT391" s="84"/>
      <c r="AU391" s="84"/>
      <c r="AV391" s="84"/>
      <c r="AW391" s="84"/>
      <c r="AX391" s="84"/>
      <c r="AY391" s="84"/>
      <c r="AZ391" s="84"/>
      <c r="BA391" s="84"/>
      <c r="BB391" s="84"/>
      <c r="BC391" s="84"/>
      <c r="BD391" s="84"/>
      <c r="BE391" s="84"/>
      <c r="BF391" s="84"/>
      <c r="BG391" s="84"/>
      <c r="BH391" s="84"/>
      <c r="BI391" s="84"/>
      <c r="BJ391" s="84"/>
      <c r="BK391" s="84"/>
      <c r="BL391" s="84"/>
      <c r="BM391" s="84"/>
      <c r="BN391" s="84"/>
      <c r="BO391" s="84"/>
      <c r="BP391" s="84"/>
      <c r="BQ391" s="84"/>
      <c r="BR391" s="84"/>
    </row>
    <row r="392" spans="1:70" ht="15.75" customHeight="1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84"/>
      <c r="AW392" s="84"/>
      <c r="AX392" s="84"/>
      <c r="AY392" s="84"/>
      <c r="AZ392" s="84"/>
      <c r="BA392" s="84"/>
      <c r="BB392" s="84"/>
      <c r="BC392" s="84"/>
      <c r="BD392" s="84"/>
      <c r="BE392" s="84"/>
      <c r="BF392" s="84"/>
      <c r="BG392" s="84"/>
      <c r="BH392" s="84"/>
      <c r="BI392" s="84"/>
      <c r="BJ392" s="84"/>
      <c r="BK392" s="84"/>
      <c r="BL392" s="84"/>
      <c r="BM392" s="84"/>
      <c r="BN392" s="84"/>
      <c r="BO392" s="84"/>
      <c r="BP392" s="84"/>
      <c r="BQ392" s="84"/>
      <c r="BR392" s="84"/>
    </row>
    <row r="393" spans="1:70" ht="15.75" customHeight="1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84"/>
      <c r="AW393" s="84"/>
      <c r="AX393" s="84"/>
      <c r="AY393" s="84"/>
      <c r="AZ393" s="84"/>
      <c r="BA393" s="84"/>
      <c r="BB393" s="84"/>
      <c r="BC393" s="84"/>
      <c r="BD393" s="84"/>
      <c r="BE393" s="84"/>
      <c r="BF393" s="84"/>
      <c r="BG393" s="84"/>
      <c r="BH393" s="84"/>
      <c r="BI393" s="84"/>
      <c r="BJ393" s="84"/>
      <c r="BK393" s="84"/>
      <c r="BL393" s="84"/>
      <c r="BM393" s="84"/>
      <c r="BN393" s="84"/>
      <c r="BO393" s="84"/>
      <c r="BP393" s="84"/>
      <c r="BQ393" s="84"/>
      <c r="BR393" s="84"/>
    </row>
    <row r="394" spans="1:70" ht="15.75" customHeight="1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  <c r="AL394" s="84"/>
      <c r="AM394" s="84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  <c r="AY394" s="84"/>
      <c r="AZ394" s="84"/>
      <c r="BA394" s="84"/>
      <c r="BB394" s="84"/>
      <c r="BC394" s="84"/>
      <c r="BD394" s="84"/>
      <c r="BE394" s="84"/>
      <c r="BF394" s="84"/>
      <c r="BG394" s="84"/>
      <c r="BH394" s="84"/>
      <c r="BI394" s="84"/>
      <c r="BJ394" s="84"/>
      <c r="BK394" s="84"/>
      <c r="BL394" s="84"/>
      <c r="BM394" s="84"/>
      <c r="BN394" s="84"/>
      <c r="BO394" s="84"/>
      <c r="BP394" s="84"/>
      <c r="BQ394" s="84"/>
      <c r="BR394" s="84"/>
    </row>
    <row r="395" spans="1:70" ht="15.75" customHeight="1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  <c r="AL395" s="84"/>
      <c r="AM395" s="84"/>
      <c r="AN395" s="84"/>
      <c r="AO395" s="84"/>
      <c r="AP395" s="84"/>
      <c r="AQ395" s="84"/>
      <c r="AR395" s="84"/>
      <c r="AS395" s="84"/>
      <c r="AT395" s="84"/>
      <c r="AU395" s="84"/>
      <c r="AV395" s="84"/>
      <c r="AW395" s="84"/>
      <c r="AX395" s="84"/>
      <c r="AY395" s="84"/>
      <c r="AZ395" s="84"/>
      <c r="BA395" s="84"/>
      <c r="BB395" s="84"/>
      <c r="BC395" s="84"/>
      <c r="BD395" s="84"/>
      <c r="BE395" s="84"/>
      <c r="BF395" s="84"/>
      <c r="BG395" s="84"/>
      <c r="BH395" s="84"/>
      <c r="BI395" s="84"/>
      <c r="BJ395" s="84"/>
      <c r="BK395" s="84"/>
      <c r="BL395" s="84"/>
      <c r="BM395" s="84"/>
      <c r="BN395" s="84"/>
      <c r="BO395" s="84"/>
      <c r="BP395" s="84"/>
      <c r="BQ395" s="84"/>
      <c r="BR395" s="84"/>
    </row>
    <row r="396" spans="1:70" ht="15.75" customHeight="1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  <c r="AL396" s="84"/>
      <c r="AM396" s="84"/>
      <c r="AN396" s="84"/>
      <c r="AO396" s="84"/>
      <c r="AP396" s="84"/>
      <c r="AQ396" s="84"/>
      <c r="AR396" s="84"/>
      <c r="AS396" s="84"/>
      <c r="AT396" s="84"/>
      <c r="AU396" s="84"/>
      <c r="AV396" s="84"/>
      <c r="AW396" s="84"/>
      <c r="AX396" s="84"/>
      <c r="AY396" s="84"/>
      <c r="AZ396" s="84"/>
      <c r="BA396" s="84"/>
      <c r="BB396" s="84"/>
      <c r="BC396" s="84"/>
      <c r="BD396" s="84"/>
      <c r="BE396" s="84"/>
      <c r="BF396" s="84"/>
      <c r="BG396" s="84"/>
      <c r="BH396" s="84"/>
      <c r="BI396" s="84"/>
      <c r="BJ396" s="84"/>
      <c r="BK396" s="84"/>
      <c r="BL396" s="84"/>
      <c r="BM396" s="84"/>
      <c r="BN396" s="84"/>
      <c r="BO396" s="84"/>
      <c r="BP396" s="84"/>
      <c r="BQ396" s="84"/>
      <c r="BR396" s="84"/>
    </row>
    <row r="397" spans="1:70" ht="15.75" customHeight="1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  <c r="AL397" s="84"/>
      <c r="AM397" s="84"/>
      <c r="AN397" s="84"/>
      <c r="AO397" s="84"/>
      <c r="AP397" s="84"/>
      <c r="AQ397" s="84"/>
      <c r="AR397" s="84"/>
      <c r="AS397" s="84"/>
      <c r="AT397" s="84"/>
      <c r="AU397" s="84"/>
      <c r="AV397" s="84"/>
      <c r="AW397" s="84"/>
      <c r="AX397" s="84"/>
      <c r="AY397" s="84"/>
      <c r="AZ397" s="84"/>
      <c r="BA397" s="84"/>
      <c r="BB397" s="84"/>
      <c r="BC397" s="84"/>
      <c r="BD397" s="84"/>
      <c r="BE397" s="84"/>
      <c r="BF397" s="84"/>
      <c r="BG397" s="84"/>
      <c r="BH397" s="84"/>
      <c r="BI397" s="84"/>
      <c r="BJ397" s="84"/>
      <c r="BK397" s="84"/>
      <c r="BL397" s="84"/>
      <c r="BM397" s="84"/>
      <c r="BN397" s="84"/>
      <c r="BO397" s="84"/>
      <c r="BP397" s="84"/>
      <c r="BQ397" s="84"/>
      <c r="BR397" s="84"/>
    </row>
    <row r="398" spans="1:70" ht="15.75" customHeight="1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  <c r="AY398" s="84"/>
      <c r="AZ398" s="84"/>
      <c r="BA398" s="84"/>
      <c r="BB398" s="84"/>
      <c r="BC398" s="84"/>
      <c r="BD398" s="84"/>
      <c r="BE398" s="84"/>
      <c r="BF398" s="84"/>
      <c r="BG398" s="84"/>
      <c r="BH398" s="84"/>
      <c r="BI398" s="84"/>
      <c r="BJ398" s="84"/>
      <c r="BK398" s="84"/>
      <c r="BL398" s="84"/>
      <c r="BM398" s="84"/>
      <c r="BN398" s="84"/>
      <c r="BO398" s="84"/>
      <c r="BP398" s="84"/>
      <c r="BQ398" s="84"/>
      <c r="BR398" s="84"/>
    </row>
    <row r="399" spans="1:70" ht="15.75" customHeight="1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84"/>
      <c r="AW399" s="84"/>
      <c r="AX399" s="84"/>
      <c r="AY399" s="84"/>
      <c r="AZ399" s="84"/>
      <c r="BA399" s="84"/>
      <c r="BB399" s="84"/>
      <c r="BC399" s="84"/>
      <c r="BD399" s="84"/>
      <c r="BE399" s="84"/>
      <c r="BF399" s="84"/>
      <c r="BG399" s="84"/>
      <c r="BH399" s="84"/>
      <c r="BI399" s="84"/>
      <c r="BJ399" s="84"/>
      <c r="BK399" s="84"/>
      <c r="BL399" s="84"/>
      <c r="BM399" s="84"/>
      <c r="BN399" s="84"/>
      <c r="BO399" s="84"/>
      <c r="BP399" s="84"/>
      <c r="BQ399" s="84"/>
      <c r="BR399" s="84"/>
    </row>
    <row r="400" spans="1:70" ht="15.75" customHeight="1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84"/>
      <c r="AW400" s="84"/>
      <c r="AX400" s="84"/>
      <c r="AY400" s="84"/>
      <c r="AZ400" s="84"/>
      <c r="BA400" s="84"/>
      <c r="BB400" s="84"/>
      <c r="BC400" s="84"/>
      <c r="BD400" s="84"/>
      <c r="BE400" s="84"/>
      <c r="BF400" s="84"/>
      <c r="BG400" s="84"/>
      <c r="BH400" s="84"/>
      <c r="BI400" s="84"/>
      <c r="BJ400" s="84"/>
      <c r="BK400" s="84"/>
      <c r="BL400" s="84"/>
      <c r="BM400" s="84"/>
      <c r="BN400" s="84"/>
      <c r="BO400" s="84"/>
      <c r="BP400" s="84"/>
      <c r="BQ400" s="84"/>
      <c r="BR400" s="84"/>
    </row>
    <row r="401" spans="1:70" ht="15.75" customHeight="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84"/>
      <c r="AW401" s="84"/>
      <c r="AX401" s="84"/>
      <c r="AY401" s="84"/>
      <c r="AZ401" s="84"/>
      <c r="BA401" s="84"/>
      <c r="BB401" s="84"/>
      <c r="BC401" s="84"/>
      <c r="BD401" s="84"/>
      <c r="BE401" s="84"/>
      <c r="BF401" s="84"/>
      <c r="BG401" s="84"/>
      <c r="BH401" s="84"/>
      <c r="BI401" s="84"/>
      <c r="BJ401" s="84"/>
      <c r="BK401" s="84"/>
      <c r="BL401" s="84"/>
      <c r="BM401" s="84"/>
      <c r="BN401" s="84"/>
      <c r="BO401" s="84"/>
      <c r="BP401" s="84"/>
      <c r="BQ401" s="84"/>
      <c r="BR401" s="84"/>
    </row>
    <row r="402" spans="1:70" ht="15.75" customHeight="1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  <c r="AY402" s="84"/>
      <c r="AZ402" s="84"/>
      <c r="BA402" s="84"/>
      <c r="BB402" s="84"/>
      <c r="BC402" s="84"/>
      <c r="BD402" s="84"/>
      <c r="BE402" s="84"/>
      <c r="BF402" s="84"/>
      <c r="BG402" s="84"/>
      <c r="BH402" s="84"/>
      <c r="BI402" s="84"/>
      <c r="BJ402" s="84"/>
      <c r="BK402" s="84"/>
      <c r="BL402" s="84"/>
      <c r="BM402" s="84"/>
      <c r="BN402" s="84"/>
      <c r="BO402" s="84"/>
      <c r="BP402" s="84"/>
      <c r="BQ402" s="84"/>
      <c r="BR402" s="84"/>
    </row>
    <row r="403" spans="1:70" ht="15.75" customHeight="1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84"/>
      <c r="AQ403" s="84"/>
      <c r="AR403" s="84"/>
      <c r="AS403" s="84"/>
      <c r="AT403" s="84"/>
      <c r="AU403" s="84"/>
      <c r="AV403" s="84"/>
      <c r="AW403" s="84"/>
      <c r="AX403" s="84"/>
      <c r="AY403" s="84"/>
      <c r="AZ403" s="84"/>
      <c r="BA403" s="84"/>
      <c r="BB403" s="84"/>
      <c r="BC403" s="84"/>
      <c r="BD403" s="84"/>
      <c r="BE403" s="84"/>
      <c r="BF403" s="84"/>
      <c r="BG403" s="84"/>
      <c r="BH403" s="84"/>
      <c r="BI403" s="84"/>
      <c r="BJ403" s="84"/>
      <c r="BK403" s="84"/>
      <c r="BL403" s="84"/>
      <c r="BM403" s="84"/>
      <c r="BN403" s="84"/>
      <c r="BO403" s="84"/>
      <c r="BP403" s="84"/>
      <c r="BQ403" s="84"/>
      <c r="BR403" s="84"/>
    </row>
    <row r="404" spans="1:70" ht="15.75" customHeight="1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84"/>
      <c r="AQ404" s="84"/>
      <c r="AR404" s="84"/>
      <c r="AS404" s="84"/>
      <c r="AT404" s="84"/>
      <c r="AU404" s="84"/>
      <c r="AV404" s="84"/>
      <c r="AW404" s="84"/>
      <c r="AX404" s="84"/>
      <c r="AY404" s="84"/>
      <c r="AZ404" s="84"/>
      <c r="BA404" s="84"/>
      <c r="BB404" s="84"/>
      <c r="BC404" s="84"/>
      <c r="BD404" s="84"/>
      <c r="BE404" s="84"/>
      <c r="BF404" s="84"/>
      <c r="BG404" s="84"/>
      <c r="BH404" s="84"/>
      <c r="BI404" s="84"/>
      <c r="BJ404" s="84"/>
      <c r="BK404" s="84"/>
      <c r="BL404" s="84"/>
      <c r="BM404" s="84"/>
      <c r="BN404" s="84"/>
      <c r="BO404" s="84"/>
      <c r="BP404" s="84"/>
      <c r="BQ404" s="84"/>
      <c r="BR404" s="84"/>
    </row>
    <row r="405" spans="1:70" ht="15.75" customHeight="1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  <c r="AL405" s="84"/>
      <c r="AM405" s="84"/>
      <c r="AN405" s="84"/>
      <c r="AO405" s="84"/>
      <c r="AP405" s="84"/>
      <c r="AQ405" s="84"/>
      <c r="AR405" s="84"/>
      <c r="AS405" s="84"/>
      <c r="AT405" s="84"/>
      <c r="AU405" s="84"/>
      <c r="AV405" s="84"/>
      <c r="AW405" s="84"/>
      <c r="AX405" s="84"/>
      <c r="AY405" s="84"/>
      <c r="AZ405" s="84"/>
      <c r="BA405" s="84"/>
      <c r="BB405" s="84"/>
      <c r="BC405" s="84"/>
      <c r="BD405" s="84"/>
      <c r="BE405" s="84"/>
      <c r="BF405" s="84"/>
      <c r="BG405" s="84"/>
      <c r="BH405" s="84"/>
      <c r="BI405" s="84"/>
      <c r="BJ405" s="84"/>
      <c r="BK405" s="84"/>
      <c r="BL405" s="84"/>
      <c r="BM405" s="84"/>
      <c r="BN405" s="84"/>
      <c r="BO405" s="84"/>
      <c r="BP405" s="84"/>
      <c r="BQ405" s="84"/>
      <c r="BR405" s="84"/>
    </row>
    <row r="406" spans="1:70" ht="15.75" customHeight="1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  <c r="AL406" s="84"/>
      <c r="AM406" s="84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  <c r="AY406" s="84"/>
      <c r="AZ406" s="84"/>
      <c r="BA406" s="84"/>
      <c r="BB406" s="84"/>
      <c r="BC406" s="84"/>
      <c r="BD406" s="84"/>
      <c r="BE406" s="84"/>
      <c r="BF406" s="84"/>
      <c r="BG406" s="84"/>
      <c r="BH406" s="84"/>
      <c r="BI406" s="84"/>
      <c r="BJ406" s="84"/>
      <c r="BK406" s="84"/>
      <c r="BL406" s="84"/>
      <c r="BM406" s="84"/>
      <c r="BN406" s="84"/>
      <c r="BO406" s="84"/>
      <c r="BP406" s="84"/>
      <c r="BQ406" s="84"/>
      <c r="BR406" s="84"/>
    </row>
    <row r="407" spans="1:70" ht="15.75" customHeight="1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84"/>
      <c r="AW407" s="84"/>
      <c r="AX407" s="84"/>
      <c r="AY407" s="84"/>
      <c r="AZ407" s="84"/>
      <c r="BA407" s="84"/>
      <c r="BB407" s="84"/>
      <c r="BC407" s="84"/>
      <c r="BD407" s="84"/>
      <c r="BE407" s="84"/>
      <c r="BF407" s="84"/>
      <c r="BG407" s="84"/>
      <c r="BH407" s="84"/>
      <c r="BI407" s="84"/>
      <c r="BJ407" s="84"/>
      <c r="BK407" s="84"/>
      <c r="BL407" s="84"/>
      <c r="BM407" s="84"/>
      <c r="BN407" s="84"/>
      <c r="BO407" s="84"/>
      <c r="BP407" s="84"/>
      <c r="BQ407" s="84"/>
      <c r="BR407" s="84"/>
    </row>
    <row r="408" spans="1:70" ht="15.75" customHeight="1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84"/>
      <c r="AW408" s="84"/>
      <c r="AX408" s="84"/>
      <c r="AY408" s="84"/>
      <c r="AZ408" s="84"/>
      <c r="BA408" s="84"/>
      <c r="BB408" s="84"/>
      <c r="BC408" s="84"/>
      <c r="BD408" s="84"/>
      <c r="BE408" s="84"/>
      <c r="BF408" s="84"/>
      <c r="BG408" s="84"/>
      <c r="BH408" s="84"/>
      <c r="BI408" s="84"/>
      <c r="BJ408" s="84"/>
      <c r="BK408" s="84"/>
      <c r="BL408" s="84"/>
      <c r="BM408" s="84"/>
      <c r="BN408" s="84"/>
      <c r="BO408" s="84"/>
      <c r="BP408" s="84"/>
      <c r="BQ408" s="84"/>
      <c r="BR408" s="84"/>
    </row>
    <row r="409" spans="1:70" ht="15.75" customHeight="1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84"/>
      <c r="AW409" s="84"/>
      <c r="AX409" s="84"/>
      <c r="AY409" s="84"/>
      <c r="AZ409" s="84"/>
      <c r="BA409" s="84"/>
      <c r="BB409" s="84"/>
      <c r="BC409" s="84"/>
      <c r="BD409" s="84"/>
      <c r="BE409" s="84"/>
      <c r="BF409" s="84"/>
      <c r="BG409" s="84"/>
      <c r="BH409" s="84"/>
      <c r="BI409" s="84"/>
      <c r="BJ409" s="84"/>
      <c r="BK409" s="84"/>
      <c r="BL409" s="84"/>
      <c r="BM409" s="84"/>
      <c r="BN409" s="84"/>
      <c r="BO409" s="84"/>
      <c r="BP409" s="84"/>
      <c r="BQ409" s="84"/>
      <c r="BR409" s="84"/>
    </row>
    <row r="410" spans="1:70" ht="15.75" customHeight="1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  <c r="AY410" s="84"/>
      <c r="AZ410" s="84"/>
      <c r="BA410" s="84"/>
      <c r="BB410" s="84"/>
      <c r="BC410" s="84"/>
      <c r="BD410" s="84"/>
      <c r="BE410" s="84"/>
      <c r="BF410" s="84"/>
      <c r="BG410" s="84"/>
      <c r="BH410" s="84"/>
      <c r="BI410" s="84"/>
      <c r="BJ410" s="84"/>
      <c r="BK410" s="84"/>
      <c r="BL410" s="84"/>
      <c r="BM410" s="84"/>
      <c r="BN410" s="84"/>
      <c r="BO410" s="84"/>
      <c r="BP410" s="84"/>
      <c r="BQ410" s="84"/>
      <c r="BR410" s="84"/>
    </row>
    <row r="411" spans="1:70" ht="15.75" customHeight="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84"/>
      <c r="AW411" s="84"/>
      <c r="AX411" s="84"/>
      <c r="AY411" s="84"/>
      <c r="AZ411" s="84"/>
      <c r="BA411" s="84"/>
      <c r="BB411" s="84"/>
      <c r="BC411" s="84"/>
      <c r="BD411" s="84"/>
      <c r="BE411" s="84"/>
      <c r="BF411" s="84"/>
      <c r="BG411" s="84"/>
      <c r="BH411" s="84"/>
      <c r="BI411" s="84"/>
      <c r="BJ411" s="84"/>
      <c r="BK411" s="84"/>
      <c r="BL411" s="84"/>
      <c r="BM411" s="84"/>
      <c r="BN411" s="84"/>
      <c r="BO411" s="84"/>
      <c r="BP411" s="84"/>
      <c r="BQ411" s="84"/>
      <c r="BR411" s="84"/>
    </row>
    <row r="412" spans="1:70" ht="15.75" customHeight="1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84"/>
      <c r="AW412" s="84"/>
      <c r="AX412" s="84"/>
      <c r="AY412" s="84"/>
      <c r="AZ412" s="84"/>
      <c r="BA412" s="84"/>
      <c r="BB412" s="84"/>
      <c r="BC412" s="84"/>
      <c r="BD412" s="84"/>
      <c r="BE412" s="84"/>
      <c r="BF412" s="84"/>
      <c r="BG412" s="84"/>
      <c r="BH412" s="84"/>
      <c r="BI412" s="84"/>
      <c r="BJ412" s="84"/>
      <c r="BK412" s="84"/>
      <c r="BL412" s="84"/>
      <c r="BM412" s="84"/>
      <c r="BN412" s="84"/>
      <c r="BO412" s="84"/>
      <c r="BP412" s="84"/>
      <c r="BQ412" s="84"/>
      <c r="BR412" s="84"/>
    </row>
    <row r="413" spans="1:70" ht="15.75" customHeight="1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  <c r="AL413" s="84"/>
      <c r="AM413" s="84"/>
      <c r="AN413" s="84"/>
      <c r="AO413" s="84"/>
      <c r="AP413" s="84"/>
      <c r="AQ413" s="84"/>
      <c r="AR413" s="84"/>
      <c r="AS413" s="84"/>
      <c r="AT413" s="84"/>
      <c r="AU413" s="84"/>
      <c r="AV413" s="84"/>
      <c r="AW413" s="84"/>
      <c r="AX413" s="84"/>
      <c r="AY413" s="84"/>
      <c r="AZ413" s="84"/>
      <c r="BA413" s="84"/>
      <c r="BB413" s="84"/>
      <c r="BC413" s="84"/>
      <c r="BD413" s="84"/>
      <c r="BE413" s="84"/>
      <c r="BF413" s="84"/>
      <c r="BG413" s="84"/>
      <c r="BH413" s="84"/>
      <c r="BI413" s="84"/>
      <c r="BJ413" s="84"/>
      <c r="BK413" s="84"/>
      <c r="BL413" s="84"/>
      <c r="BM413" s="84"/>
      <c r="BN413" s="84"/>
      <c r="BO413" s="84"/>
      <c r="BP413" s="84"/>
      <c r="BQ413" s="84"/>
      <c r="BR413" s="84"/>
    </row>
    <row r="414" spans="1:70" ht="15.75" customHeight="1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  <c r="AL414" s="84"/>
      <c r="AM414" s="84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  <c r="AY414" s="84"/>
      <c r="AZ414" s="84"/>
      <c r="BA414" s="84"/>
      <c r="BB414" s="84"/>
      <c r="BC414" s="84"/>
      <c r="BD414" s="84"/>
      <c r="BE414" s="84"/>
      <c r="BF414" s="84"/>
      <c r="BG414" s="84"/>
      <c r="BH414" s="84"/>
      <c r="BI414" s="84"/>
      <c r="BJ414" s="84"/>
      <c r="BK414" s="84"/>
      <c r="BL414" s="84"/>
      <c r="BM414" s="84"/>
      <c r="BN414" s="84"/>
      <c r="BO414" s="84"/>
      <c r="BP414" s="84"/>
      <c r="BQ414" s="84"/>
      <c r="BR414" s="84"/>
    </row>
    <row r="415" spans="1:70" ht="15.75" customHeight="1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  <c r="AL415" s="84"/>
      <c r="AM415" s="84"/>
      <c r="AN415" s="84"/>
      <c r="AO415" s="84"/>
      <c r="AP415" s="84"/>
      <c r="AQ415" s="84"/>
      <c r="AR415" s="84"/>
      <c r="AS415" s="84"/>
      <c r="AT415" s="84"/>
      <c r="AU415" s="84"/>
      <c r="AV415" s="84"/>
      <c r="AW415" s="84"/>
      <c r="AX415" s="84"/>
      <c r="AY415" s="84"/>
      <c r="AZ415" s="84"/>
      <c r="BA415" s="84"/>
      <c r="BB415" s="84"/>
      <c r="BC415" s="84"/>
      <c r="BD415" s="84"/>
      <c r="BE415" s="84"/>
      <c r="BF415" s="84"/>
      <c r="BG415" s="84"/>
      <c r="BH415" s="84"/>
      <c r="BI415" s="84"/>
      <c r="BJ415" s="84"/>
      <c r="BK415" s="84"/>
      <c r="BL415" s="84"/>
      <c r="BM415" s="84"/>
      <c r="BN415" s="84"/>
      <c r="BO415" s="84"/>
      <c r="BP415" s="84"/>
      <c r="BQ415" s="84"/>
      <c r="BR415" s="84"/>
    </row>
    <row r="416" spans="1:70" ht="15.75" customHeight="1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  <c r="AL416" s="84"/>
      <c r="AM416" s="84"/>
      <c r="AN416" s="84"/>
      <c r="AO416" s="84"/>
      <c r="AP416" s="84"/>
      <c r="AQ416" s="84"/>
      <c r="AR416" s="84"/>
      <c r="AS416" s="84"/>
      <c r="AT416" s="84"/>
      <c r="AU416" s="84"/>
      <c r="AV416" s="84"/>
      <c r="AW416" s="84"/>
      <c r="AX416" s="84"/>
      <c r="AY416" s="84"/>
      <c r="AZ416" s="84"/>
      <c r="BA416" s="84"/>
      <c r="BB416" s="84"/>
      <c r="BC416" s="84"/>
      <c r="BD416" s="84"/>
      <c r="BE416" s="84"/>
      <c r="BF416" s="84"/>
      <c r="BG416" s="84"/>
      <c r="BH416" s="84"/>
      <c r="BI416" s="84"/>
      <c r="BJ416" s="84"/>
      <c r="BK416" s="84"/>
      <c r="BL416" s="84"/>
      <c r="BM416" s="84"/>
      <c r="BN416" s="84"/>
      <c r="BO416" s="84"/>
      <c r="BP416" s="84"/>
      <c r="BQ416" s="84"/>
      <c r="BR416" s="84"/>
    </row>
    <row r="417" spans="1:70" ht="15.75" customHeight="1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  <c r="AL417" s="84"/>
      <c r="AM417" s="84"/>
      <c r="AN417" s="84"/>
      <c r="AO417" s="84"/>
      <c r="AP417" s="84"/>
      <c r="AQ417" s="84"/>
      <c r="AR417" s="84"/>
      <c r="AS417" s="84"/>
      <c r="AT417" s="84"/>
      <c r="AU417" s="84"/>
      <c r="AV417" s="84"/>
      <c r="AW417" s="84"/>
      <c r="AX417" s="84"/>
      <c r="AY417" s="84"/>
      <c r="AZ417" s="84"/>
      <c r="BA417" s="84"/>
      <c r="BB417" s="84"/>
      <c r="BC417" s="84"/>
      <c r="BD417" s="84"/>
      <c r="BE417" s="84"/>
      <c r="BF417" s="84"/>
      <c r="BG417" s="84"/>
      <c r="BH417" s="84"/>
      <c r="BI417" s="84"/>
      <c r="BJ417" s="84"/>
      <c r="BK417" s="84"/>
      <c r="BL417" s="84"/>
      <c r="BM417" s="84"/>
      <c r="BN417" s="84"/>
      <c r="BO417" s="84"/>
      <c r="BP417" s="84"/>
      <c r="BQ417" s="84"/>
      <c r="BR417" s="84"/>
    </row>
    <row r="418" spans="1:70" ht="15.75" customHeight="1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  <c r="AL418" s="84"/>
      <c r="AM418" s="84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  <c r="AY418" s="84"/>
      <c r="AZ418" s="84"/>
      <c r="BA418" s="84"/>
      <c r="BB418" s="84"/>
      <c r="BC418" s="84"/>
      <c r="BD418" s="84"/>
      <c r="BE418" s="84"/>
      <c r="BF418" s="84"/>
      <c r="BG418" s="84"/>
      <c r="BH418" s="84"/>
      <c r="BI418" s="84"/>
      <c r="BJ418" s="84"/>
      <c r="BK418" s="84"/>
      <c r="BL418" s="84"/>
      <c r="BM418" s="84"/>
      <c r="BN418" s="84"/>
      <c r="BO418" s="84"/>
      <c r="BP418" s="84"/>
      <c r="BQ418" s="84"/>
      <c r="BR418" s="84"/>
    </row>
    <row r="419" spans="1:70" ht="15.75" customHeight="1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  <c r="AL419" s="84"/>
      <c r="AM419" s="84"/>
      <c r="AN419" s="84"/>
      <c r="AO419" s="84"/>
      <c r="AP419" s="84"/>
      <c r="AQ419" s="84"/>
      <c r="AR419" s="84"/>
      <c r="AS419" s="84"/>
      <c r="AT419" s="84"/>
      <c r="AU419" s="84"/>
      <c r="AV419" s="84"/>
      <c r="AW419" s="84"/>
      <c r="AX419" s="84"/>
      <c r="AY419" s="84"/>
      <c r="AZ419" s="84"/>
      <c r="BA419" s="84"/>
      <c r="BB419" s="84"/>
      <c r="BC419" s="84"/>
      <c r="BD419" s="84"/>
      <c r="BE419" s="84"/>
      <c r="BF419" s="84"/>
      <c r="BG419" s="84"/>
      <c r="BH419" s="84"/>
      <c r="BI419" s="84"/>
      <c r="BJ419" s="84"/>
      <c r="BK419" s="84"/>
      <c r="BL419" s="84"/>
      <c r="BM419" s="84"/>
      <c r="BN419" s="84"/>
      <c r="BO419" s="84"/>
      <c r="BP419" s="84"/>
      <c r="BQ419" s="84"/>
      <c r="BR419" s="84"/>
    </row>
    <row r="420" spans="1:70" ht="15.75" customHeight="1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  <c r="AL420" s="84"/>
      <c r="AM420" s="84"/>
      <c r="AN420" s="84"/>
      <c r="AO420" s="84"/>
      <c r="AP420" s="84"/>
      <c r="AQ420" s="84"/>
      <c r="AR420" s="84"/>
      <c r="AS420" s="84"/>
      <c r="AT420" s="84"/>
      <c r="AU420" s="84"/>
      <c r="AV420" s="84"/>
      <c r="AW420" s="84"/>
      <c r="AX420" s="84"/>
      <c r="AY420" s="84"/>
      <c r="AZ420" s="84"/>
      <c r="BA420" s="84"/>
      <c r="BB420" s="84"/>
      <c r="BC420" s="84"/>
      <c r="BD420" s="84"/>
      <c r="BE420" s="84"/>
      <c r="BF420" s="84"/>
      <c r="BG420" s="84"/>
      <c r="BH420" s="84"/>
      <c r="BI420" s="84"/>
      <c r="BJ420" s="84"/>
      <c r="BK420" s="84"/>
      <c r="BL420" s="84"/>
      <c r="BM420" s="84"/>
      <c r="BN420" s="84"/>
      <c r="BO420" s="84"/>
      <c r="BP420" s="84"/>
      <c r="BQ420" s="84"/>
      <c r="BR420" s="84"/>
    </row>
    <row r="421" spans="1:70" ht="15.75" customHeight="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  <c r="AL421" s="84"/>
      <c r="AM421" s="84"/>
      <c r="AN421" s="84"/>
      <c r="AO421" s="84"/>
      <c r="AP421" s="84"/>
      <c r="AQ421" s="84"/>
      <c r="AR421" s="84"/>
      <c r="AS421" s="84"/>
      <c r="AT421" s="84"/>
      <c r="AU421" s="84"/>
      <c r="AV421" s="84"/>
      <c r="AW421" s="84"/>
      <c r="AX421" s="84"/>
      <c r="AY421" s="84"/>
      <c r="AZ421" s="84"/>
      <c r="BA421" s="84"/>
      <c r="BB421" s="84"/>
      <c r="BC421" s="84"/>
      <c r="BD421" s="84"/>
      <c r="BE421" s="84"/>
      <c r="BF421" s="84"/>
      <c r="BG421" s="84"/>
      <c r="BH421" s="84"/>
      <c r="BI421" s="84"/>
      <c r="BJ421" s="84"/>
      <c r="BK421" s="84"/>
      <c r="BL421" s="84"/>
      <c r="BM421" s="84"/>
      <c r="BN421" s="84"/>
      <c r="BO421" s="84"/>
      <c r="BP421" s="84"/>
      <c r="BQ421" s="84"/>
      <c r="BR421" s="84"/>
    </row>
    <row r="422" spans="1:70" ht="15.75" customHeight="1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  <c r="AL422" s="84"/>
      <c r="AM422" s="84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  <c r="AY422" s="84"/>
      <c r="AZ422" s="84"/>
      <c r="BA422" s="84"/>
      <c r="BB422" s="84"/>
      <c r="BC422" s="84"/>
      <c r="BD422" s="84"/>
      <c r="BE422" s="84"/>
      <c r="BF422" s="84"/>
      <c r="BG422" s="84"/>
      <c r="BH422" s="84"/>
      <c r="BI422" s="84"/>
      <c r="BJ422" s="84"/>
      <c r="BK422" s="84"/>
      <c r="BL422" s="84"/>
      <c r="BM422" s="84"/>
      <c r="BN422" s="84"/>
      <c r="BO422" s="84"/>
      <c r="BP422" s="84"/>
      <c r="BQ422" s="84"/>
      <c r="BR422" s="84"/>
    </row>
    <row r="423" spans="1:70" ht="15.75" customHeight="1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84"/>
      <c r="AQ423" s="84"/>
      <c r="AR423" s="84"/>
      <c r="AS423" s="84"/>
      <c r="AT423" s="84"/>
      <c r="AU423" s="84"/>
      <c r="AV423" s="84"/>
      <c r="AW423" s="84"/>
      <c r="AX423" s="84"/>
      <c r="AY423" s="84"/>
      <c r="AZ423" s="84"/>
      <c r="BA423" s="84"/>
      <c r="BB423" s="84"/>
      <c r="BC423" s="84"/>
      <c r="BD423" s="84"/>
      <c r="BE423" s="84"/>
      <c r="BF423" s="84"/>
      <c r="BG423" s="84"/>
      <c r="BH423" s="84"/>
      <c r="BI423" s="84"/>
      <c r="BJ423" s="84"/>
      <c r="BK423" s="84"/>
      <c r="BL423" s="84"/>
      <c r="BM423" s="84"/>
      <c r="BN423" s="84"/>
      <c r="BO423" s="84"/>
      <c r="BP423" s="84"/>
      <c r="BQ423" s="84"/>
      <c r="BR423" s="84"/>
    </row>
    <row r="424" spans="1:70" ht="15.75" customHeight="1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  <c r="AL424" s="84"/>
      <c r="AM424" s="84"/>
      <c r="AN424" s="84"/>
      <c r="AO424" s="84"/>
      <c r="AP424" s="84"/>
      <c r="AQ424" s="84"/>
      <c r="AR424" s="84"/>
      <c r="AS424" s="84"/>
      <c r="AT424" s="84"/>
      <c r="AU424" s="84"/>
      <c r="AV424" s="84"/>
      <c r="AW424" s="84"/>
      <c r="AX424" s="84"/>
      <c r="AY424" s="84"/>
      <c r="AZ424" s="84"/>
      <c r="BA424" s="84"/>
      <c r="BB424" s="84"/>
      <c r="BC424" s="84"/>
      <c r="BD424" s="84"/>
      <c r="BE424" s="84"/>
      <c r="BF424" s="84"/>
      <c r="BG424" s="84"/>
      <c r="BH424" s="84"/>
      <c r="BI424" s="84"/>
      <c r="BJ424" s="84"/>
      <c r="BK424" s="84"/>
      <c r="BL424" s="84"/>
      <c r="BM424" s="84"/>
      <c r="BN424" s="84"/>
      <c r="BO424" s="84"/>
      <c r="BP424" s="84"/>
      <c r="BQ424" s="84"/>
      <c r="BR424" s="84"/>
    </row>
    <row r="425" spans="1:70" ht="15.75" customHeight="1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  <c r="AL425" s="84"/>
      <c r="AM425" s="84"/>
      <c r="AN425" s="84"/>
      <c r="AO425" s="84"/>
      <c r="AP425" s="84"/>
      <c r="AQ425" s="84"/>
      <c r="AR425" s="84"/>
      <c r="AS425" s="84"/>
      <c r="AT425" s="84"/>
      <c r="AU425" s="84"/>
      <c r="AV425" s="84"/>
      <c r="AW425" s="84"/>
      <c r="AX425" s="84"/>
      <c r="AY425" s="84"/>
      <c r="AZ425" s="84"/>
      <c r="BA425" s="84"/>
      <c r="BB425" s="84"/>
      <c r="BC425" s="84"/>
      <c r="BD425" s="84"/>
      <c r="BE425" s="84"/>
      <c r="BF425" s="84"/>
      <c r="BG425" s="84"/>
      <c r="BH425" s="84"/>
      <c r="BI425" s="84"/>
      <c r="BJ425" s="84"/>
      <c r="BK425" s="84"/>
      <c r="BL425" s="84"/>
      <c r="BM425" s="84"/>
      <c r="BN425" s="84"/>
      <c r="BO425" s="84"/>
      <c r="BP425" s="84"/>
      <c r="BQ425" s="84"/>
      <c r="BR425" s="84"/>
    </row>
    <row r="426" spans="1:70" ht="15.75" customHeight="1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  <c r="AL426" s="84"/>
      <c r="AM426" s="84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  <c r="AY426" s="84"/>
      <c r="AZ426" s="84"/>
      <c r="BA426" s="84"/>
      <c r="BB426" s="84"/>
      <c r="BC426" s="84"/>
      <c r="BD426" s="84"/>
      <c r="BE426" s="84"/>
      <c r="BF426" s="84"/>
      <c r="BG426" s="84"/>
      <c r="BH426" s="84"/>
      <c r="BI426" s="84"/>
      <c r="BJ426" s="84"/>
      <c r="BK426" s="84"/>
      <c r="BL426" s="84"/>
      <c r="BM426" s="84"/>
      <c r="BN426" s="84"/>
      <c r="BO426" s="84"/>
      <c r="BP426" s="84"/>
      <c r="BQ426" s="84"/>
      <c r="BR426" s="84"/>
    </row>
    <row r="427" spans="1:70" ht="15.75" customHeight="1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  <c r="AL427" s="84"/>
      <c r="AM427" s="84"/>
      <c r="AN427" s="84"/>
      <c r="AO427" s="84"/>
      <c r="AP427" s="84"/>
      <c r="AQ427" s="84"/>
      <c r="AR427" s="84"/>
      <c r="AS427" s="84"/>
      <c r="AT427" s="84"/>
      <c r="AU427" s="84"/>
      <c r="AV427" s="84"/>
      <c r="AW427" s="84"/>
      <c r="AX427" s="84"/>
      <c r="AY427" s="84"/>
      <c r="AZ427" s="84"/>
      <c r="BA427" s="84"/>
      <c r="BB427" s="84"/>
      <c r="BC427" s="84"/>
      <c r="BD427" s="84"/>
      <c r="BE427" s="84"/>
      <c r="BF427" s="84"/>
      <c r="BG427" s="84"/>
      <c r="BH427" s="84"/>
      <c r="BI427" s="84"/>
      <c r="BJ427" s="84"/>
      <c r="BK427" s="84"/>
      <c r="BL427" s="84"/>
      <c r="BM427" s="84"/>
      <c r="BN427" s="84"/>
      <c r="BO427" s="84"/>
      <c r="BP427" s="84"/>
      <c r="BQ427" s="84"/>
      <c r="BR427" s="84"/>
    </row>
    <row r="428" spans="1:70" ht="15.75" customHeight="1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  <c r="AL428" s="84"/>
      <c r="AM428" s="84"/>
      <c r="AN428" s="84"/>
      <c r="AO428" s="84"/>
      <c r="AP428" s="84"/>
      <c r="AQ428" s="84"/>
      <c r="AR428" s="84"/>
      <c r="AS428" s="84"/>
      <c r="AT428" s="84"/>
      <c r="AU428" s="84"/>
      <c r="AV428" s="84"/>
      <c r="AW428" s="84"/>
      <c r="AX428" s="84"/>
      <c r="AY428" s="84"/>
      <c r="AZ428" s="84"/>
      <c r="BA428" s="84"/>
      <c r="BB428" s="84"/>
      <c r="BC428" s="84"/>
      <c r="BD428" s="84"/>
      <c r="BE428" s="84"/>
      <c r="BF428" s="84"/>
      <c r="BG428" s="84"/>
      <c r="BH428" s="84"/>
      <c r="BI428" s="84"/>
      <c r="BJ428" s="84"/>
      <c r="BK428" s="84"/>
      <c r="BL428" s="84"/>
      <c r="BM428" s="84"/>
      <c r="BN428" s="84"/>
      <c r="BO428" s="84"/>
      <c r="BP428" s="84"/>
      <c r="BQ428" s="84"/>
      <c r="BR428" s="84"/>
    </row>
    <row r="429" spans="1:70" ht="15.75" customHeight="1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84"/>
      <c r="AR429" s="84"/>
      <c r="AS429" s="84"/>
      <c r="AT429" s="84"/>
      <c r="AU429" s="84"/>
      <c r="AV429" s="84"/>
      <c r="AW429" s="84"/>
      <c r="AX429" s="84"/>
      <c r="AY429" s="84"/>
      <c r="AZ429" s="84"/>
      <c r="BA429" s="84"/>
      <c r="BB429" s="84"/>
      <c r="BC429" s="84"/>
      <c r="BD429" s="84"/>
      <c r="BE429" s="84"/>
      <c r="BF429" s="84"/>
      <c r="BG429" s="84"/>
      <c r="BH429" s="84"/>
      <c r="BI429" s="84"/>
      <c r="BJ429" s="84"/>
      <c r="BK429" s="84"/>
      <c r="BL429" s="84"/>
      <c r="BM429" s="84"/>
      <c r="BN429" s="84"/>
      <c r="BO429" s="84"/>
      <c r="BP429" s="84"/>
      <c r="BQ429" s="84"/>
      <c r="BR429" s="84"/>
    </row>
    <row r="430" spans="1:70" ht="15.75" customHeight="1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  <c r="AL430" s="84"/>
      <c r="AM430" s="84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  <c r="AY430" s="84"/>
      <c r="AZ430" s="84"/>
      <c r="BA430" s="84"/>
      <c r="BB430" s="84"/>
      <c r="BC430" s="84"/>
      <c r="BD430" s="84"/>
      <c r="BE430" s="84"/>
      <c r="BF430" s="84"/>
      <c r="BG430" s="84"/>
      <c r="BH430" s="84"/>
      <c r="BI430" s="84"/>
      <c r="BJ430" s="84"/>
      <c r="BK430" s="84"/>
      <c r="BL430" s="84"/>
      <c r="BM430" s="84"/>
      <c r="BN430" s="84"/>
      <c r="BO430" s="84"/>
      <c r="BP430" s="84"/>
      <c r="BQ430" s="84"/>
      <c r="BR430" s="84"/>
    </row>
    <row r="431" spans="1:70" ht="15.75" customHeight="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  <c r="AL431" s="84"/>
      <c r="AM431" s="84"/>
      <c r="AN431" s="84"/>
      <c r="AO431" s="84"/>
      <c r="AP431" s="84"/>
      <c r="AQ431" s="84"/>
      <c r="AR431" s="84"/>
      <c r="AS431" s="84"/>
      <c r="AT431" s="84"/>
      <c r="AU431" s="84"/>
      <c r="AV431" s="84"/>
      <c r="AW431" s="84"/>
      <c r="AX431" s="84"/>
      <c r="AY431" s="84"/>
      <c r="AZ431" s="84"/>
      <c r="BA431" s="84"/>
      <c r="BB431" s="84"/>
      <c r="BC431" s="84"/>
      <c r="BD431" s="84"/>
      <c r="BE431" s="84"/>
      <c r="BF431" s="84"/>
      <c r="BG431" s="84"/>
      <c r="BH431" s="84"/>
      <c r="BI431" s="84"/>
      <c r="BJ431" s="84"/>
      <c r="BK431" s="84"/>
      <c r="BL431" s="84"/>
      <c r="BM431" s="84"/>
      <c r="BN431" s="84"/>
      <c r="BO431" s="84"/>
      <c r="BP431" s="84"/>
      <c r="BQ431" s="84"/>
      <c r="BR431" s="84"/>
    </row>
    <row r="432" spans="1:70" ht="15.75" customHeight="1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  <c r="AL432" s="84"/>
      <c r="AM432" s="84"/>
      <c r="AN432" s="84"/>
      <c r="AO432" s="84"/>
      <c r="AP432" s="84"/>
      <c r="AQ432" s="84"/>
      <c r="AR432" s="84"/>
      <c r="AS432" s="84"/>
      <c r="AT432" s="84"/>
      <c r="AU432" s="84"/>
      <c r="AV432" s="84"/>
      <c r="AW432" s="84"/>
      <c r="AX432" s="84"/>
      <c r="AY432" s="84"/>
      <c r="AZ432" s="84"/>
      <c r="BA432" s="84"/>
      <c r="BB432" s="84"/>
      <c r="BC432" s="84"/>
      <c r="BD432" s="84"/>
      <c r="BE432" s="84"/>
      <c r="BF432" s="84"/>
      <c r="BG432" s="84"/>
      <c r="BH432" s="84"/>
      <c r="BI432" s="84"/>
      <c r="BJ432" s="84"/>
      <c r="BK432" s="84"/>
      <c r="BL432" s="84"/>
      <c r="BM432" s="84"/>
      <c r="BN432" s="84"/>
      <c r="BO432" s="84"/>
      <c r="BP432" s="84"/>
      <c r="BQ432" s="84"/>
      <c r="BR432" s="84"/>
    </row>
    <row r="433" spans="1:70" ht="15.75" customHeight="1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  <c r="AL433" s="84"/>
      <c r="AM433" s="84"/>
      <c r="AN433" s="84"/>
      <c r="AO433" s="84"/>
      <c r="AP433" s="84"/>
      <c r="AQ433" s="84"/>
      <c r="AR433" s="84"/>
      <c r="AS433" s="84"/>
      <c r="AT433" s="84"/>
      <c r="AU433" s="84"/>
      <c r="AV433" s="84"/>
      <c r="AW433" s="84"/>
      <c r="AX433" s="84"/>
      <c r="AY433" s="84"/>
      <c r="AZ433" s="84"/>
      <c r="BA433" s="84"/>
      <c r="BB433" s="84"/>
      <c r="BC433" s="84"/>
      <c r="BD433" s="84"/>
      <c r="BE433" s="84"/>
      <c r="BF433" s="84"/>
      <c r="BG433" s="84"/>
      <c r="BH433" s="84"/>
      <c r="BI433" s="84"/>
      <c r="BJ433" s="84"/>
      <c r="BK433" s="84"/>
      <c r="BL433" s="84"/>
      <c r="BM433" s="84"/>
      <c r="BN433" s="84"/>
      <c r="BO433" s="84"/>
      <c r="BP433" s="84"/>
      <c r="BQ433" s="84"/>
      <c r="BR433" s="84"/>
    </row>
    <row r="434" spans="1:70" ht="15.75" customHeight="1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  <c r="AL434" s="84"/>
      <c r="AM434" s="84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  <c r="AY434" s="84"/>
      <c r="AZ434" s="84"/>
      <c r="BA434" s="84"/>
      <c r="BB434" s="84"/>
      <c r="BC434" s="84"/>
      <c r="BD434" s="84"/>
      <c r="BE434" s="84"/>
      <c r="BF434" s="84"/>
      <c r="BG434" s="84"/>
      <c r="BH434" s="84"/>
      <c r="BI434" s="84"/>
      <c r="BJ434" s="84"/>
      <c r="BK434" s="84"/>
      <c r="BL434" s="84"/>
      <c r="BM434" s="84"/>
      <c r="BN434" s="84"/>
      <c r="BO434" s="84"/>
      <c r="BP434" s="84"/>
      <c r="BQ434" s="84"/>
      <c r="BR434" s="84"/>
    </row>
    <row r="435" spans="1:70" ht="15.75" customHeight="1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84"/>
      <c r="AT435" s="84"/>
      <c r="AU435" s="84"/>
      <c r="AV435" s="84"/>
      <c r="AW435" s="84"/>
      <c r="AX435" s="84"/>
      <c r="AY435" s="84"/>
      <c r="AZ435" s="84"/>
      <c r="BA435" s="84"/>
      <c r="BB435" s="84"/>
      <c r="BC435" s="84"/>
      <c r="BD435" s="84"/>
      <c r="BE435" s="84"/>
      <c r="BF435" s="84"/>
      <c r="BG435" s="84"/>
      <c r="BH435" s="84"/>
      <c r="BI435" s="84"/>
      <c r="BJ435" s="84"/>
      <c r="BK435" s="84"/>
      <c r="BL435" s="84"/>
      <c r="BM435" s="84"/>
      <c r="BN435" s="84"/>
      <c r="BO435" s="84"/>
      <c r="BP435" s="84"/>
      <c r="BQ435" s="84"/>
      <c r="BR435" s="84"/>
    </row>
    <row r="436" spans="1:70" ht="15.75" customHeight="1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84"/>
      <c r="AT436" s="84"/>
      <c r="AU436" s="84"/>
      <c r="AV436" s="84"/>
      <c r="AW436" s="84"/>
      <c r="AX436" s="84"/>
      <c r="AY436" s="84"/>
      <c r="AZ436" s="84"/>
      <c r="BA436" s="84"/>
      <c r="BB436" s="84"/>
      <c r="BC436" s="84"/>
      <c r="BD436" s="84"/>
      <c r="BE436" s="84"/>
      <c r="BF436" s="84"/>
      <c r="BG436" s="84"/>
      <c r="BH436" s="84"/>
      <c r="BI436" s="84"/>
      <c r="BJ436" s="84"/>
      <c r="BK436" s="84"/>
      <c r="BL436" s="84"/>
      <c r="BM436" s="84"/>
      <c r="BN436" s="84"/>
      <c r="BO436" s="84"/>
      <c r="BP436" s="84"/>
      <c r="BQ436" s="84"/>
      <c r="BR436" s="84"/>
    </row>
    <row r="437" spans="1:70" ht="15.75" customHeight="1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84"/>
      <c r="AS437" s="84"/>
      <c r="AT437" s="84"/>
      <c r="AU437" s="84"/>
      <c r="AV437" s="84"/>
      <c r="AW437" s="84"/>
      <c r="AX437" s="84"/>
      <c r="AY437" s="84"/>
      <c r="AZ437" s="84"/>
      <c r="BA437" s="84"/>
      <c r="BB437" s="84"/>
      <c r="BC437" s="84"/>
      <c r="BD437" s="84"/>
      <c r="BE437" s="84"/>
      <c r="BF437" s="84"/>
      <c r="BG437" s="84"/>
      <c r="BH437" s="84"/>
      <c r="BI437" s="84"/>
      <c r="BJ437" s="84"/>
      <c r="BK437" s="84"/>
      <c r="BL437" s="84"/>
      <c r="BM437" s="84"/>
      <c r="BN437" s="84"/>
      <c r="BO437" s="84"/>
      <c r="BP437" s="84"/>
      <c r="BQ437" s="84"/>
      <c r="BR437" s="84"/>
    </row>
    <row r="438" spans="1:70" ht="15.75" customHeight="1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84"/>
      <c r="AS438" s="84"/>
      <c r="AT438" s="84"/>
      <c r="AU438" s="84"/>
      <c r="AV438" s="84"/>
      <c r="AW438" s="84"/>
      <c r="AX438" s="84"/>
      <c r="AY438" s="84"/>
      <c r="AZ438" s="84"/>
      <c r="BA438" s="84"/>
      <c r="BB438" s="84"/>
      <c r="BC438" s="84"/>
      <c r="BD438" s="84"/>
      <c r="BE438" s="84"/>
      <c r="BF438" s="84"/>
      <c r="BG438" s="84"/>
      <c r="BH438" s="84"/>
      <c r="BI438" s="84"/>
      <c r="BJ438" s="84"/>
      <c r="BK438" s="84"/>
      <c r="BL438" s="84"/>
      <c r="BM438" s="84"/>
      <c r="BN438" s="84"/>
      <c r="BO438" s="84"/>
      <c r="BP438" s="84"/>
      <c r="BQ438" s="84"/>
      <c r="BR438" s="84"/>
    </row>
    <row r="439" spans="1:70" ht="15.75" customHeight="1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84"/>
      <c r="AW439" s="84"/>
      <c r="AX439" s="84"/>
      <c r="AY439" s="84"/>
      <c r="AZ439" s="84"/>
      <c r="BA439" s="84"/>
      <c r="BB439" s="84"/>
      <c r="BC439" s="84"/>
      <c r="BD439" s="84"/>
      <c r="BE439" s="84"/>
      <c r="BF439" s="84"/>
      <c r="BG439" s="84"/>
      <c r="BH439" s="84"/>
      <c r="BI439" s="84"/>
      <c r="BJ439" s="84"/>
      <c r="BK439" s="84"/>
      <c r="BL439" s="84"/>
      <c r="BM439" s="84"/>
      <c r="BN439" s="84"/>
      <c r="BO439" s="84"/>
      <c r="BP439" s="84"/>
      <c r="BQ439" s="84"/>
      <c r="BR439" s="84"/>
    </row>
    <row r="440" spans="1:70" ht="15.75" customHeight="1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84"/>
      <c r="AW440" s="84"/>
      <c r="AX440" s="84"/>
      <c r="AY440" s="84"/>
      <c r="AZ440" s="84"/>
      <c r="BA440" s="84"/>
      <c r="BB440" s="84"/>
      <c r="BC440" s="84"/>
      <c r="BD440" s="84"/>
      <c r="BE440" s="84"/>
      <c r="BF440" s="84"/>
      <c r="BG440" s="84"/>
      <c r="BH440" s="84"/>
      <c r="BI440" s="84"/>
      <c r="BJ440" s="84"/>
      <c r="BK440" s="84"/>
      <c r="BL440" s="84"/>
      <c r="BM440" s="84"/>
      <c r="BN440" s="84"/>
      <c r="BO440" s="84"/>
      <c r="BP440" s="84"/>
      <c r="BQ440" s="84"/>
      <c r="BR440" s="84"/>
    </row>
    <row r="441" spans="1:70" ht="15.75" customHeight="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84"/>
      <c r="AW441" s="84"/>
      <c r="AX441" s="84"/>
      <c r="AY441" s="84"/>
      <c r="AZ441" s="84"/>
      <c r="BA441" s="84"/>
      <c r="BB441" s="84"/>
      <c r="BC441" s="84"/>
      <c r="BD441" s="84"/>
      <c r="BE441" s="84"/>
      <c r="BF441" s="84"/>
      <c r="BG441" s="84"/>
      <c r="BH441" s="84"/>
      <c r="BI441" s="84"/>
      <c r="BJ441" s="84"/>
      <c r="BK441" s="84"/>
      <c r="BL441" s="84"/>
      <c r="BM441" s="84"/>
      <c r="BN441" s="84"/>
      <c r="BO441" s="84"/>
      <c r="BP441" s="84"/>
      <c r="BQ441" s="84"/>
      <c r="BR441" s="84"/>
    </row>
    <row r="442" spans="1:70" ht="15.75" customHeight="1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  <c r="AY442" s="84"/>
      <c r="AZ442" s="84"/>
      <c r="BA442" s="84"/>
      <c r="BB442" s="84"/>
      <c r="BC442" s="84"/>
      <c r="BD442" s="84"/>
      <c r="BE442" s="84"/>
      <c r="BF442" s="84"/>
      <c r="BG442" s="84"/>
      <c r="BH442" s="84"/>
      <c r="BI442" s="84"/>
      <c r="BJ442" s="84"/>
      <c r="BK442" s="84"/>
      <c r="BL442" s="84"/>
      <c r="BM442" s="84"/>
      <c r="BN442" s="84"/>
      <c r="BO442" s="84"/>
      <c r="BP442" s="84"/>
      <c r="BQ442" s="84"/>
      <c r="BR442" s="84"/>
    </row>
    <row r="443" spans="1:70" ht="15.75" customHeight="1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84"/>
      <c r="AW443" s="84"/>
      <c r="AX443" s="84"/>
      <c r="AY443" s="84"/>
      <c r="AZ443" s="84"/>
      <c r="BA443" s="84"/>
      <c r="BB443" s="84"/>
      <c r="BC443" s="84"/>
      <c r="BD443" s="84"/>
      <c r="BE443" s="84"/>
      <c r="BF443" s="84"/>
      <c r="BG443" s="84"/>
      <c r="BH443" s="84"/>
      <c r="BI443" s="84"/>
      <c r="BJ443" s="84"/>
      <c r="BK443" s="84"/>
      <c r="BL443" s="84"/>
      <c r="BM443" s="84"/>
      <c r="BN443" s="84"/>
      <c r="BO443" s="84"/>
      <c r="BP443" s="84"/>
      <c r="BQ443" s="84"/>
      <c r="BR443" s="84"/>
    </row>
    <row r="444" spans="1:70" ht="15.75" customHeight="1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84"/>
      <c r="AW444" s="84"/>
      <c r="AX444" s="84"/>
      <c r="AY444" s="84"/>
      <c r="AZ444" s="84"/>
      <c r="BA444" s="84"/>
      <c r="BB444" s="84"/>
      <c r="BC444" s="84"/>
      <c r="BD444" s="84"/>
      <c r="BE444" s="84"/>
      <c r="BF444" s="84"/>
      <c r="BG444" s="84"/>
      <c r="BH444" s="84"/>
      <c r="BI444" s="84"/>
      <c r="BJ444" s="84"/>
      <c r="BK444" s="84"/>
      <c r="BL444" s="84"/>
      <c r="BM444" s="84"/>
      <c r="BN444" s="84"/>
      <c r="BO444" s="84"/>
      <c r="BP444" s="84"/>
      <c r="BQ444" s="84"/>
      <c r="BR444" s="84"/>
    </row>
    <row r="445" spans="1:70" ht="15.75" customHeight="1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84"/>
      <c r="AT445" s="84"/>
      <c r="AU445" s="84"/>
      <c r="AV445" s="84"/>
      <c r="AW445" s="84"/>
      <c r="AX445" s="84"/>
      <c r="AY445" s="84"/>
      <c r="AZ445" s="84"/>
      <c r="BA445" s="84"/>
      <c r="BB445" s="84"/>
      <c r="BC445" s="84"/>
      <c r="BD445" s="84"/>
      <c r="BE445" s="84"/>
      <c r="BF445" s="84"/>
      <c r="BG445" s="84"/>
      <c r="BH445" s="84"/>
      <c r="BI445" s="84"/>
      <c r="BJ445" s="84"/>
      <c r="BK445" s="84"/>
      <c r="BL445" s="84"/>
      <c r="BM445" s="84"/>
      <c r="BN445" s="84"/>
      <c r="BO445" s="84"/>
      <c r="BP445" s="84"/>
      <c r="BQ445" s="84"/>
      <c r="BR445" s="84"/>
    </row>
    <row r="446" spans="1:70" ht="15.75" customHeight="1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  <c r="AL446" s="84"/>
      <c r="AM446" s="84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  <c r="AY446" s="84"/>
      <c r="AZ446" s="84"/>
      <c r="BA446" s="84"/>
      <c r="BB446" s="84"/>
      <c r="BC446" s="84"/>
      <c r="BD446" s="84"/>
      <c r="BE446" s="84"/>
      <c r="BF446" s="84"/>
      <c r="BG446" s="84"/>
      <c r="BH446" s="84"/>
      <c r="BI446" s="84"/>
      <c r="BJ446" s="84"/>
      <c r="BK446" s="84"/>
      <c r="BL446" s="84"/>
      <c r="BM446" s="84"/>
      <c r="BN446" s="84"/>
      <c r="BO446" s="84"/>
      <c r="BP446" s="84"/>
      <c r="BQ446" s="84"/>
      <c r="BR446" s="84"/>
    </row>
    <row r="447" spans="1:70" ht="15.75" customHeight="1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  <c r="AL447" s="84"/>
      <c r="AM447" s="84"/>
      <c r="AN447" s="84"/>
      <c r="AO447" s="84"/>
      <c r="AP447" s="84"/>
      <c r="AQ447" s="84"/>
      <c r="AR447" s="84"/>
      <c r="AS447" s="84"/>
      <c r="AT447" s="84"/>
      <c r="AU447" s="84"/>
      <c r="AV447" s="84"/>
      <c r="AW447" s="84"/>
      <c r="AX447" s="84"/>
      <c r="AY447" s="84"/>
      <c r="AZ447" s="84"/>
      <c r="BA447" s="84"/>
      <c r="BB447" s="84"/>
      <c r="BC447" s="84"/>
      <c r="BD447" s="84"/>
      <c r="BE447" s="84"/>
      <c r="BF447" s="84"/>
      <c r="BG447" s="84"/>
      <c r="BH447" s="84"/>
      <c r="BI447" s="84"/>
      <c r="BJ447" s="84"/>
      <c r="BK447" s="84"/>
      <c r="BL447" s="84"/>
      <c r="BM447" s="84"/>
      <c r="BN447" s="84"/>
      <c r="BO447" s="84"/>
      <c r="BP447" s="84"/>
      <c r="BQ447" s="84"/>
      <c r="BR447" s="84"/>
    </row>
    <row r="448" spans="1:70" ht="15.75" customHeight="1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  <c r="AL448" s="84"/>
      <c r="AM448" s="84"/>
      <c r="AN448" s="84"/>
      <c r="AO448" s="84"/>
      <c r="AP448" s="84"/>
      <c r="AQ448" s="84"/>
      <c r="AR448" s="84"/>
      <c r="AS448" s="84"/>
      <c r="AT448" s="84"/>
      <c r="AU448" s="84"/>
      <c r="AV448" s="84"/>
      <c r="AW448" s="84"/>
      <c r="AX448" s="84"/>
      <c r="AY448" s="84"/>
      <c r="AZ448" s="84"/>
      <c r="BA448" s="84"/>
      <c r="BB448" s="84"/>
      <c r="BC448" s="84"/>
      <c r="BD448" s="84"/>
      <c r="BE448" s="84"/>
      <c r="BF448" s="84"/>
      <c r="BG448" s="84"/>
      <c r="BH448" s="84"/>
      <c r="BI448" s="84"/>
      <c r="BJ448" s="84"/>
      <c r="BK448" s="84"/>
      <c r="BL448" s="84"/>
      <c r="BM448" s="84"/>
      <c r="BN448" s="84"/>
      <c r="BO448" s="84"/>
      <c r="BP448" s="84"/>
      <c r="BQ448" s="84"/>
      <c r="BR448" s="84"/>
    </row>
    <row r="449" spans="1:70" ht="15.75" customHeight="1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  <c r="AL449" s="84"/>
      <c r="AM449" s="84"/>
      <c r="AN449" s="84"/>
      <c r="AO449" s="84"/>
      <c r="AP449" s="84"/>
      <c r="AQ449" s="84"/>
      <c r="AR449" s="84"/>
      <c r="AS449" s="84"/>
      <c r="AT449" s="84"/>
      <c r="AU449" s="84"/>
      <c r="AV449" s="84"/>
      <c r="AW449" s="84"/>
      <c r="AX449" s="84"/>
      <c r="AY449" s="84"/>
      <c r="AZ449" s="84"/>
      <c r="BA449" s="84"/>
      <c r="BB449" s="84"/>
      <c r="BC449" s="84"/>
      <c r="BD449" s="84"/>
      <c r="BE449" s="84"/>
      <c r="BF449" s="84"/>
      <c r="BG449" s="84"/>
      <c r="BH449" s="84"/>
      <c r="BI449" s="84"/>
      <c r="BJ449" s="84"/>
      <c r="BK449" s="84"/>
      <c r="BL449" s="84"/>
      <c r="BM449" s="84"/>
      <c r="BN449" s="84"/>
      <c r="BO449" s="84"/>
      <c r="BP449" s="84"/>
      <c r="BQ449" s="84"/>
      <c r="BR449" s="84"/>
    </row>
    <row r="450" spans="1:70" ht="15.75" customHeight="1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  <c r="AL450" s="84"/>
      <c r="AM450" s="84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  <c r="AY450" s="84"/>
      <c r="AZ450" s="84"/>
      <c r="BA450" s="84"/>
      <c r="BB450" s="84"/>
      <c r="BC450" s="84"/>
      <c r="BD450" s="84"/>
      <c r="BE450" s="84"/>
      <c r="BF450" s="84"/>
      <c r="BG450" s="84"/>
      <c r="BH450" s="84"/>
      <c r="BI450" s="84"/>
      <c r="BJ450" s="84"/>
      <c r="BK450" s="84"/>
      <c r="BL450" s="84"/>
      <c r="BM450" s="84"/>
      <c r="BN450" s="84"/>
      <c r="BO450" s="84"/>
      <c r="BP450" s="84"/>
      <c r="BQ450" s="84"/>
      <c r="BR450" s="84"/>
    </row>
    <row r="451" spans="1:70" ht="15.75" customHeight="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  <c r="AL451" s="84"/>
      <c r="AM451" s="84"/>
      <c r="AN451" s="84"/>
      <c r="AO451" s="84"/>
      <c r="AP451" s="84"/>
      <c r="AQ451" s="84"/>
      <c r="AR451" s="84"/>
      <c r="AS451" s="84"/>
      <c r="AT451" s="84"/>
      <c r="AU451" s="84"/>
      <c r="AV451" s="84"/>
      <c r="AW451" s="84"/>
      <c r="AX451" s="84"/>
      <c r="AY451" s="84"/>
      <c r="AZ451" s="84"/>
      <c r="BA451" s="84"/>
      <c r="BB451" s="84"/>
      <c r="BC451" s="84"/>
      <c r="BD451" s="84"/>
      <c r="BE451" s="84"/>
      <c r="BF451" s="84"/>
      <c r="BG451" s="84"/>
      <c r="BH451" s="84"/>
      <c r="BI451" s="84"/>
      <c r="BJ451" s="84"/>
      <c r="BK451" s="84"/>
      <c r="BL451" s="84"/>
      <c r="BM451" s="84"/>
      <c r="BN451" s="84"/>
      <c r="BO451" s="84"/>
      <c r="BP451" s="84"/>
      <c r="BQ451" s="84"/>
      <c r="BR451" s="84"/>
    </row>
    <row r="452" spans="1:70" ht="15.75" customHeight="1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  <c r="AL452" s="84"/>
      <c r="AM452" s="84"/>
      <c r="AN452" s="84"/>
      <c r="AO452" s="84"/>
      <c r="AP452" s="84"/>
      <c r="AQ452" s="84"/>
      <c r="AR452" s="84"/>
      <c r="AS452" s="84"/>
      <c r="AT452" s="84"/>
      <c r="AU452" s="84"/>
      <c r="AV452" s="84"/>
      <c r="AW452" s="84"/>
      <c r="AX452" s="84"/>
      <c r="AY452" s="84"/>
      <c r="AZ452" s="84"/>
      <c r="BA452" s="84"/>
      <c r="BB452" s="84"/>
      <c r="BC452" s="84"/>
      <c r="BD452" s="84"/>
      <c r="BE452" s="84"/>
      <c r="BF452" s="84"/>
      <c r="BG452" s="84"/>
      <c r="BH452" s="84"/>
      <c r="BI452" s="84"/>
      <c r="BJ452" s="84"/>
      <c r="BK452" s="84"/>
      <c r="BL452" s="84"/>
      <c r="BM452" s="84"/>
      <c r="BN452" s="84"/>
      <c r="BO452" s="84"/>
      <c r="BP452" s="84"/>
      <c r="BQ452" s="84"/>
      <c r="BR452" s="84"/>
    </row>
    <row r="453" spans="1:70" ht="15.75" customHeight="1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  <c r="AL453" s="84"/>
      <c r="AM453" s="84"/>
      <c r="AN453" s="84"/>
      <c r="AO453" s="84"/>
      <c r="AP453" s="84"/>
      <c r="AQ453" s="84"/>
      <c r="AR453" s="84"/>
      <c r="AS453" s="84"/>
      <c r="AT453" s="84"/>
      <c r="AU453" s="84"/>
      <c r="AV453" s="84"/>
      <c r="AW453" s="84"/>
      <c r="AX453" s="84"/>
      <c r="AY453" s="84"/>
      <c r="AZ453" s="84"/>
      <c r="BA453" s="84"/>
      <c r="BB453" s="84"/>
      <c r="BC453" s="84"/>
      <c r="BD453" s="84"/>
      <c r="BE453" s="84"/>
      <c r="BF453" s="84"/>
      <c r="BG453" s="84"/>
      <c r="BH453" s="84"/>
      <c r="BI453" s="84"/>
      <c r="BJ453" s="84"/>
      <c r="BK453" s="84"/>
      <c r="BL453" s="84"/>
      <c r="BM453" s="84"/>
      <c r="BN453" s="84"/>
      <c r="BO453" s="84"/>
      <c r="BP453" s="84"/>
      <c r="BQ453" s="84"/>
      <c r="BR453" s="84"/>
    </row>
    <row r="454" spans="1:70" ht="15.75" customHeight="1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  <c r="AL454" s="84"/>
      <c r="AM454" s="84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  <c r="AY454" s="84"/>
      <c r="AZ454" s="84"/>
      <c r="BA454" s="84"/>
      <c r="BB454" s="84"/>
      <c r="BC454" s="84"/>
      <c r="BD454" s="84"/>
      <c r="BE454" s="84"/>
      <c r="BF454" s="84"/>
      <c r="BG454" s="84"/>
      <c r="BH454" s="84"/>
      <c r="BI454" s="84"/>
      <c r="BJ454" s="84"/>
      <c r="BK454" s="84"/>
      <c r="BL454" s="84"/>
      <c r="BM454" s="84"/>
      <c r="BN454" s="84"/>
      <c r="BO454" s="84"/>
      <c r="BP454" s="84"/>
      <c r="BQ454" s="84"/>
      <c r="BR454" s="84"/>
    </row>
    <row r="455" spans="1:70" ht="15.75" customHeight="1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  <c r="AL455" s="84"/>
      <c r="AM455" s="84"/>
      <c r="AN455" s="84"/>
      <c r="AO455" s="84"/>
      <c r="AP455" s="84"/>
      <c r="AQ455" s="84"/>
      <c r="AR455" s="84"/>
      <c r="AS455" s="84"/>
      <c r="AT455" s="84"/>
      <c r="AU455" s="84"/>
      <c r="AV455" s="84"/>
      <c r="AW455" s="84"/>
      <c r="AX455" s="84"/>
      <c r="AY455" s="84"/>
      <c r="AZ455" s="84"/>
      <c r="BA455" s="84"/>
      <c r="BB455" s="84"/>
      <c r="BC455" s="84"/>
      <c r="BD455" s="84"/>
      <c r="BE455" s="84"/>
      <c r="BF455" s="84"/>
      <c r="BG455" s="84"/>
      <c r="BH455" s="84"/>
      <c r="BI455" s="84"/>
      <c r="BJ455" s="84"/>
      <c r="BK455" s="84"/>
      <c r="BL455" s="84"/>
      <c r="BM455" s="84"/>
      <c r="BN455" s="84"/>
      <c r="BO455" s="84"/>
      <c r="BP455" s="84"/>
      <c r="BQ455" s="84"/>
      <c r="BR455" s="84"/>
    </row>
    <row r="456" spans="1:70" ht="15.75" customHeight="1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  <c r="AL456" s="84"/>
      <c r="AM456" s="84"/>
      <c r="AN456" s="84"/>
      <c r="AO456" s="84"/>
      <c r="AP456" s="84"/>
      <c r="AQ456" s="84"/>
      <c r="AR456" s="84"/>
      <c r="AS456" s="84"/>
      <c r="AT456" s="84"/>
      <c r="AU456" s="84"/>
      <c r="AV456" s="84"/>
      <c r="AW456" s="84"/>
      <c r="AX456" s="84"/>
      <c r="AY456" s="84"/>
      <c r="AZ456" s="84"/>
      <c r="BA456" s="84"/>
      <c r="BB456" s="84"/>
      <c r="BC456" s="84"/>
      <c r="BD456" s="84"/>
      <c r="BE456" s="84"/>
      <c r="BF456" s="84"/>
      <c r="BG456" s="84"/>
      <c r="BH456" s="84"/>
      <c r="BI456" s="84"/>
      <c r="BJ456" s="84"/>
      <c r="BK456" s="84"/>
      <c r="BL456" s="84"/>
      <c r="BM456" s="84"/>
      <c r="BN456" s="84"/>
      <c r="BO456" s="84"/>
      <c r="BP456" s="84"/>
      <c r="BQ456" s="84"/>
      <c r="BR456" s="84"/>
    </row>
    <row r="457" spans="1:70" ht="15.75" customHeight="1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  <c r="AL457" s="84"/>
      <c r="AM457" s="84"/>
      <c r="AN457" s="84"/>
      <c r="AO457" s="84"/>
      <c r="AP457" s="84"/>
      <c r="AQ457" s="84"/>
      <c r="AR457" s="84"/>
      <c r="AS457" s="84"/>
      <c r="AT457" s="84"/>
      <c r="AU457" s="84"/>
      <c r="AV457" s="84"/>
      <c r="AW457" s="84"/>
      <c r="AX457" s="84"/>
      <c r="AY457" s="84"/>
      <c r="AZ457" s="84"/>
      <c r="BA457" s="84"/>
      <c r="BB457" s="84"/>
      <c r="BC457" s="84"/>
      <c r="BD457" s="84"/>
      <c r="BE457" s="84"/>
      <c r="BF457" s="84"/>
      <c r="BG457" s="84"/>
      <c r="BH457" s="84"/>
      <c r="BI457" s="84"/>
      <c r="BJ457" s="84"/>
      <c r="BK457" s="84"/>
      <c r="BL457" s="84"/>
      <c r="BM457" s="84"/>
      <c r="BN457" s="84"/>
      <c r="BO457" s="84"/>
      <c r="BP457" s="84"/>
      <c r="BQ457" s="84"/>
      <c r="BR457" s="84"/>
    </row>
    <row r="458" spans="1:70" ht="15.75" customHeight="1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  <c r="AL458" s="84"/>
      <c r="AM458" s="84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  <c r="AY458" s="84"/>
      <c r="AZ458" s="84"/>
      <c r="BA458" s="84"/>
      <c r="BB458" s="84"/>
      <c r="BC458" s="84"/>
      <c r="BD458" s="84"/>
      <c r="BE458" s="84"/>
      <c r="BF458" s="84"/>
      <c r="BG458" s="84"/>
      <c r="BH458" s="84"/>
      <c r="BI458" s="84"/>
      <c r="BJ458" s="84"/>
      <c r="BK458" s="84"/>
      <c r="BL458" s="84"/>
      <c r="BM458" s="84"/>
      <c r="BN458" s="84"/>
      <c r="BO458" s="84"/>
      <c r="BP458" s="84"/>
      <c r="BQ458" s="84"/>
      <c r="BR458" s="84"/>
    </row>
    <row r="459" spans="1:70" ht="15.75" customHeight="1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  <c r="AL459" s="84"/>
      <c r="AM459" s="84"/>
      <c r="AN459" s="84"/>
      <c r="AO459" s="84"/>
      <c r="AP459" s="84"/>
      <c r="AQ459" s="84"/>
      <c r="AR459" s="84"/>
      <c r="AS459" s="84"/>
      <c r="AT459" s="84"/>
      <c r="AU459" s="84"/>
      <c r="AV459" s="84"/>
      <c r="AW459" s="84"/>
      <c r="AX459" s="84"/>
      <c r="AY459" s="84"/>
      <c r="AZ459" s="84"/>
      <c r="BA459" s="84"/>
      <c r="BB459" s="84"/>
      <c r="BC459" s="84"/>
      <c r="BD459" s="84"/>
      <c r="BE459" s="84"/>
      <c r="BF459" s="84"/>
      <c r="BG459" s="84"/>
      <c r="BH459" s="84"/>
      <c r="BI459" s="84"/>
      <c r="BJ459" s="84"/>
      <c r="BK459" s="84"/>
      <c r="BL459" s="84"/>
      <c r="BM459" s="84"/>
      <c r="BN459" s="84"/>
      <c r="BO459" s="84"/>
      <c r="BP459" s="84"/>
      <c r="BQ459" s="84"/>
      <c r="BR459" s="84"/>
    </row>
    <row r="460" spans="1:70" ht="15.75" customHeight="1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  <c r="AL460" s="84"/>
      <c r="AM460" s="84"/>
      <c r="AN460" s="84"/>
      <c r="AO460" s="84"/>
      <c r="AP460" s="84"/>
      <c r="AQ460" s="84"/>
      <c r="AR460" s="84"/>
      <c r="AS460" s="84"/>
      <c r="AT460" s="84"/>
      <c r="AU460" s="84"/>
      <c r="AV460" s="84"/>
      <c r="AW460" s="84"/>
      <c r="AX460" s="84"/>
      <c r="AY460" s="84"/>
      <c r="AZ460" s="84"/>
      <c r="BA460" s="84"/>
      <c r="BB460" s="84"/>
      <c r="BC460" s="84"/>
      <c r="BD460" s="84"/>
      <c r="BE460" s="84"/>
      <c r="BF460" s="84"/>
      <c r="BG460" s="84"/>
      <c r="BH460" s="84"/>
      <c r="BI460" s="84"/>
      <c r="BJ460" s="84"/>
      <c r="BK460" s="84"/>
      <c r="BL460" s="84"/>
      <c r="BM460" s="84"/>
      <c r="BN460" s="84"/>
      <c r="BO460" s="84"/>
      <c r="BP460" s="84"/>
      <c r="BQ460" s="84"/>
      <c r="BR460" s="84"/>
    </row>
    <row r="461" spans="1:70" ht="15.75" customHeight="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84"/>
      <c r="AW461" s="84"/>
      <c r="AX461" s="84"/>
      <c r="AY461" s="84"/>
      <c r="AZ461" s="84"/>
      <c r="BA461" s="84"/>
      <c r="BB461" s="84"/>
      <c r="BC461" s="84"/>
      <c r="BD461" s="84"/>
      <c r="BE461" s="84"/>
      <c r="BF461" s="84"/>
      <c r="BG461" s="84"/>
      <c r="BH461" s="84"/>
      <c r="BI461" s="84"/>
      <c r="BJ461" s="84"/>
      <c r="BK461" s="84"/>
      <c r="BL461" s="84"/>
      <c r="BM461" s="84"/>
      <c r="BN461" s="84"/>
      <c r="BO461" s="84"/>
      <c r="BP461" s="84"/>
      <c r="BQ461" s="84"/>
      <c r="BR461" s="84"/>
    </row>
    <row r="462" spans="1:70" ht="15.75" customHeight="1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  <c r="AL462" s="84"/>
      <c r="AM462" s="84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  <c r="AY462" s="84"/>
      <c r="AZ462" s="84"/>
      <c r="BA462" s="84"/>
      <c r="BB462" s="84"/>
      <c r="BC462" s="84"/>
      <c r="BD462" s="84"/>
      <c r="BE462" s="84"/>
      <c r="BF462" s="84"/>
      <c r="BG462" s="84"/>
      <c r="BH462" s="84"/>
      <c r="BI462" s="84"/>
      <c r="BJ462" s="84"/>
      <c r="BK462" s="84"/>
      <c r="BL462" s="84"/>
      <c r="BM462" s="84"/>
      <c r="BN462" s="84"/>
      <c r="BO462" s="84"/>
      <c r="BP462" s="84"/>
      <c r="BQ462" s="84"/>
      <c r="BR462" s="84"/>
    </row>
    <row r="463" spans="1:70" ht="15.75" customHeight="1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  <c r="AL463" s="84"/>
      <c r="AM463" s="84"/>
      <c r="AN463" s="84"/>
      <c r="AO463" s="84"/>
      <c r="AP463" s="84"/>
      <c r="AQ463" s="84"/>
      <c r="AR463" s="84"/>
      <c r="AS463" s="84"/>
      <c r="AT463" s="84"/>
      <c r="AU463" s="84"/>
      <c r="AV463" s="84"/>
      <c r="AW463" s="84"/>
      <c r="AX463" s="84"/>
      <c r="AY463" s="84"/>
      <c r="AZ463" s="84"/>
      <c r="BA463" s="84"/>
      <c r="BB463" s="84"/>
      <c r="BC463" s="84"/>
      <c r="BD463" s="84"/>
      <c r="BE463" s="84"/>
      <c r="BF463" s="84"/>
      <c r="BG463" s="84"/>
      <c r="BH463" s="84"/>
      <c r="BI463" s="84"/>
      <c r="BJ463" s="84"/>
      <c r="BK463" s="84"/>
      <c r="BL463" s="84"/>
      <c r="BM463" s="84"/>
      <c r="BN463" s="84"/>
      <c r="BO463" s="84"/>
      <c r="BP463" s="84"/>
      <c r="BQ463" s="84"/>
      <c r="BR463" s="84"/>
    </row>
    <row r="464" spans="1:70" ht="15.75" customHeight="1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  <c r="AL464" s="84"/>
      <c r="AM464" s="84"/>
      <c r="AN464" s="84"/>
      <c r="AO464" s="84"/>
      <c r="AP464" s="84"/>
      <c r="AQ464" s="84"/>
      <c r="AR464" s="84"/>
      <c r="AS464" s="84"/>
      <c r="AT464" s="84"/>
      <c r="AU464" s="84"/>
      <c r="AV464" s="84"/>
      <c r="AW464" s="84"/>
      <c r="AX464" s="84"/>
      <c r="AY464" s="84"/>
      <c r="AZ464" s="84"/>
      <c r="BA464" s="84"/>
      <c r="BB464" s="84"/>
      <c r="BC464" s="84"/>
      <c r="BD464" s="84"/>
      <c r="BE464" s="84"/>
      <c r="BF464" s="84"/>
      <c r="BG464" s="84"/>
      <c r="BH464" s="84"/>
      <c r="BI464" s="84"/>
      <c r="BJ464" s="84"/>
      <c r="BK464" s="84"/>
      <c r="BL464" s="84"/>
      <c r="BM464" s="84"/>
      <c r="BN464" s="84"/>
      <c r="BO464" s="84"/>
      <c r="BP464" s="84"/>
      <c r="BQ464" s="84"/>
      <c r="BR464" s="84"/>
    </row>
    <row r="465" spans="1:70" ht="15.75" customHeight="1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  <c r="AL465" s="84"/>
      <c r="AM465" s="84"/>
      <c r="AN465" s="84"/>
      <c r="AO465" s="84"/>
      <c r="AP465" s="84"/>
      <c r="AQ465" s="84"/>
      <c r="AR465" s="84"/>
      <c r="AS465" s="84"/>
      <c r="AT465" s="84"/>
      <c r="AU465" s="84"/>
      <c r="AV465" s="84"/>
      <c r="AW465" s="84"/>
      <c r="AX465" s="84"/>
      <c r="AY465" s="84"/>
      <c r="AZ465" s="84"/>
      <c r="BA465" s="84"/>
      <c r="BB465" s="84"/>
      <c r="BC465" s="84"/>
      <c r="BD465" s="84"/>
      <c r="BE465" s="84"/>
      <c r="BF465" s="84"/>
      <c r="BG465" s="84"/>
      <c r="BH465" s="84"/>
      <c r="BI465" s="84"/>
      <c r="BJ465" s="84"/>
      <c r="BK465" s="84"/>
      <c r="BL465" s="84"/>
      <c r="BM465" s="84"/>
      <c r="BN465" s="84"/>
      <c r="BO465" s="84"/>
      <c r="BP465" s="84"/>
      <c r="BQ465" s="84"/>
      <c r="BR465" s="84"/>
    </row>
    <row r="466" spans="1:70" ht="15.75" customHeight="1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  <c r="AY466" s="84"/>
      <c r="AZ466" s="84"/>
      <c r="BA466" s="84"/>
      <c r="BB466" s="84"/>
      <c r="BC466" s="84"/>
      <c r="BD466" s="84"/>
      <c r="BE466" s="84"/>
      <c r="BF466" s="84"/>
      <c r="BG466" s="84"/>
      <c r="BH466" s="84"/>
      <c r="BI466" s="84"/>
      <c r="BJ466" s="84"/>
      <c r="BK466" s="84"/>
      <c r="BL466" s="84"/>
      <c r="BM466" s="84"/>
      <c r="BN466" s="84"/>
      <c r="BO466" s="84"/>
      <c r="BP466" s="84"/>
      <c r="BQ466" s="84"/>
      <c r="BR466" s="84"/>
    </row>
    <row r="467" spans="1:70" ht="15.75" customHeight="1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  <c r="AL467" s="84"/>
      <c r="AM467" s="84"/>
      <c r="AN467" s="84"/>
      <c r="AO467" s="84"/>
      <c r="AP467" s="84"/>
      <c r="AQ467" s="84"/>
      <c r="AR467" s="84"/>
      <c r="AS467" s="84"/>
      <c r="AT467" s="84"/>
      <c r="AU467" s="84"/>
      <c r="AV467" s="84"/>
      <c r="AW467" s="84"/>
      <c r="AX467" s="84"/>
      <c r="AY467" s="84"/>
      <c r="AZ467" s="84"/>
      <c r="BA467" s="84"/>
      <c r="BB467" s="84"/>
      <c r="BC467" s="84"/>
      <c r="BD467" s="84"/>
      <c r="BE467" s="84"/>
      <c r="BF467" s="84"/>
      <c r="BG467" s="84"/>
      <c r="BH467" s="84"/>
      <c r="BI467" s="84"/>
      <c r="BJ467" s="84"/>
      <c r="BK467" s="84"/>
      <c r="BL467" s="84"/>
      <c r="BM467" s="84"/>
      <c r="BN467" s="84"/>
      <c r="BO467" s="84"/>
      <c r="BP467" s="84"/>
      <c r="BQ467" s="84"/>
      <c r="BR467" s="84"/>
    </row>
    <row r="468" spans="1:70" ht="15.75" customHeight="1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  <c r="AL468" s="84"/>
      <c r="AM468" s="84"/>
      <c r="AN468" s="84"/>
      <c r="AO468" s="84"/>
      <c r="AP468" s="84"/>
      <c r="AQ468" s="84"/>
      <c r="AR468" s="84"/>
      <c r="AS468" s="84"/>
      <c r="AT468" s="84"/>
      <c r="AU468" s="84"/>
      <c r="AV468" s="84"/>
      <c r="AW468" s="84"/>
      <c r="AX468" s="84"/>
      <c r="AY468" s="84"/>
      <c r="AZ468" s="84"/>
      <c r="BA468" s="84"/>
      <c r="BB468" s="84"/>
      <c r="BC468" s="84"/>
      <c r="BD468" s="84"/>
      <c r="BE468" s="84"/>
      <c r="BF468" s="84"/>
      <c r="BG468" s="84"/>
      <c r="BH468" s="84"/>
      <c r="BI468" s="84"/>
      <c r="BJ468" s="84"/>
      <c r="BK468" s="84"/>
      <c r="BL468" s="84"/>
      <c r="BM468" s="84"/>
      <c r="BN468" s="84"/>
      <c r="BO468" s="84"/>
      <c r="BP468" s="84"/>
      <c r="BQ468" s="84"/>
      <c r="BR468" s="84"/>
    </row>
    <row r="469" spans="1:70" ht="15.75" customHeight="1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84"/>
      <c r="AS469" s="84"/>
      <c r="AT469" s="84"/>
      <c r="AU469" s="84"/>
      <c r="AV469" s="84"/>
      <c r="AW469" s="84"/>
      <c r="AX469" s="84"/>
      <c r="AY469" s="84"/>
      <c r="AZ469" s="84"/>
      <c r="BA469" s="84"/>
      <c r="BB469" s="84"/>
      <c r="BC469" s="84"/>
      <c r="BD469" s="84"/>
      <c r="BE469" s="84"/>
      <c r="BF469" s="84"/>
      <c r="BG469" s="84"/>
      <c r="BH469" s="84"/>
      <c r="BI469" s="84"/>
      <c r="BJ469" s="84"/>
      <c r="BK469" s="84"/>
      <c r="BL469" s="84"/>
      <c r="BM469" s="84"/>
      <c r="BN469" s="84"/>
      <c r="BO469" s="84"/>
      <c r="BP469" s="84"/>
      <c r="BQ469" s="84"/>
      <c r="BR469" s="84"/>
    </row>
    <row r="470" spans="1:70" ht="15.75" customHeight="1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  <c r="AY470" s="84"/>
      <c r="AZ470" s="84"/>
      <c r="BA470" s="84"/>
      <c r="BB470" s="84"/>
      <c r="BC470" s="84"/>
      <c r="BD470" s="84"/>
      <c r="BE470" s="84"/>
      <c r="BF470" s="84"/>
      <c r="BG470" s="84"/>
      <c r="BH470" s="84"/>
      <c r="BI470" s="84"/>
      <c r="BJ470" s="84"/>
      <c r="BK470" s="84"/>
      <c r="BL470" s="84"/>
      <c r="BM470" s="84"/>
      <c r="BN470" s="84"/>
      <c r="BO470" s="84"/>
      <c r="BP470" s="84"/>
      <c r="BQ470" s="84"/>
      <c r="BR470" s="84"/>
    </row>
    <row r="471" spans="1:70" ht="15.75" customHeight="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84"/>
      <c r="AW471" s="84"/>
      <c r="AX471" s="84"/>
      <c r="AY471" s="84"/>
      <c r="AZ471" s="84"/>
      <c r="BA471" s="84"/>
      <c r="BB471" s="84"/>
      <c r="BC471" s="84"/>
      <c r="BD471" s="84"/>
      <c r="BE471" s="84"/>
      <c r="BF471" s="84"/>
      <c r="BG471" s="84"/>
      <c r="BH471" s="84"/>
      <c r="BI471" s="84"/>
      <c r="BJ471" s="84"/>
      <c r="BK471" s="84"/>
      <c r="BL471" s="84"/>
      <c r="BM471" s="84"/>
      <c r="BN471" s="84"/>
      <c r="BO471" s="84"/>
      <c r="BP471" s="84"/>
      <c r="BQ471" s="84"/>
      <c r="BR471" s="84"/>
    </row>
    <row r="472" spans="1:70" ht="15.75" customHeight="1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84"/>
      <c r="AW472" s="84"/>
      <c r="AX472" s="84"/>
      <c r="AY472" s="84"/>
      <c r="AZ472" s="84"/>
      <c r="BA472" s="84"/>
      <c r="BB472" s="84"/>
      <c r="BC472" s="84"/>
      <c r="BD472" s="84"/>
      <c r="BE472" s="84"/>
      <c r="BF472" s="84"/>
      <c r="BG472" s="84"/>
      <c r="BH472" s="84"/>
      <c r="BI472" s="84"/>
      <c r="BJ472" s="84"/>
      <c r="BK472" s="84"/>
      <c r="BL472" s="84"/>
      <c r="BM472" s="84"/>
      <c r="BN472" s="84"/>
      <c r="BO472" s="84"/>
      <c r="BP472" s="84"/>
      <c r="BQ472" s="84"/>
      <c r="BR472" s="84"/>
    </row>
    <row r="473" spans="1:70" ht="15.75" customHeight="1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  <c r="AL473" s="84"/>
      <c r="AM473" s="84"/>
      <c r="AN473" s="84"/>
      <c r="AO473" s="84"/>
      <c r="AP473" s="84"/>
      <c r="AQ473" s="84"/>
      <c r="AR473" s="84"/>
      <c r="AS473" s="84"/>
      <c r="AT473" s="84"/>
      <c r="AU473" s="84"/>
      <c r="AV473" s="84"/>
      <c r="AW473" s="84"/>
      <c r="AX473" s="84"/>
      <c r="AY473" s="84"/>
      <c r="AZ473" s="84"/>
      <c r="BA473" s="84"/>
      <c r="BB473" s="84"/>
      <c r="BC473" s="84"/>
      <c r="BD473" s="84"/>
      <c r="BE473" s="84"/>
      <c r="BF473" s="84"/>
      <c r="BG473" s="84"/>
      <c r="BH473" s="84"/>
      <c r="BI473" s="84"/>
      <c r="BJ473" s="84"/>
      <c r="BK473" s="84"/>
      <c r="BL473" s="84"/>
      <c r="BM473" s="84"/>
      <c r="BN473" s="84"/>
      <c r="BO473" s="84"/>
      <c r="BP473" s="84"/>
      <c r="BQ473" s="84"/>
      <c r="BR473" s="84"/>
    </row>
    <row r="474" spans="1:70" ht="15.75" customHeight="1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  <c r="AY474" s="84"/>
      <c r="AZ474" s="84"/>
      <c r="BA474" s="84"/>
      <c r="BB474" s="84"/>
      <c r="BC474" s="84"/>
      <c r="BD474" s="84"/>
      <c r="BE474" s="84"/>
      <c r="BF474" s="84"/>
      <c r="BG474" s="84"/>
      <c r="BH474" s="84"/>
      <c r="BI474" s="84"/>
      <c r="BJ474" s="84"/>
      <c r="BK474" s="84"/>
      <c r="BL474" s="84"/>
      <c r="BM474" s="84"/>
      <c r="BN474" s="84"/>
      <c r="BO474" s="84"/>
      <c r="BP474" s="84"/>
      <c r="BQ474" s="84"/>
      <c r="BR474" s="84"/>
    </row>
    <row r="475" spans="1:70" ht="15.75" customHeight="1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84"/>
      <c r="AU475" s="84"/>
      <c r="AV475" s="84"/>
      <c r="AW475" s="84"/>
      <c r="AX475" s="84"/>
      <c r="AY475" s="84"/>
      <c r="AZ475" s="84"/>
      <c r="BA475" s="84"/>
      <c r="BB475" s="84"/>
      <c r="BC475" s="84"/>
      <c r="BD475" s="84"/>
      <c r="BE475" s="84"/>
      <c r="BF475" s="84"/>
      <c r="BG475" s="84"/>
      <c r="BH475" s="84"/>
      <c r="BI475" s="84"/>
      <c r="BJ475" s="84"/>
      <c r="BK475" s="84"/>
      <c r="BL475" s="84"/>
      <c r="BM475" s="84"/>
      <c r="BN475" s="84"/>
      <c r="BO475" s="84"/>
      <c r="BP475" s="84"/>
      <c r="BQ475" s="84"/>
      <c r="BR475" s="84"/>
    </row>
    <row r="476" spans="1:70" ht="15.75" customHeight="1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84"/>
      <c r="AU476" s="84"/>
      <c r="AV476" s="84"/>
      <c r="AW476" s="84"/>
      <c r="AX476" s="84"/>
      <c r="AY476" s="84"/>
      <c r="AZ476" s="84"/>
      <c r="BA476" s="84"/>
      <c r="BB476" s="84"/>
      <c r="BC476" s="84"/>
      <c r="BD476" s="84"/>
      <c r="BE476" s="84"/>
      <c r="BF476" s="84"/>
      <c r="BG476" s="84"/>
      <c r="BH476" s="84"/>
      <c r="BI476" s="84"/>
      <c r="BJ476" s="84"/>
      <c r="BK476" s="84"/>
      <c r="BL476" s="84"/>
      <c r="BM476" s="84"/>
      <c r="BN476" s="84"/>
      <c r="BO476" s="84"/>
      <c r="BP476" s="84"/>
      <c r="BQ476" s="84"/>
      <c r="BR476" s="84"/>
    </row>
    <row r="477" spans="1:70" ht="15.75" customHeight="1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  <c r="AL477" s="84"/>
      <c r="AM477" s="84"/>
      <c r="AN477" s="84"/>
      <c r="AO477" s="84"/>
      <c r="AP477" s="84"/>
      <c r="AQ477" s="84"/>
      <c r="AR477" s="84"/>
      <c r="AS477" s="84"/>
      <c r="AT477" s="84"/>
      <c r="AU477" s="84"/>
      <c r="AV477" s="84"/>
      <c r="AW477" s="84"/>
      <c r="AX477" s="84"/>
      <c r="AY477" s="84"/>
      <c r="AZ477" s="84"/>
      <c r="BA477" s="84"/>
      <c r="BB477" s="84"/>
      <c r="BC477" s="84"/>
      <c r="BD477" s="84"/>
      <c r="BE477" s="84"/>
      <c r="BF477" s="84"/>
      <c r="BG477" s="84"/>
      <c r="BH477" s="84"/>
      <c r="BI477" s="84"/>
      <c r="BJ477" s="84"/>
      <c r="BK477" s="84"/>
      <c r="BL477" s="84"/>
      <c r="BM477" s="84"/>
      <c r="BN477" s="84"/>
      <c r="BO477" s="84"/>
      <c r="BP477" s="84"/>
      <c r="BQ477" s="84"/>
      <c r="BR477" s="84"/>
    </row>
    <row r="478" spans="1:70" ht="15.75" customHeight="1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  <c r="AL478" s="84"/>
      <c r="AM478" s="84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  <c r="AY478" s="84"/>
      <c r="AZ478" s="84"/>
      <c r="BA478" s="84"/>
      <c r="BB478" s="84"/>
      <c r="BC478" s="84"/>
      <c r="BD478" s="84"/>
      <c r="BE478" s="84"/>
      <c r="BF478" s="84"/>
      <c r="BG478" s="84"/>
      <c r="BH478" s="84"/>
      <c r="BI478" s="84"/>
      <c r="BJ478" s="84"/>
      <c r="BK478" s="84"/>
      <c r="BL478" s="84"/>
      <c r="BM478" s="84"/>
      <c r="BN478" s="84"/>
      <c r="BO478" s="84"/>
      <c r="BP478" s="84"/>
      <c r="BQ478" s="84"/>
      <c r="BR478" s="84"/>
    </row>
    <row r="479" spans="1:70" ht="15.75" customHeight="1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  <c r="AL479" s="84"/>
      <c r="AM479" s="84"/>
      <c r="AN479" s="84"/>
      <c r="AO479" s="84"/>
      <c r="AP479" s="84"/>
      <c r="AQ479" s="84"/>
      <c r="AR479" s="84"/>
      <c r="AS479" s="84"/>
      <c r="AT479" s="84"/>
      <c r="AU479" s="84"/>
      <c r="AV479" s="84"/>
      <c r="AW479" s="84"/>
      <c r="AX479" s="84"/>
      <c r="AY479" s="84"/>
      <c r="AZ479" s="84"/>
      <c r="BA479" s="84"/>
      <c r="BB479" s="84"/>
      <c r="BC479" s="84"/>
      <c r="BD479" s="84"/>
      <c r="BE479" s="84"/>
      <c r="BF479" s="84"/>
      <c r="BG479" s="84"/>
      <c r="BH479" s="84"/>
      <c r="BI479" s="84"/>
      <c r="BJ479" s="84"/>
      <c r="BK479" s="84"/>
      <c r="BL479" s="84"/>
      <c r="BM479" s="84"/>
      <c r="BN479" s="84"/>
      <c r="BO479" s="84"/>
      <c r="BP479" s="84"/>
      <c r="BQ479" s="84"/>
      <c r="BR479" s="84"/>
    </row>
    <row r="480" spans="1:70" ht="15.75" customHeight="1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  <c r="AL480" s="84"/>
      <c r="AM480" s="84"/>
      <c r="AN480" s="84"/>
      <c r="AO480" s="84"/>
      <c r="AP480" s="84"/>
      <c r="AQ480" s="84"/>
      <c r="AR480" s="84"/>
      <c r="AS480" s="84"/>
      <c r="AT480" s="84"/>
      <c r="AU480" s="84"/>
      <c r="AV480" s="84"/>
      <c r="AW480" s="84"/>
      <c r="AX480" s="84"/>
      <c r="AY480" s="84"/>
      <c r="AZ480" s="84"/>
      <c r="BA480" s="84"/>
      <c r="BB480" s="84"/>
      <c r="BC480" s="84"/>
      <c r="BD480" s="84"/>
      <c r="BE480" s="84"/>
      <c r="BF480" s="84"/>
      <c r="BG480" s="84"/>
      <c r="BH480" s="84"/>
      <c r="BI480" s="84"/>
      <c r="BJ480" s="84"/>
      <c r="BK480" s="84"/>
      <c r="BL480" s="84"/>
      <c r="BM480" s="84"/>
      <c r="BN480" s="84"/>
      <c r="BO480" s="84"/>
      <c r="BP480" s="84"/>
      <c r="BQ480" s="84"/>
      <c r="BR480" s="84"/>
    </row>
    <row r="481" spans="1:70" ht="15.75" customHeight="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  <c r="AL481" s="84"/>
      <c r="AM481" s="84"/>
      <c r="AN481" s="84"/>
      <c r="AO481" s="84"/>
      <c r="AP481" s="84"/>
      <c r="AQ481" s="84"/>
      <c r="AR481" s="84"/>
      <c r="AS481" s="84"/>
      <c r="AT481" s="84"/>
      <c r="AU481" s="84"/>
      <c r="AV481" s="84"/>
      <c r="AW481" s="84"/>
      <c r="AX481" s="84"/>
      <c r="AY481" s="84"/>
      <c r="AZ481" s="84"/>
      <c r="BA481" s="84"/>
      <c r="BB481" s="84"/>
      <c r="BC481" s="84"/>
      <c r="BD481" s="84"/>
      <c r="BE481" s="84"/>
      <c r="BF481" s="84"/>
      <c r="BG481" s="84"/>
      <c r="BH481" s="84"/>
      <c r="BI481" s="84"/>
      <c r="BJ481" s="84"/>
      <c r="BK481" s="84"/>
      <c r="BL481" s="84"/>
      <c r="BM481" s="84"/>
      <c r="BN481" s="84"/>
      <c r="BO481" s="84"/>
      <c r="BP481" s="84"/>
      <c r="BQ481" s="84"/>
      <c r="BR481" s="84"/>
    </row>
    <row r="482" spans="1:70" ht="15.75" customHeight="1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  <c r="AY482" s="84"/>
      <c r="AZ482" s="84"/>
      <c r="BA482" s="84"/>
      <c r="BB482" s="84"/>
      <c r="BC482" s="84"/>
      <c r="BD482" s="84"/>
      <c r="BE482" s="84"/>
      <c r="BF482" s="84"/>
      <c r="BG482" s="84"/>
      <c r="BH482" s="84"/>
      <c r="BI482" s="84"/>
      <c r="BJ482" s="84"/>
      <c r="BK482" s="84"/>
      <c r="BL482" s="84"/>
      <c r="BM482" s="84"/>
      <c r="BN482" s="84"/>
      <c r="BO482" s="84"/>
      <c r="BP482" s="84"/>
      <c r="BQ482" s="84"/>
      <c r="BR482" s="84"/>
    </row>
    <row r="483" spans="1:70" ht="15.75" customHeight="1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84"/>
      <c r="AW483" s="84"/>
      <c r="AX483" s="84"/>
      <c r="AY483" s="84"/>
      <c r="AZ483" s="84"/>
      <c r="BA483" s="84"/>
      <c r="BB483" s="84"/>
      <c r="BC483" s="84"/>
      <c r="BD483" s="84"/>
      <c r="BE483" s="84"/>
      <c r="BF483" s="84"/>
      <c r="BG483" s="84"/>
      <c r="BH483" s="84"/>
      <c r="BI483" s="84"/>
      <c r="BJ483" s="84"/>
      <c r="BK483" s="84"/>
      <c r="BL483" s="84"/>
      <c r="BM483" s="84"/>
      <c r="BN483" s="84"/>
      <c r="BO483" s="84"/>
      <c r="BP483" s="84"/>
      <c r="BQ483" s="84"/>
      <c r="BR483" s="84"/>
    </row>
    <row r="484" spans="1:70" ht="15.75" customHeight="1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84"/>
      <c r="AW484" s="84"/>
      <c r="AX484" s="84"/>
      <c r="AY484" s="84"/>
      <c r="AZ484" s="84"/>
      <c r="BA484" s="84"/>
      <c r="BB484" s="84"/>
      <c r="BC484" s="84"/>
      <c r="BD484" s="84"/>
      <c r="BE484" s="84"/>
      <c r="BF484" s="84"/>
      <c r="BG484" s="84"/>
      <c r="BH484" s="84"/>
      <c r="BI484" s="84"/>
      <c r="BJ484" s="84"/>
      <c r="BK484" s="84"/>
      <c r="BL484" s="84"/>
      <c r="BM484" s="84"/>
      <c r="BN484" s="84"/>
      <c r="BO484" s="84"/>
      <c r="BP484" s="84"/>
      <c r="BQ484" s="84"/>
      <c r="BR484" s="84"/>
    </row>
    <row r="485" spans="1:70" ht="15.75" customHeight="1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  <c r="AL485" s="84"/>
      <c r="AM485" s="84"/>
      <c r="AN485" s="84"/>
      <c r="AO485" s="84"/>
      <c r="AP485" s="84"/>
      <c r="AQ485" s="84"/>
      <c r="AR485" s="84"/>
      <c r="AS485" s="84"/>
      <c r="AT485" s="84"/>
      <c r="AU485" s="84"/>
      <c r="AV485" s="84"/>
      <c r="AW485" s="84"/>
      <c r="AX485" s="84"/>
      <c r="AY485" s="84"/>
      <c r="AZ485" s="84"/>
      <c r="BA485" s="84"/>
      <c r="BB485" s="84"/>
      <c r="BC485" s="84"/>
      <c r="BD485" s="84"/>
      <c r="BE485" s="84"/>
      <c r="BF485" s="84"/>
      <c r="BG485" s="84"/>
      <c r="BH485" s="84"/>
      <c r="BI485" s="84"/>
      <c r="BJ485" s="84"/>
      <c r="BK485" s="84"/>
      <c r="BL485" s="84"/>
      <c r="BM485" s="84"/>
      <c r="BN485" s="84"/>
      <c r="BO485" s="84"/>
      <c r="BP485" s="84"/>
      <c r="BQ485" s="84"/>
      <c r="BR485" s="84"/>
    </row>
    <row r="486" spans="1:70" ht="15.75" customHeight="1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  <c r="AY486" s="84"/>
      <c r="AZ486" s="84"/>
      <c r="BA486" s="84"/>
      <c r="BB486" s="84"/>
      <c r="BC486" s="84"/>
      <c r="BD486" s="84"/>
      <c r="BE486" s="84"/>
      <c r="BF486" s="84"/>
      <c r="BG486" s="84"/>
      <c r="BH486" s="84"/>
      <c r="BI486" s="84"/>
      <c r="BJ486" s="84"/>
      <c r="BK486" s="84"/>
      <c r="BL486" s="84"/>
      <c r="BM486" s="84"/>
      <c r="BN486" s="84"/>
      <c r="BO486" s="84"/>
      <c r="BP486" s="84"/>
      <c r="BQ486" s="84"/>
      <c r="BR486" s="84"/>
    </row>
    <row r="487" spans="1:70" ht="15.75" customHeight="1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84"/>
      <c r="AW487" s="84"/>
      <c r="AX487" s="84"/>
      <c r="AY487" s="84"/>
      <c r="AZ487" s="84"/>
      <c r="BA487" s="84"/>
      <c r="BB487" s="84"/>
      <c r="BC487" s="84"/>
      <c r="BD487" s="84"/>
      <c r="BE487" s="84"/>
      <c r="BF487" s="84"/>
      <c r="BG487" s="84"/>
      <c r="BH487" s="84"/>
      <c r="BI487" s="84"/>
      <c r="BJ487" s="84"/>
      <c r="BK487" s="84"/>
      <c r="BL487" s="84"/>
      <c r="BM487" s="84"/>
      <c r="BN487" s="84"/>
      <c r="BO487" s="84"/>
      <c r="BP487" s="84"/>
      <c r="BQ487" s="84"/>
      <c r="BR487" s="84"/>
    </row>
    <row r="488" spans="1:70" ht="15.75" customHeight="1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84"/>
      <c r="AT488" s="84"/>
      <c r="AU488" s="84"/>
      <c r="AV488" s="84"/>
      <c r="AW488" s="84"/>
      <c r="AX488" s="84"/>
      <c r="AY488" s="84"/>
      <c r="AZ488" s="84"/>
      <c r="BA488" s="84"/>
      <c r="BB488" s="84"/>
      <c r="BC488" s="84"/>
      <c r="BD488" s="84"/>
      <c r="BE488" s="84"/>
      <c r="BF488" s="84"/>
      <c r="BG488" s="84"/>
      <c r="BH488" s="84"/>
      <c r="BI488" s="84"/>
      <c r="BJ488" s="84"/>
      <c r="BK488" s="84"/>
      <c r="BL488" s="84"/>
      <c r="BM488" s="84"/>
      <c r="BN488" s="84"/>
      <c r="BO488" s="84"/>
      <c r="BP488" s="84"/>
      <c r="BQ488" s="84"/>
      <c r="BR488" s="84"/>
    </row>
    <row r="489" spans="1:70" ht="15.75" customHeight="1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  <c r="AL489" s="84"/>
      <c r="AM489" s="84"/>
      <c r="AN489" s="84"/>
      <c r="AO489" s="84"/>
      <c r="AP489" s="84"/>
      <c r="AQ489" s="84"/>
      <c r="AR489" s="84"/>
      <c r="AS489" s="84"/>
      <c r="AT489" s="84"/>
      <c r="AU489" s="84"/>
      <c r="AV489" s="84"/>
      <c r="AW489" s="84"/>
      <c r="AX489" s="84"/>
      <c r="AY489" s="84"/>
      <c r="AZ489" s="84"/>
      <c r="BA489" s="84"/>
      <c r="BB489" s="84"/>
      <c r="BC489" s="84"/>
      <c r="BD489" s="84"/>
      <c r="BE489" s="84"/>
      <c r="BF489" s="84"/>
      <c r="BG489" s="84"/>
      <c r="BH489" s="84"/>
      <c r="BI489" s="84"/>
      <c r="BJ489" s="84"/>
      <c r="BK489" s="84"/>
      <c r="BL489" s="84"/>
      <c r="BM489" s="84"/>
      <c r="BN489" s="84"/>
      <c r="BO489" s="84"/>
      <c r="BP489" s="84"/>
      <c r="BQ489" s="84"/>
      <c r="BR489" s="84"/>
    </row>
    <row r="490" spans="1:70" ht="15.75" customHeight="1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  <c r="AL490" s="84"/>
      <c r="AM490" s="84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  <c r="AY490" s="84"/>
      <c r="AZ490" s="84"/>
      <c r="BA490" s="84"/>
      <c r="BB490" s="84"/>
      <c r="BC490" s="84"/>
      <c r="BD490" s="84"/>
      <c r="BE490" s="84"/>
      <c r="BF490" s="84"/>
      <c r="BG490" s="84"/>
      <c r="BH490" s="84"/>
      <c r="BI490" s="84"/>
      <c r="BJ490" s="84"/>
      <c r="BK490" s="84"/>
      <c r="BL490" s="84"/>
      <c r="BM490" s="84"/>
      <c r="BN490" s="84"/>
      <c r="BO490" s="84"/>
      <c r="BP490" s="84"/>
      <c r="BQ490" s="84"/>
      <c r="BR490" s="84"/>
    </row>
    <row r="491" spans="1:70" ht="15.75" customHeight="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  <c r="AL491" s="84"/>
      <c r="AM491" s="84"/>
      <c r="AN491" s="84"/>
      <c r="AO491" s="84"/>
      <c r="AP491" s="84"/>
      <c r="AQ491" s="84"/>
      <c r="AR491" s="84"/>
      <c r="AS491" s="84"/>
      <c r="AT491" s="84"/>
      <c r="AU491" s="84"/>
      <c r="AV491" s="84"/>
      <c r="AW491" s="84"/>
      <c r="AX491" s="84"/>
      <c r="AY491" s="84"/>
      <c r="AZ491" s="84"/>
      <c r="BA491" s="84"/>
      <c r="BB491" s="84"/>
      <c r="BC491" s="84"/>
      <c r="BD491" s="84"/>
      <c r="BE491" s="84"/>
      <c r="BF491" s="84"/>
      <c r="BG491" s="84"/>
      <c r="BH491" s="84"/>
      <c r="BI491" s="84"/>
      <c r="BJ491" s="84"/>
      <c r="BK491" s="84"/>
      <c r="BL491" s="84"/>
      <c r="BM491" s="84"/>
      <c r="BN491" s="84"/>
      <c r="BO491" s="84"/>
      <c r="BP491" s="84"/>
      <c r="BQ491" s="84"/>
      <c r="BR491" s="84"/>
    </row>
    <row r="492" spans="1:70" ht="15.75" customHeight="1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  <c r="AL492" s="84"/>
      <c r="AM492" s="84"/>
      <c r="AN492" s="84"/>
      <c r="AO492" s="84"/>
      <c r="AP492" s="84"/>
      <c r="AQ492" s="84"/>
      <c r="AR492" s="84"/>
      <c r="AS492" s="84"/>
      <c r="AT492" s="84"/>
      <c r="AU492" s="84"/>
      <c r="AV492" s="84"/>
      <c r="AW492" s="84"/>
      <c r="AX492" s="84"/>
      <c r="AY492" s="84"/>
      <c r="AZ492" s="84"/>
      <c r="BA492" s="84"/>
      <c r="BB492" s="84"/>
      <c r="BC492" s="84"/>
      <c r="BD492" s="84"/>
      <c r="BE492" s="84"/>
      <c r="BF492" s="84"/>
      <c r="BG492" s="84"/>
      <c r="BH492" s="84"/>
      <c r="BI492" s="84"/>
      <c r="BJ492" s="84"/>
      <c r="BK492" s="84"/>
      <c r="BL492" s="84"/>
      <c r="BM492" s="84"/>
      <c r="BN492" s="84"/>
      <c r="BO492" s="84"/>
      <c r="BP492" s="84"/>
      <c r="BQ492" s="84"/>
      <c r="BR492" s="84"/>
    </row>
    <row r="493" spans="1:70" ht="15.75" customHeight="1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  <c r="AL493" s="84"/>
      <c r="AM493" s="84"/>
      <c r="AN493" s="84"/>
      <c r="AO493" s="84"/>
      <c r="AP493" s="84"/>
      <c r="AQ493" s="84"/>
      <c r="AR493" s="84"/>
      <c r="AS493" s="84"/>
      <c r="AT493" s="84"/>
      <c r="AU493" s="84"/>
      <c r="AV493" s="84"/>
      <c r="AW493" s="84"/>
      <c r="AX493" s="84"/>
      <c r="AY493" s="84"/>
      <c r="AZ493" s="84"/>
      <c r="BA493" s="84"/>
      <c r="BB493" s="84"/>
      <c r="BC493" s="84"/>
      <c r="BD493" s="84"/>
      <c r="BE493" s="84"/>
      <c r="BF493" s="84"/>
      <c r="BG493" s="84"/>
      <c r="BH493" s="84"/>
      <c r="BI493" s="84"/>
      <c r="BJ493" s="84"/>
      <c r="BK493" s="84"/>
      <c r="BL493" s="84"/>
      <c r="BM493" s="84"/>
      <c r="BN493" s="84"/>
      <c r="BO493" s="84"/>
      <c r="BP493" s="84"/>
      <c r="BQ493" s="84"/>
      <c r="BR493" s="84"/>
    </row>
    <row r="494" spans="1:70" ht="15.75" customHeight="1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  <c r="AL494" s="84"/>
      <c r="AM494" s="84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  <c r="AY494" s="84"/>
      <c r="AZ494" s="84"/>
      <c r="BA494" s="84"/>
      <c r="BB494" s="84"/>
      <c r="BC494" s="84"/>
      <c r="BD494" s="84"/>
      <c r="BE494" s="84"/>
      <c r="BF494" s="84"/>
      <c r="BG494" s="84"/>
      <c r="BH494" s="84"/>
      <c r="BI494" s="84"/>
      <c r="BJ494" s="84"/>
      <c r="BK494" s="84"/>
      <c r="BL494" s="84"/>
      <c r="BM494" s="84"/>
      <c r="BN494" s="84"/>
      <c r="BO494" s="84"/>
      <c r="BP494" s="84"/>
      <c r="BQ494" s="84"/>
      <c r="BR494" s="84"/>
    </row>
    <row r="495" spans="1:70" ht="15.75" customHeight="1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  <c r="AL495" s="84"/>
      <c r="AM495" s="84"/>
      <c r="AN495" s="84"/>
      <c r="AO495" s="84"/>
      <c r="AP495" s="84"/>
      <c r="AQ495" s="84"/>
      <c r="AR495" s="84"/>
      <c r="AS495" s="84"/>
      <c r="AT495" s="84"/>
      <c r="AU495" s="84"/>
      <c r="AV495" s="84"/>
      <c r="AW495" s="84"/>
      <c r="AX495" s="84"/>
      <c r="AY495" s="84"/>
      <c r="AZ495" s="84"/>
      <c r="BA495" s="84"/>
      <c r="BB495" s="84"/>
      <c r="BC495" s="84"/>
      <c r="BD495" s="84"/>
      <c r="BE495" s="84"/>
      <c r="BF495" s="84"/>
      <c r="BG495" s="84"/>
      <c r="BH495" s="84"/>
      <c r="BI495" s="84"/>
      <c r="BJ495" s="84"/>
      <c r="BK495" s="84"/>
      <c r="BL495" s="84"/>
      <c r="BM495" s="84"/>
      <c r="BN495" s="84"/>
      <c r="BO495" s="84"/>
      <c r="BP495" s="84"/>
      <c r="BQ495" s="84"/>
      <c r="BR495" s="84"/>
    </row>
    <row r="496" spans="1:70" ht="15.75" customHeight="1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84"/>
      <c r="AV496" s="84"/>
      <c r="AW496" s="84"/>
      <c r="AX496" s="84"/>
      <c r="AY496" s="84"/>
      <c r="AZ496" s="84"/>
      <c r="BA496" s="84"/>
      <c r="BB496" s="84"/>
      <c r="BC496" s="84"/>
      <c r="BD496" s="84"/>
      <c r="BE496" s="84"/>
      <c r="BF496" s="84"/>
      <c r="BG496" s="84"/>
      <c r="BH496" s="84"/>
      <c r="BI496" s="84"/>
      <c r="BJ496" s="84"/>
      <c r="BK496" s="84"/>
      <c r="BL496" s="84"/>
      <c r="BM496" s="84"/>
      <c r="BN496" s="84"/>
      <c r="BO496" s="84"/>
      <c r="BP496" s="84"/>
      <c r="BQ496" s="84"/>
      <c r="BR496" s="84"/>
    </row>
    <row r="497" spans="1:70" ht="15.75" customHeight="1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84"/>
      <c r="AV497" s="84"/>
      <c r="AW497" s="84"/>
      <c r="AX497" s="84"/>
      <c r="AY497" s="84"/>
      <c r="AZ497" s="84"/>
      <c r="BA497" s="84"/>
      <c r="BB497" s="84"/>
      <c r="BC497" s="84"/>
      <c r="BD497" s="84"/>
      <c r="BE497" s="84"/>
      <c r="BF497" s="84"/>
      <c r="BG497" s="84"/>
      <c r="BH497" s="84"/>
      <c r="BI497" s="84"/>
      <c r="BJ497" s="84"/>
      <c r="BK497" s="84"/>
      <c r="BL497" s="84"/>
      <c r="BM497" s="84"/>
      <c r="BN497" s="84"/>
      <c r="BO497" s="84"/>
      <c r="BP497" s="84"/>
      <c r="BQ497" s="84"/>
      <c r="BR497" s="84"/>
    </row>
    <row r="498" spans="1:70" ht="15.75" customHeight="1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  <c r="AY498" s="84"/>
      <c r="AZ498" s="84"/>
      <c r="BA498" s="84"/>
      <c r="BB498" s="84"/>
      <c r="BC498" s="84"/>
      <c r="BD498" s="84"/>
      <c r="BE498" s="84"/>
      <c r="BF498" s="84"/>
      <c r="BG498" s="84"/>
      <c r="BH498" s="84"/>
      <c r="BI498" s="84"/>
      <c r="BJ498" s="84"/>
      <c r="BK498" s="84"/>
      <c r="BL498" s="84"/>
      <c r="BM498" s="84"/>
      <c r="BN498" s="84"/>
      <c r="BO498" s="84"/>
      <c r="BP498" s="84"/>
      <c r="BQ498" s="84"/>
      <c r="BR498" s="84"/>
    </row>
    <row r="499" spans="1:70" ht="15.75" customHeight="1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84"/>
      <c r="AW499" s="84"/>
      <c r="AX499" s="84"/>
      <c r="AY499" s="84"/>
      <c r="AZ499" s="84"/>
      <c r="BA499" s="84"/>
      <c r="BB499" s="84"/>
      <c r="BC499" s="84"/>
      <c r="BD499" s="84"/>
      <c r="BE499" s="84"/>
      <c r="BF499" s="84"/>
      <c r="BG499" s="84"/>
      <c r="BH499" s="84"/>
      <c r="BI499" s="84"/>
      <c r="BJ499" s="84"/>
      <c r="BK499" s="84"/>
      <c r="BL499" s="84"/>
      <c r="BM499" s="84"/>
      <c r="BN499" s="84"/>
      <c r="BO499" s="84"/>
      <c r="BP499" s="84"/>
      <c r="BQ499" s="84"/>
      <c r="BR499" s="84"/>
    </row>
    <row r="500" spans="1:70" ht="15.75" customHeight="1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  <c r="AL500" s="84"/>
      <c r="AM500" s="84"/>
      <c r="AN500" s="84"/>
      <c r="AO500" s="84"/>
      <c r="AP500" s="84"/>
      <c r="AQ500" s="84"/>
      <c r="AR500" s="84"/>
      <c r="AS500" s="84"/>
      <c r="AT500" s="84"/>
      <c r="AU500" s="84"/>
      <c r="AV500" s="84"/>
      <c r="AW500" s="84"/>
      <c r="AX500" s="84"/>
      <c r="AY500" s="84"/>
      <c r="AZ500" s="84"/>
      <c r="BA500" s="84"/>
      <c r="BB500" s="84"/>
      <c r="BC500" s="84"/>
      <c r="BD500" s="84"/>
      <c r="BE500" s="84"/>
      <c r="BF500" s="84"/>
      <c r="BG500" s="84"/>
      <c r="BH500" s="84"/>
      <c r="BI500" s="84"/>
      <c r="BJ500" s="84"/>
      <c r="BK500" s="84"/>
      <c r="BL500" s="84"/>
      <c r="BM500" s="84"/>
      <c r="BN500" s="84"/>
      <c r="BO500" s="84"/>
      <c r="BP500" s="84"/>
      <c r="BQ500" s="84"/>
      <c r="BR500" s="84"/>
    </row>
    <row r="501" spans="1:70" ht="15.75" customHeight="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84"/>
      <c r="AS501" s="84"/>
      <c r="AT501" s="84"/>
      <c r="AU501" s="84"/>
      <c r="AV501" s="84"/>
      <c r="AW501" s="84"/>
      <c r="AX501" s="84"/>
      <c r="AY501" s="84"/>
      <c r="AZ501" s="84"/>
      <c r="BA501" s="84"/>
      <c r="BB501" s="84"/>
      <c r="BC501" s="84"/>
      <c r="BD501" s="84"/>
      <c r="BE501" s="84"/>
      <c r="BF501" s="84"/>
      <c r="BG501" s="84"/>
      <c r="BH501" s="84"/>
      <c r="BI501" s="84"/>
      <c r="BJ501" s="84"/>
      <c r="BK501" s="84"/>
      <c r="BL501" s="84"/>
      <c r="BM501" s="84"/>
      <c r="BN501" s="84"/>
      <c r="BO501" s="84"/>
      <c r="BP501" s="84"/>
      <c r="BQ501" s="84"/>
      <c r="BR501" s="84"/>
    </row>
    <row r="502" spans="1:70" ht="15.75" customHeight="1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  <c r="AL502" s="84"/>
      <c r="AM502" s="84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  <c r="AY502" s="84"/>
      <c r="AZ502" s="84"/>
      <c r="BA502" s="84"/>
      <c r="BB502" s="84"/>
      <c r="BC502" s="84"/>
      <c r="BD502" s="84"/>
      <c r="BE502" s="84"/>
      <c r="BF502" s="84"/>
      <c r="BG502" s="84"/>
      <c r="BH502" s="84"/>
      <c r="BI502" s="84"/>
      <c r="BJ502" s="84"/>
      <c r="BK502" s="84"/>
      <c r="BL502" s="84"/>
      <c r="BM502" s="84"/>
      <c r="BN502" s="84"/>
      <c r="BO502" s="84"/>
      <c r="BP502" s="84"/>
      <c r="BQ502" s="84"/>
      <c r="BR502" s="84"/>
    </row>
    <row r="503" spans="1:70" ht="15.75" customHeight="1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  <c r="AL503" s="84"/>
      <c r="AM503" s="84"/>
      <c r="AN503" s="84"/>
      <c r="AO503" s="84"/>
      <c r="AP503" s="84"/>
      <c r="AQ503" s="84"/>
      <c r="AR503" s="84"/>
      <c r="AS503" s="84"/>
      <c r="AT503" s="84"/>
      <c r="AU503" s="84"/>
      <c r="AV503" s="84"/>
      <c r="AW503" s="84"/>
      <c r="AX503" s="84"/>
      <c r="AY503" s="84"/>
      <c r="AZ503" s="84"/>
      <c r="BA503" s="84"/>
      <c r="BB503" s="84"/>
      <c r="BC503" s="84"/>
      <c r="BD503" s="84"/>
      <c r="BE503" s="84"/>
      <c r="BF503" s="84"/>
      <c r="BG503" s="84"/>
      <c r="BH503" s="84"/>
      <c r="BI503" s="84"/>
      <c r="BJ503" s="84"/>
      <c r="BK503" s="84"/>
      <c r="BL503" s="84"/>
      <c r="BM503" s="84"/>
      <c r="BN503" s="84"/>
      <c r="BO503" s="84"/>
      <c r="BP503" s="84"/>
      <c r="BQ503" s="84"/>
      <c r="BR503" s="84"/>
    </row>
    <row r="504" spans="1:70" ht="15.75" customHeight="1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84"/>
      <c r="AW504" s="84"/>
      <c r="AX504" s="84"/>
      <c r="AY504" s="84"/>
      <c r="AZ504" s="84"/>
      <c r="BA504" s="84"/>
      <c r="BB504" s="84"/>
      <c r="BC504" s="84"/>
      <c r="BD504" s="84"/>
      <c r="BE504" s="84"/>
      <c r="BF504" s="84"/>
      <c r="BG504" s="84"/>
      <c r="BH504" s="84"/>
      <c r="BI504" s="84"/>
      <c r="BJ504" s="84"/>
      <c r="BK504" s="84"/>
      <c r="BL504" s="84"/>
      <c r="BM504" s="84"/>
      <c r="BN504" s="84"/>
      <c r="BO504" s="84"/>
      <c r="BP504" s="84"/>
      <c r="BQ504" s="84"/>
      <c r="BR504" s="84"/>
    </row>
    <row r="505" spans="1:70" ht="15.75" customHeight="1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84"/>
      <c r="AW505" s="84"/>
      <c r="AX505" s="84"/>
      <c r="AY505" s="84"/>
      <c r="AZ505" s="84"/>
      <c r="BA505" s="84"/>
      <c r="BB505" s="84"/>
      <c r="BC505" s="84"/>
      <c r="BD505" s="84"/>
      <c r="BE505" s="84"/>
      <c r="BF505" s="84"/>
      <c r="BG505" s="84"/>
      <c r="BH505" s="84"/>
      <c r="BI505" s="84"/>
      <c r="BJ505" s="84"/>
      <c r="BK505" s="84"/>
      <c r="BL505" s="84"/>
      <c r="BM505" s="84"/>
      <c r="BN505" s="84"/>
      <c r="BO505" s="84"/>
      <c r="BP505" s="84"/>
      <c r="BQ505" s="84"/>
      <c r="BR505" s="84"/>
    </row>
    <row r="506" spans="1:70" ht="15.75" customHeight="1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  <c r="AY506" s="84"/>
      <c r="AZ506" s="84"/>
      <c r="BA506" s="84"/>
      <c r="BB506" s="84"/>
      <c r="BC506" s="84"/>
      <c r="BD506" s="84"/>
      <c r="BE506" s="84"/>
      <c r="BF506" s="84"/>
      <c r="BG506" s="84"/>
      <c r="BH506" s="84"/>
      <c r="BI506" s="84"/>
      <c r="BJ506" s="84"/>
      <c r="BK506" s="84"/>
      <c r="BL506" s="84"/>
      <c r="BM506" s="84"/>
      <c r="BN506" s="84"/>
      <c r="BO506" s="84"/>
      <c r="BP506" s="84"/>
      <c r="BQ506" s="84"/>
      <c r="BR506" s="84"/>
    </row>
    <row r="507" spans="1:70" ht="15.75" customHeight="1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84"/>
      <c r="AV507" s="84"/>
      <c r="AW507" s="84"/>
      <c r="AX507" s="84"/>
      <c r="AY507" s="84"/>
      <c r="AZ507" s="84"/>
      <c r="BA507" s="84"/>
      <c r="BB507" s="84"/>
      <c r="BC507" s="84"/>
      <c r="BD507" s="84"/>
      <c r="BE507" s="84"/>
      <c r="BF507" s="84"/>
      <c r="BG507" s="84"/>
      <c r="BH507" s="84"/>
      <c r="BI507" s="84"/>
      <c r="BJ507" s="84"/>
      <c r="BK507" s="84"/>
      <c r="BL507" s="84"/>
      <c r="BM507" s="84"/>
      <c r="BN507" s="84"/>
      <c r="BO507" s="84"/>
      <c r="BP507" s="84"/>
      <c r="BQ507" s="84"/>
      <c r="BR507" s="84"/>
    </row>
    <row r="508" spans="1:70" ht="15.75" customHeight="1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84"/>
      <c r="AV508" s="84"/>
      <c r="AW508" s="84"/>
      <c r="AX508" s="84"/>
      <c r="AY508" s="84"/>
      <c r="AZ508" s="84"/>
      <c r="BA508" s="84"/>
      <c r="BB508" s="84"/>
      <c r="BC508" s="84"/>
      <c r="BD508" s="84"/>
      <c r="BE508" s="84"/>
      <c r="BF508" s="84"/>
      <c r="BG508" s="84"/>
      <c r="BH508" s="84"/>
      <c r="BI508" s="84"/>
      <c r="BJ508" s="84"/>
      <c r="BK508" s="84"/>
      <c r="BL508" s="84"/>
      <c r="BM508" s="84"/>
      <c r="BN508" s="84"/>
      <c r="BO508" s="84"/>
      <c r="BP508" s="84"/>
      <c r="BQ508" s="84"/>
      <c r="BR508" s="84"/>
    </row>
    <row r="509" spans="1:70" ht="15.75" customHeight="1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  <c r="AL509" s="84"/>
      <c r="AM509" s="84"/>
      <c r="AN509" s="84"/>
      <c r="AO509" s="84"/>
      <c r="AP509" s="84"/>
      <c r="AQ509" s="84"/>
      <c r="AR509" s="84"/>
      <c r="AS509" s="84"/>
      <c r="AT509" s="84"/>
      <c r="AU509" s="84"/>
      <c r="AV509" s="84"/>
      <c r="AW509" s="84"/>
      <c r="AX509" s="84"/>
      <c r="AY509" s="84"/>
      <c r="AZ509" s="84"/>
      <c r="BA509" s="84"/>
      <c r="BB509" s="84"/>
      <c r="BC509" s="84"/>
      <c r="BD509" s="84"/>
      <c r="BE509" s="84"/>
      <c r="BF509" s="84"/>
      <c r="BG509" s="84"/>
      <c r="BH509" s="84"/>
      <c r="BI509" s="84"/>
      <c r="BJ509" s="84"/>
      <c r="BK509" s="84"/>
      <c r="BL509" s="84"/>
      <c r="BM509" s="84"/>
      <c r="BN509" s="84"/>
      <c r="BO509" s="84"/>
      <c r="BP509" s="84"/>
      <c r="BQ509" s="84"/>
      <c r="BR509" s="84"/>
    </row>
    <row r="510" spans="1:70" ht="15.75" customHeight="1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  <c r="AL510" s="84"/>
      <c r="AM510" s="84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  <c r="AY510" s="84"/>
      <c r="AZ510" s="84"/>
      <c r="BA510" s="84"/>
      <c r="BB510" s="84"/>
      <c r="BC510" s="84"/>
      <c r="BD510" s="84"/>
      <c r="BE510" s="84"/>
      <c r="BF510" s="84"/>
      <c r="BG510" s="84"/>
      <c r="BH510" s="84"/>
      <c r="BI510" s="84"/>
      <c r="BJ510" s="84"/>
      <c r="BK510" s="84"/>
      <c r="BL510" s="84"/>
      <c r="BM510" s="84"/>
      <c r="BN510" s="84"/>
      <c r="BO510" s="84"/>
      <c r="BP510" s="84"/>
      <c r="BQ510" s="84"/>
      <c r="BR510" s="84"/>
    </row>
    <row r="511" spans="1:70" ht="15.75" customHeight="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84"/>
      <c r="AR511" s="84"/>
      <c r="AS511" s="84"/>
      <c r="AT511" s="84"/>
      <c r="AU511" s="84"/>
      <c r="AV511" s="84"/>
      <c r="AW511" s="84"/>
      <c r="AX511" s="84"/>
      <c r="AY511" s="84"/>
      <c r="AZ511" s="84"/>
      <c r="BA511" s="84"/>
      <c r="BB511" s="84"/>
      <c r="BC511" s="84"/>
      <c r="BD511" s="84"/>
      <c r="BE511" s="84"/>
      <c r="BF511" s="84"/>
      <c r="BG511" s="84"/>
      <c r="BH511" s="84"/>
      <c r="BI511" s="84"/>
      <c r="BJ511" s="84"/>
      <c r="BK511" s="84"/>
      <c r="BL511" s="84"/>
      <c r="BM511" s="84"/>
      <c r="BN511" s="84"/>
      <c r="BO511" s="84"/>
      <c r="BP511" s="84"/>
      <c r="BQ511" s="84"/>
      <c r="BR511" s="84"/>
    </row>
    <row r="512" spans="1:70" ht="15.75" customHeight="1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84"/>
      <c r="AW512" s="84"/>
      <c r="AX512" s="84"/>
      <c r="AY512" s="84"/>
      <c r="AZ512" s="84"/>
      <c r="BA512" s="84"/>
      <c r="BB512" s="84"/>
      <c r="BC512" s="84"/>
      <c r="BD512" s="84"/>
      <c r="BE512" s="84"/>
      <c r="BF512" s="84"/>
      <c r="BG512" s="84"/>
      <c r="BH512" s="84"/>
      <c r="BI512" s="84"/>
      <c r="BJ512" s="84"/>
      <c r="BK512" s="84"/>
      <c r="BL512" s="84"/>
      <c r="BM512" s="84"/>
      <c r="BN512" s="84"/>
      <c r="BO512" s="84"/>
      <c r="BP512" s="84"/>
      <c r="BQ512" s="84"/>
      <c r="BR512" s="84"/>
    </row>
    <row r="513" spans="1:70" ht="15.75" customHeight="1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84"/>
      <c r="AU513" s="84"/>
      <c r="AV513" s="84"/>
      <c r="AW513" s="84"/>
      <c r="AX513" s="84"/>
      <c r="AY513" s="84"/>
      <c r="AZ513" s="84"/>
      <c r="BA513" s="84"/>
      <c r="BB513" s="84"/>
      <c r="BC513" s="84"/>
      <c r="BD513" s="84"/>
      <c r="BE513" s="84"/>
      <c r="BF513" s="84"/>
      <c r="BG513" s="84"/>
      <c r="BH513" s="84"/>
      <c r="BI513" s="84"/>
      <c r="BJ513" s="84"/>
      <c r="BK513" s="84"/>
      <c r="BL513" s="84"/>
      <c r="BM513" s="84"/>
      <c r="BN513" s="84"/>
      <c r="BO513" s="84"/>
      <c r="BP513" s="84"/>
      <c r="BQ513" s="84"/>
      <c r="BR513" s="84"/>
    </row>
    <row r="514" spans="1:70" ht="15.75" customHeight="1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  <c r="AY514" s="84"/>
      <c r="AZ514" s="84"/>
      <c r="BA514" s="84"/>
      <c r="BB514" s="84"/>
      <c r="BC514" s="84"/>
      <c r="BD514" s="84"/>
      <c r="BE514" s="84"/>
      <c r="BF514" s="84"/>
      <c r="BG514" s="84"/>
      <c r="BH514" s="84"/>
      <c r="BI514" s="84"/>
      <c r="BJ514" s="84"/>
      <c r="BK514" s="84"/>
      <c r="BL514" s="84"/>
      <c r="BM514" s="84"/>
      <c r="BN514" s="84"/>
      <c r="BO514" s="84"/>
      <c r="BP514" s="84"/>
      <c r="BQ514" s="84"/>
      <c r="BR514" s="84"/>
    </row>
    <row r="515" spans="1:70" ht="15.75" customHeight="1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84"/>
      <c r="AV515" s="84"/>
      <c r="AW515" s="84"/>
      <c r="AX515" s="84"/>
      <c r="AY515" s="84"/>
      <c r="AZ515" s="84"/>
      <c r="BA515" s="84"/>
      <c r="BB515" s="84"/>
      <c r="BC515" s="84"/>
      <c r="BD515" s="84"/>
      <c r="BE515" s="84"/>
      <c r="BF515" s="84"/>
      <c r="BG515" s="84"/>
      <c r="BH515" s="84"/>
      <c r="BI515" s="84"/>
      <c r="BJ515" s="84"/>
      <c r="BK515" s="84"/>
      <c r="BL515" s="84"/>
      <c r="BM515" s="84"/>
      <c r="BN515" s="84"/>
      <c r="BO515" s="84"/>
      <c r="BP515" s="84"/>
      <c r="BQ515" s="84"/>
      <c r="BR515" s="84"/>
    </row>
    <row r="516" spans="1:70" ht="15.75" customHeight="1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84"/>
      <c r="AW516" s="84"/>
      <c r="AX516" s="84"/>
      <c r="AY516" s="84"/>
      <c r="AZ516" s="84"/>
      <c r="BA516" s="84"/>
      <c r="BB516" s="84"/>
      <c r="BC516" s="84"/>
      <c r="BD516" s="84"/>
      <c r="BE516" s="84"/>
      <c r="BF516" s="84"/>
      <c r="BG516" s="84"/>
      <c r="BH516" s="84"/>
      <c r="BI516" s="84"/>
      <c r="BJ516" s="84"/>
      <c r="BK516" s="84"/>
      <c r="BL516" s="84"/>
      <c r="BM516" s="84"/>
      <c r="BN516" s="84"/>
      <c r="BO516" s="84"/>
      <c r="BP516" s="84"/>
      <c r="BQ516" s="84"/>
      <c r="BR516" s="84"/>
    </row>
    <row r="517" spans="1:70" ht="15.75" customHeight="1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  <c r="AL517" s="84"/>
      <c r="AM517" s="84"/>
      <c r="AN517" s="84"/>
      <c r="AO517" s="84"/>
      <c r="AP517" s="84"/>
      <c r="AQ517" s="84"/>
      <c r="AR517" s="84"/>
      <c r="AS517" s="84"/>
      <c r="AT517" s="84"/>
      <c r="AU517" s="84"/>
      <c r="AV517" s="84"/>
      <c r="AW517" s="84"/>
      <c r="AX517" s="84"/>
      <c r="AY517" s="84"/>
      <c r="AZ517" s="84"/>
      <c r="BA517" s="84"/>
      <c r="BB517" s="84"/>
      <c r="BC517" s="84"/>
      <c r="BD517" s="84"/>
      <c r="BE517" s="84"/>
      <c r="BF517" s="84"/>
      <c r="BG517" s="84"/>
      <c r="BH517" s="84"/>
      <c r="BI517" s="84"/>
      <c r="BJ517" s="84"/>
      <c r="BK517" s="84"/>
      <c r="BL517" s="84"/>
      <c r="BM517" s="84"/>
      <c r="BN517" s="84"/>
      <c r="BO517" s="84"/>
      <c r="BP517" s="84"/>
      <c r="BQ517" s="84"/>
      <c r="BR517" s="84"/>
    </row>
    <row r="518" spans="1:70" ht="15.75" customHeight="1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  <c r="AL518" s="84"/>
      <c r="AM518" s="84"/>
      <c r="AN518" s="84"/>
      <c r="AO518" s="84"/>
      <c r="AP518" s="84"/>
      <c r="AQ518" s="84"/>
      <c r="AR518" s="84"/>
      <c r="AS518" s="84"/>
      <c r="AT518" s="84"/>
      <c r="AU518" s="84"/>
      <c r="AV518" s="84"/>
      <c r="AW518" s="84"/>
      <c r="AX518" s="84"/>
      <c r="AY518" s="84"/>
      <c r="AZ518" s="84"/>
      <c r="BA518" s="84"/>
      <c r="BB518" s="84"/>
      <c r="BC518" s="84"/>
      <c r="BD518" s="84"/>
      <c r="BE518" s="84"/>
      <c r="BF518" s="84"/>
      <c r="BG518" s="84"/>
      <c r="BH518" s="84"/>
      <c r="BI518" s="84"/>
      <c r="BJ518" s="84"/>
      <c r="BK518" s="84"/>
      <c r="BL518" s="84"/>
      <c r="BM518" s="84"/>
      <c r="BN518" s="84"/>
      <c r="BO518" s="84"/>
      <c r="BP518" s="84"/>
      <c r="BQ518" s="84"/>
      <c r="BR518" s="84"/>
    </row>
    <row r="519" spans="1:70" ht="15.75" customHeight="1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  <c r="AL519" s="84"/>
      <c r="AM519" s="84"/>
      <c r="AN519" s="84"/>
      <c r="AO519" s="84"/>
      <c r="AP519" s="84"/>
      <c r="AQ519" s="84"/>
      <c r="AR519" s="84"/>
      <c r="AS519" s="84"/>
      <c r="AT519" s="84"/>
      <c r="AU519" s="84"/>
      <c r="AV519" s="84"/>
      <c r="AW519" s="84"/>
      <c r="AX519" s="84"/>
      <c r="AY519" s="84"/>
      <c r="AZ519" s="84"/>
      <c r="BA519" s="84"/>
      <c r="BB519" s="84"/>
      <c r="BC519" s="84"/>
      <c r="BD519" s="84"/>
      <c r="BE519" s="84"/>
      <c r="BF519" s="84"/>
      <c r="BG519" s="84"/>
      <c r="BH519" s="84"/>
      <c r="BI519" s="84"/>
      <c r="BJ519" s="84"/>
      <c r="BK519" s="84"/>
      <c r="BL519" s="84"/>
      <c r="BM519" s="84"/>
      <c r="BN519" s="84"/>
      <c r="BO519" s="84"/>
      <c r="BP519" s="84"/>
      <c r="BQ519" s="84"/>
      <c r="BR519" s="84"/>
    </row>
    <row r="520" spans="1:70" ht="15.75" customHeight="1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  <c r="AL520" s="84"/>
      <c r="AM520" s="84"/>
      <c r="AN520" s="84"/>
      <c r="AO520" s="84"/>
      <c r="AP520" s="84"/>
      <c r="AQ520" s="84"/>
      <c r="AR520" s="84"/>
      <c r="AS520" s="84"/>
      <c r="AT520" s="84"/>
      <c r="AU520" s="84"/>
      <c r="AV520" s="84"/>
      <c r="AW520" s="84"/>
      <c r="AX520" s="84"/>
      <c r="AY520" s="84"/>
      <c r="AZ520" s="84"/>
      <c r="BA520" s="84"/>
      <c r="BB520" s="84"/>
      <c r="BC520" s="84"/>
      <c r="BD520" s="84"/>
      <c r="BE520" s="84"/>
      <c r="BF520" s="84"/>
      <c r="BG520" s="84"/>
      <c r="BH520" s="84"/>
      <c r="BI520" s="84"/>
      <c r="BJ520" s="84"/>
      <c r="BK520" s="84"/>
      <c r="BL520" s="84"/>
      <c r="BM520" s="84"/>
      <c r="BN520" s="84"/>
      <c r="BO520" s="84"/>
      <c r="BP520" s="84"/>
      <c r="BQ520" s="84"/>
      <c r="BR520" s="84"/>
    </row>
    <row r="521" spans="1:70" ht="15.75" customHeight="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  <c r="AL521" s="84"/>
      <c r="AM521" s="84"/>
      <c r="AN521" s="84"/>
      <c r="AO521" s="84"/>
      <c r="AP521" s="84"/>
      <c r="AQ521" s="84"/>
      <c r="AR521" s="84"/>
      <c r="AS521" s="84"/>
      <c r="AT521" s="84"/>
      <c r="AU521" s="84"/>
      <c r="AV521" s="84"/>
      <c r="AW521" s="84"/>
      <c r="AX521" s="84"/>
      <c r="AY521" s="84"/>
      <c r="AZ521" s="84"/>
      <c r="BA521" s="84"/>
      <c r="BB521" s="84"/>
      <c r="BC521" s="84"/>
      <c r="BD521" s="84"/>
      <c r="BE521" s="84"/>
      <c r="BF521" s="84"/>
      <c r="BG521" s="84"/>
      <c r="BH521" s="84"/>
      <c r="BI521" s="84"/>
      <c r="BJ521" s="84"/>
      <c r="BK521" s="84"/>
      <c r="BL521" s="84"/>
      <c r="BM521" s="84"/>
      <c r="BN521" s="84"/>
      <c r="BO521" s="84"/>
      <c r="BP521" s="84"/>
      <c r="BQ521" s="84"/>
      <c r="BR521" s="84"/>
    </row>
    <row r="522" spans="1:70" ht="15.75" customHeight="1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  <c r="AL522" s="84"/>
      <c r="AM522" s="84"/>
      <c r="AN522" s="84"/>
      <c r="AO522" s="84"/>
      <c r="AP522" s="84"/>
      <c r="AQ522" s="84"/>
      <c r="AR522" s="84"/>
      <c r="AS522" s="84"/>
      <c r="AT522" s="84"/>
      <c r="AU522" s="84"/>
      <c r="AV522" s="84"/>
      <c r="AW522" s="84"/>
      <c r="AX522" s="84"/>
      <c r="AY522" s="84"/>
      <c r="AZ522" s="84"/>
      <c r="BA522" s="84"/>
      <c r="BB522" s="84"/>
      <c r="BC522" s="84"/>
      <c r="BD522" s="84"/>
      <c r="BE522" s="84"/>
      <c r="BF522" s="84"/>
      <c r="BG522" s="84"/>
      <c r="BH522" s="84"/>
      <c r="BI522" s="84"/>
      <c r="BJ522" s="84"/>
      <c r="BK522" s="84"/>
      <c r="BL522" s="84"/>
      <c r="BM522" s="84"/>
      <c r="BN522" s="84"/>
      <c r="BO522" s="84"/>
      <c r="BP522" s="84"/>
      <c r="BQ522" s="84"/>
      <c r="BR522" s="84"/>
    </row>
    <row r="523" spans="1:70" ht="15.75" customHeight="1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  <c r="AL523" s="84"/>
      <c r="AM523" s="84"/>
      <c r="AN523" s="84"/>
      <c r="AO523" s="84"/>
      <c r="AP523" s="84"/>
      <c r="AQ523" s="84"/>
      <c r="AR523" s="84"/>
      <c r="AS523" s="84"/>
      <c r="AT523" s="84"/>
      <c r="AU523" s="84"/>
      <c r="AV523" s="84"/>
      <c r="AW523" s="84"/>
      <c r="AX523" s="84"/>
      <c r="AY523" s="84"/>
      <c r="AZ523" s="84"/>
      <c r="BA523" s="84"/>
      <c r="BB523" s="84"/>
      <c r="BC523" s="84"/>
      <c r="BD523" s="84"/>
      <c r="BE523" s="84"/>
      <c r="BF523" s="84"/>
      <c r="BG523" s="84"/>
      <c r="BH523" s="84"/>
      <c r="BI523" s="84"/>
      <c r="BJ523" s="84"/>
      <c r="BK523" s="84"/>
      <c r="BL523" s="84"/>
      <c r="BM523" s="84"/>
      <c r="BN523" s="84"/>
      <c r="BO523" s="84"/>
      <c r="BP523" s="84"/>
      <c r="BQ523" s="84"/>
      <c r="BR523" s="84"/>
    </row>
    <row r="524" spans="1:70" ht="15.75" customHeight="1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  <c r="AL524" s="84"/>
      <c r="AM524" s="84"/>
      <c r="AN524" s="84"/>
      <c r="AO524" s="84"/>
      <c r="AP524" s="84"/>
      <c r="AQ524" s="84"/>
      <c r="AR524" s="84"/>
      <c r="AS524" s="84"/>
      <c r="AT524" s="84"/>
      <c r="AU524" s="84"/>
      <c r="AV524" s="84"/>
      <c r="AW524" s="84"/>
      <c r="AX524" s="84"/>
      <c r="AY524" s="84"/>
      <c r="AZ524" s="84"/>
      <c r="BA524" s="84"/>
      <c r="BB524" s="84"/>
      <c r="BC524" s="84"/>
      <c r="BD524" s="84"/>
      <c r="BE524" s="84"/>
      <c r="BF524" s="84"/>
      <c r="BG524" s="84"/>
      <c r="BH524" s="84"/>
      <c r="BI524" s="84"/>
      <c r="BJ524" s="84"/>
      <c r="BK524" s="84"/>
      <c r="BL524" s="84"/>
      <c r="BM524" s="84"/>
      <c r="BN524" s="84"/>
      <c r="BO524" s="84"/>
      <c r="BP524" s="84"/>
      <c r="BQ524" s="84"/>
      <c r="BR524" s="84"/>
    </row>
    <row r="525" spans="1:70" ht="15.75" customHeight="1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  <c r="AL525" s="84"/>
      <c r="AM525" s="84"/>
      <c r="AN525" s="84"/>
      <c r="AO525" s="84"/>
      <c r="AP525" s="84"/>
      <c r="AQ525" s="84"/>
      <c r="AR525" s="84"/>
      <c r="AS525" s="84"/>
      <c r="AT525" s="84"/>
      <c r="AU525" s="84"/>
      <c r="AV525" s="84"/>
      <c r="AW525" s="84"/>
      <c r="AX525" s="84"/>
      <c r="AY525" s="84"/>
      <c r="AZ525" s="84"/>
      <c r="BA525" s="84"/>
      <c r="BB525" s="84"/>
      <c r="BC525" s="84"/>
      <c r="BD525" s="84"/>
      <c r="BE525" s="84"/>
      <c r="BF525" s="84"/>
      <c r="BG525" s="84"/>
      <c r="BH525" s="84"/>
      <c r="BI525" s="84"/>
      <c r="BJ525" s="84"/>
      <c r="BK525" s="84"/>
      <c r="BL525" s="84"/>
      <c r="BM525" s="84"/>
      <c r="BN525" s="84"/>
      <c r="BO525" s="84"/>
      <c r="BP525" s="84"/>
      <c r="BQ525" s="84"/>
      <c r="BR525" s="84"/>
    </row>
    <row r="526" spans="1:70" ht="15.75" customHeight="1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  <c r="AL526" s="84"/>
      <c r="AM526" s="84"/>
      <c r="AN526" s="84"/>
      <c r="AO526" s="84"/>
      <c r="AP526" s="84"/>
      <c r="AQ526" s="84"/>
      <c r="AR526" s="84"/>
      <c r="AS526" s="84"/>
      <c r="AT526" s="84"/>
      <c r="AU526" s="84"/>
      <c r="AV526" s="84"/>
      <c r="AW526" s="84"/>
      <c r="AX526" s="84"/>
      <c r="AY526" s="84"/>
      <c r="AZ526" s="84"/>
      <c r="BA526" s="84"/>
      <c r="BB526" s="84"/>
      <c r="BC526" s="84"/>
      <c r="BD526" s="84"/>
      <c r="BE526" s="84"/>
      <c r="BF526" s="84"/>
      <c r="BG526" s="84"/>
      <c r="BH526" s="84"/>
      <c r="BI526" s="84"/>
      <c r="BJ526" s="84"/>
      <c r="BK526" s="84"/>
      <c r="BL526" s="84"/>
      <c r="BM526" s="84"/>
      <c r="BN526" s="84"/>
      <c r="BO526" s="84"/>
      <c r="BP526" s="84"/>
      <c r="BQ526" s="84"/>
      <c r="BR526" s="84"/>
    </row>
    <row r="527" spans="1:70" ht="15.75" customHeight="1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  <c r="AL527" s="84"/>
      <c r="AM527" s="84"/>
      <c r="AN527" s="84"/>
      <c r="AO527" s="84"/>
      <c r="AP527" s="84"/>
      <c r="AQ527" s="84"/>
      <c r="AR527" s="84"/>
      <c r="AS527" s="84"/>
      <c r="AT527" s="84"/>
      <c r="AU527" s="84"/>
      <c r="AV527" s="84"/>
      <c r="AW527" s="84"/>
      <c r="AX527" s="84"/>
      <c r="AY527" s="84"/>
      <c r="AZ527" s="84"/>
      <c r="BA527" s="84"/>
      <c r="BB527" s="84"/>
      <c r="BC527" s="84"/>
      <c r="BD527" s="84"/>
      <c r="BE527" s="84"/>
      <c r="BF527" s="84"/>
      <c r="BG527" s="84"/>
      <c r="BH527" s="84"/>
      <c r="BI527" s="84"/>
      <c r="BJ527" s="84"/>
      <c r="BK527" s="84"/>
      <c r="BL527" s="84"/>
      <c r="BM527" s="84"/>
      <c r="BN527" s="84"/>
      <c r="BO527" s="84"/>
      <c r="BP527" s="84"/>
      <c r="BQ527" s="84"/>
      <c r="BR527" s="84"/>
    </row>
    <row r="528" spans="1:70" ht="15.75" customHeight="1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  <c r="AL528" s="84"/>
      <c r="AM528" s="84"/>
      <c r="AN528" s="84"/>
      <c r="AO528" s="84"/>
      <c r="AP528" s="84"/>
      <c r="AQ528" s="84"/>
      <c r="AR528" s="84"/>
      <c r="AS528" s="84"/>
      <c r="AT528" s="84"/>
      <c r="AU528" s="84"/>
      <c r="AV528" s="84"/>
      <c r="AW528" s="84"/>
      <c r="AX528" s="84"/>
      <c r="AY528" s="84"/>
      <c r="AZ528" s="84"/>
      <c r="BA528" s="84"/>
      <c r="BB528" s="84"/>
      <c r="BC528" s="84"/>
      <c r="BD528" s="84"/>
      <c r="BE528" s="84"/>
      <c r="BF528" s="84"/>
      <c r="BG528" s="84"/>
      <c r="BH528" s="84"/>
      <c r="BI528" s="84"/>
      <c r="BJ528" s="84"/>
      <c r="BK528" s="84"/>
      <c r="BL528" s="84"/>
      <c r="BM528" s="84"/>
      <c r="BN528" s="84"/>
      <c r="BO528" s="84"/>
      <c r="BP528" s="84"/>
      <c r="BQ528" s="84"/>
      <c r="BR528" s="84"/>
    </row>
    <row r="529" spans="1:70" ht="15.75" customHeight="1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  <c r="AL529" s="84"/>
      <c r="AM529" s="84"/>
      <c r="AN529" s="84"/>
      <c r="AO529" s="84"/>
      <c r="AP529" s="84"/>
      <c r="AQ529" s="84"/>
      <c r="AR529" s="84"/>
      <c r="AS529" s="84"/>
      <c r="AT529" s="84"/>
      <c r="AU529" s="84"/>
      <c r="AV529" s="84"/>
      <c r="AW529" s="84"/>
      <c r="AX529" s="84"/>
      <c r="AY529" s="84"/>
      <c r="AZ529" s="84"/>
      <c r="BA529" s="84"/>
      <c r="BB529" s="84"/>
      <c r="BC529" s="84"/>
      <c r="BD529" s="84"/>
      <c r="BE529" s="84"/>
      <c r="BF529" s="84"/>
      <c r="BG529" s="84"/>
      <c r="BH529" s="84"/>
      <c r="BI529" s="84"/>
      <c r="BJ529" s="84"/>
      <c r="BK529" s="84"/>
      <c r="BL529" s="84"/>
      <c r="BM529" s="84"/>
      <c r="BN529" s="84"/>
      <c r="BO529" s="84"/>
      <c r="BP529" s="84"/>
      <c r="BQ529" s="84"/>
      <c r="BR529" s="84"/>
    </row>
    <row r="530" spans="1:70" ht="15.75" customHeight="1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  <c r="AL530" s="84"/>
      <c r="AM530" s="84"/>
      <c r="AN530" s="84"/>
      <c r="AO530" s="84"/>
      <c r="AP530" s="84"/>
      <c r="AQ530" s="84"/>
      <c r="AR530" s="84"/>
      <c r="AS530" s="84"/>
      <c r="AT530" s="84"/>
      <c r="AU530" s="84"/>
      <c r="AV530" s="84"/>
      <c r="AW530" s="84"/>
      <c r="AX530" s="84"/>
      <c r="AY530" s="84"/>
      <c r="AZ530" s="84"/>
      <c r="BA530" s="84"/>
      <c r="BB530" s="84"/>
      <c r="BC530" s="84"/>
      <c r="BD530" s="84"/>
      <c r="BE530" s="84"/>
      <c r="BF530" s="84"/>
      <c r="BG530" s="84"/>
      <c r="BH530" s="84"/>
      <c r="BI530" s="84"/>
      <c r="BJ530" s="84"/>
      <c r="BK530" s="84"/>
      <c r="BL530" s="84"/>
      <c r="BM530" s="84"/>
      <c r="BN530" s="84"/>
      <c r="BO530" s="84"/>
      <c r="BP530" s="84"/>
      <c r="BQ530" s="84"/>
      <c r="BR530" s="84"/>
    </row>
    <row r="531" spans="1:70" ht="15.75" customHeight="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  <c r="AL531" s="84"/>
      <c r="AM531" s="84"/>
      <c r="AN531" s="84"/>
      <c r="AO531" s="84"/>
      <c r="AP531" s="84"/>
      <c r="AQ531" s="84"/>
      <c r="AR531" s="84"/>
      <c r="AS531" s="84"/>
      <c r="AT531" s="84"/>
      <c r="AU531" s="84"/>
      <c r="AV531" s="84"/>
      <c r="AW531" s="84"/>
      <c r="AX531" s="84"/>
      <c r="AY531" s="84"/>
      <c r="AZ531" s="84"/>
      <c r="BA531" s="84"/>
      <c r="BB531" s="84"/>
      <c r="BC531" s="84"/>
      <c r="BD531" s="84"/>
      <c r="BE531" s="84"/>
      <c r="BF531" s="84"/>
      <c r="BG531" s="84"/>
      <c r="BH531" s="84"/>
      <c r="BI531" s="84"/>
      <c r="BJ531" s="84"/>
      <c r="BK531" s="84"/>
      <c r="BL531" s="84"/>
      <c r="BM531" s="84"/>
      <c r="BN531" s="84"/>
      <c r="BO531" s="84"/>
      <c r="BP531" s="84"/>
      <c r="BQ531" s="84"/>
      <c r="BR531" s="84"/>
    </row>
    <row r="532" spans="1:70" ht="15.75" customHeight="1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  <c r="AL532" s="84"/>
      <c r="AM532" s="84"/>
      <c r="AN532" s="84"/>
      <c r="AO532" s="84"/>
      <c r="AP532" s="84"/>
      <c r="AQ532" s="84"/>
      <c r="AR532" s="84"/>
      <c r="AS532" s="84"/>
      <c r="AT532" s="84"/>
      <c r="AU532" s="84"/>
      <c r="AV532" s="84"/>
      <c r="AW532" s="84"/>
      <c r="AX532" s="84"/>
      <c r="AY532" s="84"/>
      <c r="AZ532" s="84"/>
      <c r="BA532" s="84"/>
      <c r="BB532" s="84"/>
      <c r="BC532" s="84"/>
      <c r="BD532" s="84"/>
      <c r="BE532" s="84"/>
      <c r="BF532" s="84"/>
      <c r="BG532" s="84"/>
      <c r="BH532" s="84"/>
      <c r="BI532" s="84"/>
      <c r="BJ532" s="84"/>
      <c r="BK532" s="84"/>
      <c r="BL532" s="84"/>
      <c r="BM532" s="84"/>
      <c r="BN532" s="84"/>
      <c r="BO532" s="84"/>
      <c r="BP532" s="84"/>
      <c r="BQ532" s="84"/>
      <c r="BR532" s="84"/>
    </row>
    <row r="533" spans="1:70" ht="15.75" customHeight="1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  <c r="AL533" s="84"/>
      <c r="AM533" s="84"/>
      <c r="AN533" s="84"/>
      <c r="AO533" s="84"/>
      <c r="AP533" s="84"/>
      <c r="AQ533" s="84"/>
      <c r="AR533" s="84"/>
      <c r="AS533" s="84"/>
      <c r="AT533" s="84"/>
      <c r="AU533" s="84"/>
      <c r="AV533" s="84"/>
      <c r="AW533" s="84"/>
      <c r="AX533" s="84"/>
      <c r="AY533" s="84"/>
      <c r="AZ533" s="84"/>
      <c r="BA533" s="84"/>
      <c r="BB533" s="84"/>
      <c r="BC533" s="84"/>
      <c r="BD533" s="84"/>
      <c r="BE533" s="84"/>
      <c r="BF533" s="84"/>
      <c r="BG533" s="84"/>
      <c r="BH533" s="84"/>
      <c r="BI533" s="84"/>
      <c r="BJ533" s="84"/>
      <c r="BK533" s="84"/>
      <c r="BL533" s="84"/>
      <c r="BM533" s="84"/>
      <c r="BN533" s="84"/>
      <c r="BO533" s="84"/>
      <c r="BP533" s="84"/>
      <c r="BQ533" s="84"/>
      <c r="BR533" s="84"/>
    </row>
    <row r="534" spans="1:70" ht="15.75" customHeight="1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  <c r="AL534" s="84"/>
      <c r="AM534" s="84"/>
      <c r="AN534" s="84"/>
      <c r="AO534" s="84"/>
      <c r="AP534" s="84"/>
      <c r="AQ534" s="84"/>
      <c r="AR534" s="84"/>
      <c r="AS534" s="84"/>
      <c r="AT534" s="84"/>
      <c r="AU534" s="84"/>
      <c r="AV534" s="84"/>
      <c r="AW534" s="84"/>
      <c r="AX534" s="84"/>
      <c r="AY534" s="84"/>
      <c r="AZ534" s="84"/>
      <c r="BA534" s="84"/>
      <c r="BB534" s="84"/>
      <c r="BC534" s="84"/>
      <c r="BD534" s="84"/>
      <c r="BE534" s="84"/>
      <c r="BF534" s="84"/>
      <c r="BG534" s="84"/>
      <c r="BH534" s="84"/>
      <c r="BI534" s="84"/>
      <c r="BJ534" s="84"/>
      <c r="BK534" s="84"/>
      <c r="BL534" s="84"/>
      <c r="BM534" s="84"/>
      <c r="BN534" s="84"/>
      <c r="BO534" s="84"/>
      <c r="BP534" s="84"/>
      <c r="BQ534" s="84"/>
      <c r="BR534" s="84"/>
    </row>
    <row r="535" spans="1:70" ht="15.75" customHeight="1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  <c r="AL535" s="84"/>
      <c r="AM535" s="84"/>
      <c r="AN535" s="84"/>
      <c r="AO535" s="84"/>
      <c r="AP535" s="84"/>
      <c r="AQ535" s="84"/>
      <c r="AR535" s="84"/>
      <c r="AS535" s="84"/>
      <c r="AT535" s="84"/>
      <c r="AU535" s="84"/>
      <c r="AV535" s="84"/>
      <c r="AW535" s="84"/>
      <c r="AX535" s="84"/>
      <c r="AY535" s="84"/>
      <c r="AZ535" s="84"/>
      <c r="BA535" s="84"/>
      <c r="BB535" s="84"/>
      <c r="BC535" s="84"/>
      <c r="BD535" s="84"/>
      <c r="BE535" s="84"/>
      <c r="BF535" s="84"/>
      <c r="BG535" s="84"/>
      <c r="BH535" s="84"/>
      <c r="BI535" s="84"/>
      <c r="BJ535" s="84"/>
      <c r="BK535" s="84"/>
      <c r="BL535" s="84"/>
      <c r="BM535" s="84"/>
      <c r="BN535" s="84"/>
      <c r="BO535" s="84"/>
      <c r="BP535" s="84"/>
      <c r="BQ535" s="84"/>
      <c r="BR535" s="84"/>
    </row>
    <row r="536" spans="1:70" ht="15.75" customHeight="1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  <c r="AL536" s="84"/>
      <c r="AM536" s="84"/>
      <c r="AN536" s="84"/>
      <c r="AO536" s="84"/>
      <c r="AP536" s="84"/>
      <c r="AQ536" s="84"/>
      <c r="AR536" s="84"/>
      <c r="AS536" s="84"/>
      <c r="AT536" s="84"/>
      <c r="AU536" s="84"/>
      <c r="AV536" s="84"/>
      <c r="AW536" s="84"/>
      <c r="AX536" s="84"/>
      <c r="AY536" s="84"/>
      <c r="AZ536" s="84"/>
      <c r="BA536" s="84"/>
      <c r="BB536" s="84"/>
      <c r="BC536" s="84"/>
      <c r="BD536" s="84"/>
      <c r="BE536" s="84"/>
      <c r="BF536" s="84"/>
      <c r="BG536" s="84"/>
      <c r="BH536" s="84"/>
      <c r="BI536" s="84"/>
      <c r="BJ536" s="84"/>
      <c r="BK536" s="84"/>
      <c r="BL536" s="84"/>
      <c r="BM536" s="84"/>
      <c r="BN536" s="84"/>
      <c r="BO536" s="84"/>
      <c r="BP536" s="84"/>
      <c r="BQ536" s="84"/>
      <c r="BR536" s="84"/>
    </row>
    <row r="537" spans="1:70" ht="15.75" customHeight="1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  <c r="AL537" s="84"/>
      <c r="AM537" s="84"/>
      <c r="AN537" s="84"/>
      <c r="AO537" s="84"/>
      <c r="AP537" s="84"/>
      <c r="AQ537" s="84"/>
      <c r="AR537" s="84"/>
      <c r="AS537" s="84"/>
      <c r="AT537" s="84"/>
      <c r="AU537" s="84"/>
      <c r="AV537" s="84"/>
      <c r="AW537" s="84"/>
      <c r="AX537" s="84"/>
      <c r="AY537" s="84"/>
      <c r="AZ537" s="84"/>
      <c r="BA537" s="84"/>
      <c r="BB537" s="84"/>
      <c r="BC537" s="84"/>
      <c r="BD537" s="84"/>
      <c r="BE537" s="84"/>
      <c r="BF537" s="84"/>
      <c r="BG537" s="84"/>
      <c r="BH537" s="84"/>
      <c r="BI537" s="84"/>
      <c r="BJ537" s="84"/>
      <c r="BK537" s="84"/>
      <c r="BL537" s="84"/>
      <c r="BM537" s="84"/>
      <c r="BN537" s="84"/>
      <c r="BO537" s="84"/>
      <c r="BP537" s="84"/>
      <c r="BQ537" s="84"/>
      <c r="BR537" s="84"/>
    </row>
    <row r="538" spans="1:70" ht="15.75" customHeight="1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  <c r="AL538" s="84"/>
      <c r="AM538" s="84"/>
      <c r="AN538" s="84"/>
      <c r="AO538" s="84"/>
      <c r="AP538" s="84"/>
      <c r="AQ538" s="84"/>
      <c r="AR538" s="84"/>
      <c r="AS538" s="84"/>
      <c r="AT538" s="84"/>
      <c r="AU538" s="84"/>
      <c r="AV538" s="84"/>
      <c r="AW538" s="84"/>
      <c r="AX538" s="84"/>
      <c r="AY538" s="84"/>
      <c r="AZ538" s="84"/>
      <c r="BA538" s="84"/>
      <c r="BB538" s="84"/>
      <c r="BC538" s="84"/>
      <c r="BD538" s="84"/>
      <c r="BE538" s="84"/>
      <c r="BF538" s="84"/>
      <c r="BG538" s="84"/>
      <c r="BH538" s="84"/>
      <c r="BI538" s="84"/>
      <c r="BJ538" s="84"/>
      <c r="BK538" s="84"/>
      <c r="BL538" s="84"/>
      <c r="BM538" s="84"/>
      <c r="BN538" s="84"/>
      <c r="BO538" s="84"/>
      <c r="BP538" s="84"/>
      <c r="BQ538" s="84"/>
      <c r="BR538" s="84"/>
    </row>
    <row r="539" spans="1:70" ht="15.75" customHeight="1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  <c r="AL539" s="84"/>
      <c r="AM539" s="84"/>
      <c r="AN539" s="84"/>
      <c r="AO539" s="84"/>
      <c r="AP539" s="84"/>
      <c r="AQ539" s="84"/>
      <c r="AR539" s="84"/>
      <c r="AS539" s="84"/>
      <c r="AT539" s="84"/>
      <c r="AU539" s="84"/>
      <c r="AV539" s="84"/>
      <c r="AW539" s="84"/>
      <c r="AX539" s="84"/>
      <c r="AY539" s="84"/>
      <c r="AZ539" s="84"/>
      <c r="BA539" s="84"/>
      <c r="BB539" s="84"/>
      <c r="BC539" s="84"/>
      <c r="BD539" s="84"/>
      <c r="BE539" s="84"/>
      <c r="BF539" s="84"/>
      <c r="BG539" s="84"/>
      <c r="BH539" s="84"/>
      <c r="BI539" s="84"/>
      <c r="BJ539" s="84"/>
      <c r="BK539" s="84"/>
      <c r="BL539" s="84"/>
      <c r="BM539" s="84"/>
      <c r="BN539" s="84"/>
      <c r="BO539" s="84"/>
      <c r="BP539" s="84"/>
      <c r="BQ539" s="84"/>
      <c r="BR539" s="84"/>
    </row>
    <row r="540" spans="1:70" ht="15.75" customHeight="1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  <c r="AL540" s="84"/>
      <c r="AM540" s="84"/>
      <c r="AN540" s="84"/>
      <c r="AO540" s="84"/>
      <c r="AP540" s="84"/>
      <c r="AQ540" s="84"/>
      <c r="AR540" s="84"/>
      <c r="AS540" s="84"/>
      <c r="AT540" s="84"/>
      <c r="AU540" s="84"/>
      <c r="AV540" s="84"/>
      <c r="AW540" s="84"/>
      <c r="AX540" s="84"/>
      <c r="AY540" s="84"/>
      <c r="AZ540" s="84"/>
      <c r="BA540" s="84"/>
      <c r="BB540" s="84"/>
      <c r="BC540" s="84"/>
      <c r="BD540" s="84"/>
      <c r="BE540" s="84"/>
      <c r="BF540" s="84"/>
      <c r="BG540" s="84"/>
      <c r="BH540" s="84"/>
      <c r="BI540" s="84"/>
      <c r="BJ540" s="84"/>
      <c r="BK540" s="84"/>
      <c r="BL540" s="84"/>
      <c r="BM540" s="84"/>
      <c r="BN540" s="84"/>
      <c r="BO540" s="84"/>
      <c r="BP540" s="84"/>
      <c r="BQ540" s="84"/>
      <c r="BR540" s="84"/>
    </row>
    <row r="541" spans="1:70" ht="15.75" customHeight="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  <c r="AL541" s="84"/>
      <c r="AM541" s="84"/>
      <c r="AN541" s="84"/>
      <c r="AO541" s="84"/>
      <c r="AP541" s="84"/>
      <c r="AQ541" s="84"/>
      <c r="AR541" s="84"/>
      <c r="AS541" s="84"/>
      <c r="AT541" s="84"/>
      <c r="AU541" s="84"/>
      <c r="AV541" s="84"/>
      <c r="AW541" s="84"/>
      <c r="AX541" s="84"/>
      <c r="AY541" s="84"/>
      <c r="AZ541" s="84"/>
      <c r="BA541" s="84"/>
      <c r="BB541" s="84"/>
      <c r="BC541" s="84"/>
      <c r="BD541" s="84"/>
      <c r="BE541" s="84"/>
      <c r="BF541" s="84"/>
      <c r="BG541" s="84"/>
      <c r="BH541" s="84"/>
      <c r="BI541" s="84"/>
      <c r="BJ541" s="84"/>
      <c r="BK541" s="84"/>
      <c r="BL541" s="84"/>
      <c r="BM541" s="84"/>
      <c r="BN541" s="84"/>
      <c r="BO541" s="84"/>
      <c r="BP541" s="84"/>
      <c r="BQ541" s="84"/>
      <c r="BR541" s="84"/>
    </row>
    <row r="542" spans="1:70" ht="15.75" customHeight="1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  <c r="AL542" s="84"/>
      <c r="AM542" s="84"/>
      <c r="AN542" s="84"/>
      <c r="AO542" s="84"/>
      <c r="AP542" s="84"/>
      <c r="AQ542" s="84"/>
      <c r="AR542" s="84"/>
      <c r="AS542" s="84"/>
      <c r="AT542" s="84"/>
      <c r="AU542" s="84"/>
      <c r="AV542" s="84"/>
      <c r="AW542" s="84"/>
      <c r="AX542" s="84"/>
      <c r="AY542" s="84"/>
      <c r="AZ542" s="84"/>
      <c r="BA542" s="84"/>
      <c r="BB542" s="84"/>
      <c r="BC542" s="84"/>
      <c r="BD542" s="84"/>
      <c r="BE542" s="84"/>
      <c r="BF542" s="84"/>
      <c r="BG542" s="84"/>
      <c r="BH542" s="84"/>
      <c r="BI542" s="84"/>
      <c r="BJ542" s="84"/>
      <c r="BK542" s="84"/>
      <c r="BL542" s="84"/>
      <c r="BM542" s="84"/>
      <c r="BN542" s="84"/>
      <c r="BO542" s="84"/>
      <c r="BP542" s="84"/>
      <c r="BQ542" s="84"/>
      <c r="BR542" s="84"/>
    </row>
    <row r="543" spans="1:70" ht="15.75" customHeight="1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  <c r="AL543" s="84"/>
      <c r="AM543" s="84"/>
      <c r="AN543" s="84"/>
      <c r="AO543" s="84"/>
      <c r="AP543" s="84"/>
      <c r="AQ543" s="84"/>
      <c r="AR543" s="84"/>
      <c r="AS543" s="84"/>
      <c r="AT543" s="84"/>
      <c r="AU543" s="84"/>
      <c r="AV543" s="84"/>
      <c r="AW543" s="84"/>
      <c r="AX543" s="84"/>
      <c r="AY543" s="84"/>
      <c r="AZ543" s="84"/>
      <c r="BA543" s="84"/>
      <c r="BB543" s="84"/>
      <c r="BC543" s="84"/>
      <c r="BD543" s="84"/>
      <c r="BE543" s="84"/>
      <c r="BF543" s="84"/>
      <c r="BG543" s="84"/>
      <c r="BH543" s="84"/>
      <c r="BI543" s="84"/>
      <c r="BJ543" s="84"/>
      <c r="BK543" s="84"/>
      <c r="BL543" s="84"/>
      <c r="BM543" s="84"/>
      <c r="BN543" s="84"/>
      <c r="BO543" s="84"/>
      <c r="BP543" s="84"/>
      <c r="BQ543" s="84"/>
      <c r="BR543" s="84"/>
    </row>
    <row r="544" spans="1:70" ht="15.75" customHeight="1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  <c r="AL544" s="84"/>
      <c r="AM544" s="84"/>
      <c r="AN544" s="84"/>
      <c r="AO544" s="84"/>
      <c r="AP544" s="84"/>
      <c r="AQ544" s="84"/>
      <c r="AR544" s="84"/>
      <c r="AS544" s="84"/>
      <c r="AT544" s="84"/>
      <c r="AU544" s="84"/>
      <c r="AV544" s="84"/>
      <c r="AW544" s="84"/>
      <c r="AX544" s="84"/>
      <c r="AY544" s="84"/>
      <c r="AZ544" s="84"/>
      <c r="BA544" s="84"/>
      <c r="BB544" s="84"/>
      <c r="BC544" s="84"/>
      <c r="BD544" s="84"/>
      <c r="BE544" s="84"/>
      <c r="BF544" s="84"/>
      <c r="BG544" s="84"/>
      <c r="BH544" s="84"/>
      <c r="BI544" s="84"/>
      <c r="BJ544" s="84"/>
      <c r="BK544" s="84"/>
      <c r="BL544" s="84"/>
      <c r="BM544" s="84"/>
      <c r="BN544" s="84"/>
      <c r="BO544" s="84"/>
      <c r="BP544" s="84"/>
      <c r="BQ544" s="84"/>
      <c r="BR544" s="84"/>
    </row>
    <row r="545" spans="1:70" ht="15.75" customHeight="1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  <c r="AL545" s="84"/>
      <c r="AM545" s="84"/>
      <c r="AN545" s="84"/>
      <c r="AO545" s="84"/>
      <c r="AP545" s="84"/>
      <c r="AQ545" s="84"/>
      <c r="AR545" s="84"/>
      <c r="AS545" s="84"/>
      <c r="AT545" s="84"/>
      <c r="AU545" s="84"/>
      <c r="AV545" s="84"/>
      <c r="AW545" s="84"/>
      <c r="AX545" s="84"/>
      <c r="AY545" s="84"/>
      <c r="AZ545" s="84"/>
      <c r="BA545" s="84"/>
      <c r="BB545" s="84"/>
      <c r="BC545" s="84"/>
      <c r="BD545" s="84"/>
      <c r="BE545" s="84"/>
      <c r="BF545" s="84"/>
      <c r="BG545" s="84"/>
      <c r="BH545" s="84"/>
      <c r="BI545" s="84"/>
      <c r="BJ545" s="84"/>
      <c r="BK545" s="84"/>
      <c r="BL545" s="84"/>
      <c r="BM545" s="84"/>
      <c r="BN545" s="84"/>
      <c r="BO545" s="84"/>
      <c r="BP545" s="84"/>
      <c r="BQ545" s="84"/>
      <c r="BR545" s="84"/>
    </row>
    <row r="546" spans="1:70" ht="15.75" customHeight="1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  <c r="AL546" s="84"/>
      <c r="AM546" s="84"/>
      <c r="AN546" s="84"/>
      <c r="AO546" s="84"/>
      <c r="AP546" s="84"/>
      <c r="AQ546" s="84"/>
      <c r="AR546" s="84"/>
      <c r="AS546" s="84"/>
      <c r="AT546" s="84"/>
      <c r="AU546" s="84"/>
      <c r="AV546" s="84"/>
      <c r="AW546" s="84"/>
      <c r="AX546" s="84"/>
      <c r="AY546" s="84"/>
      <c r="AZ546" s="84"/>
      <c r="BA546" s="84"/>
      <c r="BB546" s="84"/>
      <c r="BC546" s="84"/>
      <c r="BD546" s="84"/>
      <c r="BE546" s="84"/>
      <c r="BF546" s="84"/>
      <c r="BG546" s="84"/>
      <c r="BH546" s="84"/>
      <c r="BI546" s="84"/>
      <c r="BJ546" s="84"/>
      <c r="BK546" s="84"/>
      <c r="BL546" s="84"/>
      <c r="BM546" s="84"/>
      <c r="BN546" s="84"/>
      <c r="BO546" s="84"/>
      <c r="BP546" s="84"/>
      <c r="BQ546" s="84"/>
      <c r="BR546" s="84"/>
    </row>
    <row r="547" spans="1:70" ht="15.75" customHeight="1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  <c r="AL547" s="84"/>
      <c r="AM547" s="84"/>
      <c r="AN547" s="84"/>
      <c r="AO547" s="84"/>
      <c r="AP547" s="84"/>
      <c r="AQ547" s="84"/>
      <c r="AR547" s="84"/>
      <c r="AS547" s="84"/>
      <c r="AT547" s="84"/>
      <c r="AU547" s="84"/>
      <c r="AV547" s="84"/>
      <c r="AW547" s="84"/>
      <c r="AX547" s="84"/>
      <c r="AY547" s="84"/>
      <c r="AZ547" s="84"/>
      <c r="BA547" s="84"/>
      <c r="BB547" s="84"/>
      <c r="BC547" s="84"/>
      <c r="BD547" s="84"/>
      <c r="BE547" s="84"/>
      <c r="BF547" s="84"/>
      <c r="BG547" s="84"/>
      <c r="BH547" s="84"/>
      <c r="BI547" s="84"/>
      <c r="BJ547" s="84"/>
      <c r="BK547" s="84"/>
      <c r="BL547" s="84"/>
      <c r="BM547" s="84"/>
      <c r="BN547" s="84"/>
      <c r="BO547" s="84"/>
      <c r="BP547" s="84"/>
      <c r="BQ547" s="84"/>
      <c r="BR547" s="84"/>
    </row>
    <row r="548" spans="1:70" ht="15.75" customHeight="1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  <c r="AL548" s="84"/>
      <c r="AM548" s="84"/>
      <c r="AN548" s="84"/>
      <c r="AO548" s="84"/>
      <c r="AP548" s="84"/>
      <c r="AQ548" s="84"/>
      <c r="AR548" s="84"/>
      <c r="AS548" s="84"/>
      <c r="AT548" s="84"/>
      <c r="AU548" s="84"/>
      <c r="AV548" s="84"/>
      <c r="AW548" s="84"/>
      <c r="AX548" s="84"/>
      <c r="AY548" s="84"/>
      <c r="AZ548" s="84"/>
      <c r="BA548" s="84"/>
      <c r="BB548" s="84"/>
      <c r="BC548" s="84"/>
      <c r="BD548" s="84"/>
      <c r="BE548" s="84"/>
      <c r="BF548" s="84"/>
      <c r="BG548" s="84"/>
      <c r="BH548" s="84"/>
      <c r="BI548" s="84"/>
      <c r="BJ548" s="84"/>
      <c r="BK548" s="84"/>
      <c r="BL548" s="84"/>
      <c r="BM548" s="84"/>
      <c r="BN548" s="84"/>
      <c r="BO548" s="84"/>
      <c r="BP548" s="84"/>
      <c r="BQ548" s="84"/>
      <c r="BR548" s="84"/>
    </row>
    <row r="549" spans="1:70" ht="15.75" customHeight="1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  <c r="AL549" s="84"/>
      <c r="AM549" s="84"/>
      <c r="AN549" s="84"/>
      <c r="AO549" s="84"/>
      <c r="AP549" s="84"/>
      <c r="AQ549" s="84"/>
      <c r="AR549" s="84"/>
      <c r="AS549" s="84"/>
      <c r="AT549" s="84"/>
      <c r="AU549" s="84"/>
      <c r="AV549" s="84"/>
      <c r="AW549" s="84"/>
      <c r="AX549" s="84"/>
      <c r="AY549" s="84"/>
      <c r="AZ549" s="84"/>
      <c r="BA549" s="84"/>
      <c r="BB549" s="84"/>
      <c r="BC549" s="84"/>
      <c r="BD549" s="84"/>
      <c r="BE549" s="84"/>
      <c r="BF549" s="84"/>
      <c r="BG549" s="84"/>
      <c r="BH549" s="84"/>
      <c r="BI549" s="84"/>
      <c r="BJ549" s="84"/>
      <c r="BK549" s="84"/>
      <c r="BL549" s="84"/>
      <c r="BM549" s="84"/>
      <c r="BN549" s="84"/>
      <c r="BO549" s="84"/>
      <c r="BP549" s="84"/>
      <c r="BQ549" s="84"/>
      <c r="BR549" s="84"/>
    </row>
    <row r="550" spans="1:70" ht="15.75" customHeight="1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  <c r="AL550" s="84"/>
      <c r="AM550" s="84"/>
      <c r="AN550" s="84"/>
      <c r="AO550" s="84"/>
      <c r="AP550" s="84"/>
      <c r="AQ550" s="84"/>
      <c r="AR550" s="84"/>
      <c r="AS550" s="84"/>
      <c r="AT550" s="84"/>
      <c r="AU550" s="84"/>
      <c r="AV550" s="84"/>
      <c r="AW550" s="84"/>
      <c r="AX550" s="84"/>
      <c r="AY550" s="84"/>
      <c r="AZ550" s="84"/>
      <c r="BA550" s="84"/>
      <c r="BB550" s="84"/>
      <c r="BC550" s="84"/>
      <c r="BD550" s="84"/>
      <c r="BE550" s="84"/>
      <c r="BF550" s="84"/>
      <c r="BG550" s="84"/>
      <c r="BH550" s="84"/>
      <c r="BI550" s="84"/>
      <c r="BJ550" s="84"/>
      <c r="BK550" s="84"/>
      <c r="BL550" s="84"/>
      <c r="BM550" s="84"/>
      <c r="BN550" s="84"/>
      <c r="BO550" s="84"/>
      <c r="BP550" s="84"/>
      <c r="BQ550" s="84"/>
      <c r="BR550" s="84"/>
    </row>
    <row r="551" spans="1:70" ht="15.75" customHeight="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  <c r="AL551" s="84"/>
      <c r="AM551" s="84"/>
      <c r="AN551" s="84"/>
      <c r="AO551" s="84"/>
      <c r="AP551" s="84"/>
      <c r="AQ551" s="84"/>
      <c r="AR551" s="84"/>
      <c r="AS551" s="84"/>
      <c r="AT551" s="84"/>
      <c r="AU551" s="84"/>
      <c r="AV551" s="84"/>
      <c r="AW551" s="84"/>
      <c r="AX551" s="84"/>
      <c r="AY551" s="84"/>
      <c r="AZ551" s="84"/>
      <c r="BA551" s="84"/>
      <c r="BB551" s="84"/>
      <c r="BC551" s="84"/>
      <c r="BD551" s="84"/>
      <c r="BE551" s="84"/>
      <c r="BF551" s="84"/>
      <c r="BG551" s="84"/>
      <c r="BH551" s="84"/>
      <c r="BI551" s="84"/>
      <c r="BJ551" s="84"/>
      <c r="BK551" s="84"/>
      <c r="BL551" s="84"/>
      <c r="BM551" s="84"/>
      <c r="BN551" s="84"/>
      <c r="BO551" s="84"/>
      <c r="BP551" s="84"/>
      <c r="BQ551" s="84"/>
      <c r="BR551" s="84"/>
    </row>
    <row r="552" spans="1:70" ht="15.75" customHeight="1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  <c r="AL552" s="84"/>
      <c r="AM552" s="84"/>
      <c r="AN552" s="84"/>
      <c r="AO552" s="84"/>
      <c r="AP552" s="84"/>
      <c r="AQ552" s="84"/>
      <c r="AR552" s="84"/>
      <c r="AS552" s="84"/>
      <c r="AT552" s="84"/>
      <c r="AU552" s="84"/>
      <c r="AV552" s="84"/>
      <c r="AW552" s="84"/>
      <c r="AX552" s="84"/>
      <c r="AY552" s="84"/>
      <c r="AZ552" s="84"/>
      <c r="BA552" s="84"/>
      <c r="BB552" s="84"/>
      <c r="BC552" s="84"/>
      <c r="BD552" s="84"/>
      <c r="BE552" s="84"/>
      <c r="BF552" s="84"/>
      <c r="BG552" s="84"/>
      <c r="BH552" s="84"/>
      <c r="BI552" s="84"/>
      <c r="BJ552" s="84"/>
      <c r="BK552" s="84"/>
      <c r="BL552" s="84"/>
      <c r="BM552" s="84"/>
      <c r="BN552" s="84"/>
      <c r="BO552" s="84"/>
      <c r="BP552" s="84"/>
      <c r="BQ552" s="84"/>
      <c r="BR552" s="84"/>
    </row>
    <row r="553" spans="1:70" ht="15.75" customHeight="1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  <c r="AL553" s="84"/>
      <c r="AM553" s="84"/>
      <c r="AN553" s="84"/>
      <c r="AO553" s="84"/>
      <c r="AP553" s="84"/>
      <c r="AQ553" s="84"/>
      <c r="AR553" s="84"/>
      <c r="AS553" s="84"/>
      <c r="AT553" s="84"/>
      <c r="AU553" s="84"/>
      <c r="AV553" s="84"/>
      <c r="AW553" s="84"/>
      <c r="AX553" s="84"/>
      <c r="AY553" s="84"/>
      <c r="AZ553" s="84"/>
      <c r="BA553" s="84"/>
      <c r="BB553" s="84"/>
      <c r="BC553" s="84"/>
      <c r="BD553" s="84"/>
      <c r="BE553" s="84"/>
      <c r="BF553" s="84"/>
      <c r="BG553" s="84"/>
      <c r="BH553" s="84"/>
      <c r="BI553" s="84"/>
      <c r="BJ553" s="84"/>
      <c r="BK553" s="84"/>
      <c r="BL553" s="84"/>
      <c r="BM553" s="84"/>
      <c r="BN553" s="84"/>
      <c r="BO553" s="84"/>
      <c r="BP553" s="84"/>
      <c r="BQ553" s="84"/>
      <c r="BR553" s="84"/>
    </row>
    <row r="554" spans="1:70" ht="15.75" customHeight="1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  <c r="AL554" s="84"/>
      <c r="AM554" s="84"/>
      <c r="AN554" s="84"/>
      <c r="AO554" s="84"/>
      <c r="AP554" s="84"/>
      <c r="AQ554" s="84"/>
      <c r="AR554" s="84"/>
      <c r="AS554" s="84"/>
      <c r="AT554" s="84"/>
      <c r="AU554" s="84"/>
      <c r="AV554" s="84"/>
      <c r="AW554" s="84"/>
      <c r="AX554" s="84"/>
      <c r="AY554" s="84"/>
      <c r="AZ554" s="84"/>
      <c r="BA554" s="84"/>
      <c r="BB554" s="84"/>
      <c r="BC554" s="84"/>
      <c r="BD554" s="84"/>
      <c r="BE554" s="84"/>
      <c r="BF554" s="84"/>
      <c r="BG554" s="84"/>
      <c r="BH554" s="84"/>
      <c r="BI554" s="84"/>
      <c r="BJ554" s="84"/>
      <c r="BK554" s="84"/>
      <c r="BL554" s="84"/>
      <c r="BM554" s="84"/>
      <c r="BN554" s="84"/>
      <c r="BO554" s="84"/>
      <c r="BP554" s="84"/>
      <c r="BQ554" s="84"/>
      <c r="BR554" s="84"/>
    </row>
    <row r="555" spans="1:70" ht="15.75" customHeight="1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  <c r="AL555" s="84"/>
      <c r="AM555" s="84"/>
      <c r="AN555" s="84"/>
      <c r="AO555" s="84"/>
      <c r="AP555" s="84"/>
      <c r="AQ555" s="84"/>
      <c r="AR555" s="84"/>
      <c r="AS555" s="84"/>
      <c r="AT555" s="84"/>
      <c r="AU555" s="84"/>
      <c r="AV555" s="84"/>
      <c r="AW555" s="84"/>
      <c r="AX555" s="84"/>
      <c r="AY555" s="84"/>
      <c r="AZ555" s="84"/>
      <c r="BA555" s="84"/>
      <c r="BB555" s="84"/>
      <c r="BC555" s="84"/>
      <c r="BD555" s="84"/>
      <c r="BE555" s="84"/>
      <c r="BF555" s="84"/>
      <c r="BG555" s="84"/>
      <c r="BH555" s="84"/>
      <c r="BI555" s="84"/>
      <c r="BJ555" s="84"/>
      <c r="BK555" s="84"/>
      <c r="BL555" s="84"/>
      <c r="BM555" s="84"/>
      <c r="BN555" s="84"/>
      <c r="BO555" s="84"/>
      <c r="BP555" s="84"/>
      <c r="BQ555" s="84"/>
      <c r="BR555" s="84"/>
    </row>
    <row r="556" spans="1:70" ht="15.75" customHeight="1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  <c r="AL556" s="84"/>
      <c r="AM556" s="84"/>
      <c r="AN556" s="84"/>
      <c r="AO556" s="84"/>
      <c r="AP556" s="84"/>
      <c r="AQ556" s="84"/>
      <c r="AR556" s="84"/>
      <c r="AS556" s="84"/>
      <c r="AT556" s="84"/>
      <c r="AU556" s="84"/>
      <c r="AV556" s="84"/>
      <c r="AW556" s="84"/>
      <c r="AX556" s="84"/>
      <c r="AY556" s="84"/>
      <c r="AZ556" s="84"/>
      <c r="BA556" s="84"/>
      <c r="BB556" s="84"/>
      <c r="BC556" s="84"/>
      <c r="BD556" s="84"/>
      <c r="BE556" s="84"/>
      <c r="BF556" s="84"/>
      <c r="BG556" s="84"/>
      <c r="BH556" s="84"/>
      <c r="BI556" s="84"/>
      <c r="BJ556" s="84"/>
      <c r="BK556" s="84"/>
      <c r="BL556" s="84"/>
      <c r="BM556" s="84"/>
      <c r="BN556" s="84"/>
      <c r="BO556" s="84"/>
      <c r="BP556" s="84"/>
      <c r="BQ556" s="84"/>
      <c r="BR556" s="84"/>
    </row>
    <row r="557" spans="1:70" ht="15.75" customHeight="1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  <c r="AL557" s="84"/>
      <c r="AM557" s="84"/>
      <c r="AN557" s="84"/>
      <c r="AO557" s="84"/>
      <c r="AP557" s="84"/>
      <c r="AQ557" s="84"/>
      <c r="AR557" s="84"/>
      <c r="AS557" s="84"/>
      <c r="AT557" s="84"/>
      <c r="AU557" s="84"/>
      <c r="AV557" s="84"/>
      <c r="AW557" s="84"/>
      <c r="AX557" s="84"/>
      <c r="AY557" s="84"/>
      <c r="AZ557" s="84"/>
      <c r="BA557" s="84"/>
      <c r="BB557" s="84"/>
      <c r="BC557" s="84"/>
      <c r="BD557" s="84"/>
      <c r="BE557" s="84"/>
      <c r="BF557" s="84"/>
      <c r="BG557" s="84"/>
      <c r="BH557" s="84"/>
      <c r="BI557" s="84"/>
      <c r="BJ557" s="84"/>
      <c r="BK557" s="84"/>
      <c r="BL557" s="84"/>
      <c r="BM557" s="84"/>
      <c r="BN557" s="84"/>
      <c r="BO557" s="84"/>
      <c r="BP557" s="84"/>
      <c r="BQ557" s="84"/>
      <c r="BR557" s="84"/>
    </row>
    <row r="558" spans="1:70" ht="15.75" customHeight="1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  <c r="AL558" s="84"/>
      <c r="AM558" s="84"/>
      <c r="AN558" s="84"/>
      <c r="AO558" s="84"/>
      <c r="AP558" s="84"/>
      <c r="AQ558" s="84"/>
      <c r="AR558" s="84"/>
      <c r="AS558" s="84"/>
      <c r="AT558" s="84"/>
      <c r="AU558" s="84"/>
      <c r="AV558" s="84"/>
      <c r="AW558" s="84"/>
      <c r="AX558" s="84"/>
      <c r="AY558" s="84"/>
      <c r="AZ558" s="84"/>
      <c r="BA558" s="84"/>
      <c r="BB558" s="84"/>
      <c r="BC558" s="84"/>
      <c r="BD558" s="84"/>
      <c r="BE558" s="84"/>
      <c r="BF558" s="84"/>
      <c r="BG558" s="84"/>
      <c r="BH558" s="84"/>
      <c r="BI558" s="84"/>
      <c r="BJ558" s="84"/>
      <c r="BK558" s="84"/>
      <c r="BL558" s="84"/>
      <c r="BM558" s="84"/>
      <c r="BN558" s="84"/>
      <c r="BO558" s="84"/>
      <c r="BP558" s="84"/>
      <c r="BQ558" s="84"/>
      <c r="BR558" s="84"/>
    </row>
    <row r="559" spans="1:70" ht="15.75" customHeight="1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  <c r="AL559" s="84"/>
      <c r="AM559" s="84"/>
      <c r="AN559" s="84"/>
      <c r="AO559" s="84"/>
      <c r="AP559" s="84"/>
      <c r="AQ559" s="84"/>
      <c r="AR559" s="84"/>
      <c r="AS559" s="84"/>
      <c r="AT559" s="84"/>
      <c r="AU559" s="84"/>
      <c r="AV559" s="84"/>
      <c r="AW559" s="84"/>
      <c r="AX559" s="84"/>
      <c r="AY559" s="84"/>
      <c r="AZ559" s="84"/>
      <c r="BA559" s="84"/>
      <c r="BB559" s="84"/>
      <c r="BC559" s="84"/>
      <c r="BD559" s="84"/>
      <c r="BE559" s="84"/>
      <c r="BF559" s="84"/>
      <c r="BG559" s="84"/>
      <c r="BH559" s="84"/>
      <c r="BI559" s="84"/>
      <c r="BJ559" s="84"/>
      <c r="BK559" s="84"/>
      <c r="BL559" s="84"/>
      <c r="BM559" s="84"/>
      <c r="BN559" s="84"/>
      <c r="BO559" s="84"/>
      <c r="BP559" s="84"/>
      <c r="BQ559" s="84"/>
      <c r="BR559" s="84"/>
    </row>
    <row r="560" spans="1:70" ht="15.75" customHeight="1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  <c r="AL560" s="84"/>
      <c r="AM560" s="84"/>
      <c r="AN560" s="84"/>
      <c r="AO560" s="84"/>
      <c r="AP560" s="84"/>
      <c r="AQ560" s="84"/>
      <c r="AR560" s="84"/>
      <c r="AS560" s="84"/>
      <c r="AT560" s="84"/>
      <c r="AU560" s="84"/>
      <c r="AV560" s="84"/>
      <c r="AW560" s="84"/>
      <c r="AX560" s="84"/>
      <c r="AY560" s="84"/>
      <c r="AZ560" s="84"/>
      <c r="BA560" s="84"/>
      <c r="BB560" s="84"/>
      <c r="BC560" s="84"/>
      <c r="BD560" s="84"/>
      <c r="BE560" s="84"/>
      <c r="BF560" s="84"/>
      <c r="BG560" s="84"/>
      <c r="BH560" s="84"/>
      <c r="BI560" s="84"/>
      <c r="BJ560" s="84"/>
      <c r="BK560" s="84"/>
      <c r="BL560" s="84"/>
      <c r="BM560" s="84"/>
      <c r="BN560" s="84"/>
      <c r="BO560" s="84"/>
      <c r="BP560" s="84"/>
      <c r="BQ560" s="84"/>
      <c r="BR560" s="84"/>
    </row>
    <row r="561" spans="1:70" ht="15.75" customHeight="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  <c r="AL561" s="84"/>
      <c r="AM561" s="84"/>
      <c r="AN561" s="84"/>
      <c r="AO561" s="84"/>
      <c r="AP561" s="84"/>
      <c r="AQ561" s="84"/>
      <c r="AR561" s="84"/>
      <c r="AS561" s="84"/>
      <c r="AT561" s="84"/>
      <c r="AU561" s="84"/>
      <c r="AV561" s="84"/>
      <c r="AW561" s="84"/>
      <c r="AX561" s="84"/>
      <c r="AY561" s="84"/>
      <c r="AZ561" s="84"/>
      <c r="BA561" s="84"/>
      <c r="BB561" s="84"/>
      <c r="BC561" s="84"/>
      <c r="BD561" s="84"/>
      <c r="BE561" s="84"/>
      <c r="BF561" s="84"/>
      <c r="BG561" s="84"/>
      <c r="BH561" s="84"/>
      <c r="BI561" s="84"/>
      <c r="BJ561" s="84"/>
      <c r="BK561" s="84"/>
      <c r="BL561" s="84"/>
      <c r="BM561" s="84"/>
      <c r="BN561" s="84"/>
      <c r="BO561" s="84"/>
      <c r="BP561" s="84"/>
      <c r="BQ561" s="84"/>
      <c r="BR561" s="84"/>
    </row>
    <row r="562" spans="1:70" ht="15.75" customHeight="1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  <c r="AL562" s="84"/>
      <c r="AM562" s="84"/>
      <c r="AN562" s="84"/>
      <c r="AO562" s="84"/>
      <c r="AP562" s="84"/>
      <c r="AQ562" s="84"/>
      <c r="AR562" s="84"/>
      <c r="AS562" s="84"/>
      <c r="AT562" s="84"/>
      <c r="AU562" s="84"/>
      <c r="AV562" s="84"/>
      <c r="AW562" s="84"/>
      <c r="AX562" s="84"/>
      <c r="AY562" s="84"/>
      <c r="AZ562" s="84"/>
      <c r="BA562" s="84"/>
      <c r="BB562" s="84"/>
      <c r="BC562" s="84"/>
      <c r="BD562" s="84"/>
      <c r="BE562" s="84"/>
      <c r="BF562" s="84"/>
      <c r="BG562" s="84"/>
      <c r="BH562" s="84"/>
      <c r="BI562" s="84"/>
      <c r="BJ562" s="84"/>
      <c r="BK562" s="84"/>
      <c r="BL562" s="84"/>
      <c r="BM562" s="84"/>
      <c r="BN562" s="84"/>
      <c r="BO562" s="84"/>
      <c r="BP562" s="84"/>
      <c r="BQ562" s="84"/>
      <c r="BR562" s="84"/>
    </row>
    <row r="563" spans="1:70" ht="15.75" customHeight="1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  <c r="AL563" s="84"/>
      <c r="AM563" s="84"/>
      <c r="AN563" s="84"/>
      <c r="AO563" s="84"/>
      <c r="AP563" s="84"/>
      <c r="AQ563" s="84"/>
      <c r="AR563" s="84"/>
      <c r="AS563" s="84"/>
      <c r="AT563" s="84"/>
      <c r="AU563" s="84"/>
      <c r="AV563" s="84"/>
      <c r="AW563" s="84"/>
      <c r="AX563" s="84"/>
      <c r="AY563" s="84"/>
      <c r="AZ563" s="84"/>
      <c r="BA563" s="84"/>
      <c r="BB563" s="84"/>
      <c r="BC563" s="84"/>
      <c r="BD563" s="84"/>
      <c r="BE563" s="84"/>
      <c r="BF563" s="84"/>
      <c r="BG563" s="84"/>
      <c r="BH563" s="84"/>
      <c r="BI563" s="84"/>
      <c r="BJ563" s="84"/>
      <c r="BK563" s="84"/>
      <c r="BL563" s="84"/>
      <c r="BM563" s="84"/>
      <c r="BN563" s="84"/>
      <c r="BO563" s="84"/>
      <c r="BP563" s="84"/>
      <c r="BQ563" s="84"/>
      <c r="BR563" s="84"/>
    </row>
    <row r="564" spans="1:70" ht="15.75" customHeight="1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  <c r="AL564" s="84"/>
      <c r="AM564" s="84"/>
      <c r="AN564" s="84"/>
      <c r="AO564" s="84"/>
      <c r="AP564" s="84"/>
      <c r="AQ564" s="84"/>
      <c r="AR564" s="84"/>
      <c r="AS564" s="84"/>
      <c r="AT564" s="84"/>
      <c r="AU564" s="84"/>
      <c r="AV564" s="84"/>
      <c r="AW564" s="84"/>
      <c r="AX564" s="84"/>
      <c r="AY564" s="84"/>
      <c r="AZ564" s="84"/>
      <c r="BA564" s="84"/>
      <c r="BB564" s="84"/>
      <c r="BC564" s="84"/>
      <c r="BD564" s="84"/>
      <c r="BE564" s="84"/>
      <c r="BF564" s="84"/>
      <c r="BG564" s="84"/>
      <c r="BH564" s="84"/>
      <c r="BI564" s="84"/>
      <c r="BJ564" s="84"/>
      <c r="BK564" s="84"/>
      <c r="BL564" s="84"/>
      <c r="BM564" s="84"/>
      <c r="BN564" s="84"/>
      <c r="BO564" s="84"/>
      <c r="BP564" s="84"/>
      <c r="BQ564" s="84"/>
      <c r="BR564" s="84"/>
    </row>
    <row r="565" spans="1:70" ht="15.75" customHeight="1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  <c r="AL565" s="84"/>
      <c r="AM565" s="84"/>
      <c r="AN565" s="84"/>
      <c r="AO565" s="84"/>
      <c r="AP565" s="84"/>
      <c r="AQ565" s="84"/>
      <c r="AR565" s="84"/>
      <c r="AS565" s="84"/>
      <c r="AT565" s="84"/>
      <c r="AU565" s="84"/>
      <c r="AV565" s="84"/>
      <c r="AW565" s="84"/>
      <c r="AX565" s="84"/>
      <c r="AY565" s="84"/>
      <c r="AZ565" s="84"/>
      <c r="BA565" s="84"/>
      <c r="BB565" s="84"/>
      <c r="BC565" s="84"/>
      <c r="BD565" s="84"/>
      <c r="BE565" s="84"/>
      <c r="BF565" s="84"/>
      <c r="BG565" s="84"/>
      <c r="BH565" s="84"/>
      <c r="BI565" s="84"/>
      <c r="BJ565" s="84"/>
      <c r="BK565" s="84"/>
      <c r="BL565" s="84"/>
      <c r="BM565" s="84"/>
      <c r="BN565" s="84"/>
      <c r="BO565" s="84"/>
      <c r="BP565" s="84"/>
      <c r="BQ565" s="84"/>
      <c r="BR565" s="84"/>
    </row>
    <row r="566" spans="1:70" ht="15.75" customHeight="1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  <c r="AL566" s="84"/>
      <c r="AM566" s="84"/>
      <c r="AN566" s="84"/>
      <c r="AO566" s="84"/>
      <c r="AP566" s="84"/>
      <c r="AQ566" s="84"/>
      <c r="AR566" s="84"/>
      <c r="AS566" s="84"/>
      <c r="AT566" s="84"/>
      <c r="AU566" s="84"/>
      <c r="AV566" s="84"/>
      <c r="AW566" s="84"/>
      <c r="AX566" s="84"/>
      <c r="AY566" s="84"/>
      <c r="AZ566" s="84"/>
      <c r="BA566" s="84"/>
      <c r="BB566" s="84"/>
      <c r="BC566" s="84"/>
      <c r="BD566" s="84"/>
      <c r="BE566" s="84"/>
      <c r="BF566" s="84"/>
      <c r="BG566" s="84"/>
      <c r="BH566" s="84"/>
      <c r="BI566" s="84"/>
      <c r="BJ566" s="84"/>
      <c r="BK566" s="84"/>
      <c r="BL566" s="84"/>
      <c r="BM566" s="84"/>
      <c r="BN566" s="84"/>
      <c r="BO566" s="84"/>
      <c r="BP566" s="84"/>
      <c r="BQ566" s="84"/>
      <c r="BR566" s="84"/>
    </row>
    <row r="567" spans="1:70" ht="15.75" customHeight="1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  <c r="AL567" s="84"/>
      <c r="AM567" s="84"/>
      <c r="AN567" s="84"/>
      <c r="AO567" s="84"/>
      <c r="AP567" s="84"/>
      <c r="AQ567" s="84"/>
      <c r="AR567" s="84"/>
      <c r="AS567" s="84"/>
      <c r="AT567" s="84"/>
      <c r="AU567" s="84"/>
      <c r="AV567" s="84"/>
      <c r="AW567" s="84"/>
      <c r="AX567" s="84"/>
      <c r="AY567" s="84"/>
      <c r="AZ567" s="84"/>
      <c r="BA567" s="84"/>
      <c r="BB567" s="84"/>
      <c r="BC567" s="84"/>
      <c r="BD567" s="84"/>
      <c r="BE567" s="84"/>
      <c r="BF567" s="84"/>
      <c r="BG567" s="84"/>
      <c r="BH567" s="84"/>
      <c r="BI567" s="84"/>
      <c r="BJ567" s="84"/>
      <c r="BK567" s="84"/>
      <c r="BL567" s="84"/>
      <c r="BM567" s="84"/>
      <c r="BN567" s="84"/>
      <c r="BO567" s="84"/>
      <c r="BP567" s="84"/>
      <c r="BQ567" s="84"/>
      <c r="BR567" s="84"/>
    </row>
    <row r="568" spans="1:70" ht="15.75" customHeight="1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  <c r="AL568" s="84"/>
      <c r="AM568" s="84"/>
      <c r="AN568" s="84"/>
      <c r="AO568" s="84"/>
      <c r="AP568" s="84"/>
      <c r="AQ568" s="84"/>
      <c r="AR568" s="84"/>
      <c r="AS568" s="84"/>
      <c r="AT568" s="84"/>
      <c r="AU568" s="84"/>
      <c r="AV568" s="84"/>
      <c r="AW568" s="84"/>
      <c r="AX568" s="84"/>
      <c r="AY568" s="84"/>
      <c r="AZ568" s="84"/>
      <c r="BA568" s="84"/>
      <c r="BB568" s="84"/>
      <c r="BC568" s="84"/>
      <c r="BD568" s="84"/>
      <c r="BE568" s="84"/>
      <c r="BF568" s="84"/>
      <c r="BG568" s="84"/>
      <c r="BH568" s="84"/>
      <c r="BI568" s="84"/>
      <c r="BJ568" s="84"/>
      <c r="BK568" s="84"/>
      <c r="BL568" s="84"/>
      <c r="BM568" s="84"/>
      <c r="BN568" s="84"/>
      <c r="BO568" s="84"/>
      <c r="BP568" s="84"/>
      <c r="BQ568" s="84"/>
      <c r="BR568" s="84"/>
    </row>
    <row r="569" spans="1:70" ht="15.75" customHeight="1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  <c r="AL569" s="84"/>
      <c r="AM569" s="84"/>
      <c r="AN569" s="84"/>
      <c r="AO569" s="84"/>
      <c r="AP569" s="84"/>
      <c r="AQ569" s="84"/>
      <c r="AR569" s="84"/>
      <c r="AS569" s="84"/>
      <c r="AT569" s="84"/>
      <c r="AU569" s="84"/>
      <c r="AV569" s="84"/>
      <c r="AW569" s="84"/>
      <c r="AX569" s="84"/>
      <c r="AY569" s="84"/>
      <c r="AZ569" s="84"/>
      <c r="BA569" s="84"/>
      <c r="BB569" s="84"/>
      <c r="BC569" s="84"/>
      <c r="BD569" s="84"/>
      <c r="BE569" s="84"/>
      <c r="BF569" s="84"/>
      <c r="BG569" s="84"/>
      <c r="BH569" s="84"/>
      <c r="BI569" s="84"/>
      <c r="BJ569" s="84"/>
      <c r="BK569" s="84"/>
      <c r="BL569" s="84"/>
      <c r="BM569" s="84"/>
      <c r="BN569" s="84"/>
      <c r="BO569" s="84"/>
      <c r="BP569" s="84"/>
      <c r="BQ569" s="84"/>
      <c r="BR569" s="84"/>
    </row>
    <row r="570" spans="1:70" ht="15.75" customHeight="1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  <c r="AL570" s="84"/>
      <c r="AM570" s="84"/>
      <c r="AN570" s="84"/>
      <c r="AO570" s="84"/>
      <c r="AP570" s="84"/>
      <c r="AQ570" s="84"/>
      <c r="AR570" s="84"/>
      <c r="AS570" s="84"/>
      <c r="AT570" s="84"/>
      <c r="AU570" s="84"/>
      <c r="AV570" s="84"/>
      <c r="AW570" s="84"/>
      <c r="AX570" s="84"/>
      <c r="AY570" s="84"/>
      <c r="AZ570" s="84"/>
      <c r="BA570" s="84"/>
      <c r="BB570" s="84"/>
      <c r="BC570" s="84"/>
      <c r="BD570" s="84"/>
      <c r="BE570" s="84"/>
      <c r="BF570" s="84"/>
      <c r="BG570" s="84"/>
      <c r="BH570" s="84"/>
      <c r="BI570" s="84"/>
      <c r="BJ570" s="84"/>
      <c r="BK570" s="84"/>
      <c r="BL570" s="84"/>
      <c r="BM570" s="84"/>
      <c r="BN570" s="84"/>
      <c r="BO570" s="84"/>
      <c r="BP570" s="84"/>
      <c r="BQ570" s="84"/>
      <c r="BR570" s="84"/>
    </row>
    <row r="571" spans="1:70" ht="15.75" customHeight="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  <c r="AL571" s="84"/>
      <c r="AM571" s="84"/>
      <c r="AN571" s="84"/>
      <c r="AO571" s="84"/>
      <c r="AP571" s="84"/>
      <c r="AQ571" s="84"/>
      <c r="AR571" s="84"/>
      <c r="AS571" s="84"/>
      <c r="AT571" s="84"/>
      <c r="AU571" s="84"/>
      <c r="AV571" s="84"/>
      <c r="AW571" s="84"/>
      <c r="AX571" s="84"/>
      <c r="AY571" s="84"/>
      <c r="AZ571" s="84"/>
      <c r="BA571" s="84"/>
      <c r="BB571" s="84"/>
      <c r="BC571" s="84"/>
      <c r="BD571" s="84"/>
      <c r="BE571" s="84"/>
      <c r="BF571" s="84"/>
      <c r="BG571" s="84"/>
      <c r="BH571" s="84"/>
      <c r="BI571" s="84"/>
      <c r="BJ571" s="84"/>
      <c r="BK571" s="84"/>
      <c r="BL571" s="84"/>
      <c r="BM571" s="84"/>
      <c r="BN571" s="84"/>
      <c r="BO571" s="84"/>
      <c r="BP571" s="84"/>
      <c r="BQ571" s="84"/>
      <c r="BR571" s="84"/>
    </row>
    <row r="572" spans="1:70" ht="15.75" customHeight="1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  <c r="AL572" s="84"/>
      <c r="AM572" s="84"/>
      <c r="AN572" s="84"/>
      <c r="AO572" s="84"/>
      <c r="AP572" s="84"/>
      <c r="AQ572" s="84"/>
      <c r="AR572" s="84"/>
      <c r="AS572" s="84"/>
      <c r="AT572" s="84"/>
      <c r="AU572" s="84"/>
      <c r="AV572" s="84"/>
      <c r="AW572" s="84"/>
      <c r="AX572" s="84"/>
      <c r="AY572" s="84"/>
      <c r="AZ572" s="84"/>
      <c r="BA572" s="84"/>
      <c r="BB572" s="84"/>
      <c r="BC572" s="84"/>
      <c r="BD572" s="84"/>
      <c r="BE572" s="84"/>
      <c r="BF572" s="84"/>
      <c r="BG572" s="84"/>
      <c r="BH572" s="84"/>
      <c r="BI572" s="84"/>
      <c r="BJ572" s="84"/>
      <c r="BK572" s="84"/>
      <c r="BL572" s="84"/>
      <c r="BM572" s="84"/>
      <c r="BN572" s="84"/>
      <c r="BO572" s="84"/>
      <c r="BP572" s="84"/>
      <c r="BQ572" s="84"/>
      <c r="BR572" s="84"/>
    </row>
    <row r="573" spans="1:70" ht="15.75" customHeight="1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  <c r="AL573" s="84"/>
      <c r="AM573" s="84"/>
      <c r="AN573" s="84"/>
      <c r="AO573" s="84"/>
      <c r="AP573" s="84"/>
      <c r="AQ573" s="84"/>
      <c r="AR573" s="84"/>
      <c r="AS573" s="84"/>
      <c r="AT573" s="84"/>
      <c r="AU573" s="84"/>
      <c r="AV573" s="84"/>
      <c r="AW573" s="84"/>
      <c r="AX573" s="84"/>
      <c r="AY573" s="84"/>
      <c r="AZ573" s="84"/>
      <c r="BA573" s="84"/>
      <c r="BB573" s="84"/>
      <c r="BC573" s="84"/>
      <c r="BD573" s="84"/>
      <c r="BE573" s="84"/>
      <c r="BF573" s="84"/>
      <c r="BG573" s="84"/>
      <c r="BH573" s="84"/>
      <c r="BI573" s="84"/>
      <c r="BJ573" s="84"/>
      <c r="BK573" s="84"/>
      <c r="BL573" s="84"/>
      <c r="BM573" s="84"/>
      <c r="BN573" s="84"/>
      <c r="BO573" s="84"/>
      <c r="BP573" s="84"/>
      <c r="BQ573" s="84"/>
      <c r="BR573" s="84"/>
    </row>
    <row r="574" spans="1:70" ht="15.75" customHeight="1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  <c r="AL574" s="84"/>
      <c r="AM574" s="84"/>
      <c r="AN574" s="84"/>
      <c r="AO574" s="84"/>
      <c r="AP574" s="84"/>
      <c r="AQ574" s="84"/>
      <c r="AR574" s="84"/>
      <c r="AS574" s="84"/>
      <c r="AT574" s="84"/>
      <c r="AU574" s="84"/>
      <c r="AV574" s="84"/>
      <c r="AW574" s="84"/>
      <c r="AX574" s="84"/>
      <c r="AY574" s="84"/>
      <c r="AZ574" s="84"/>
      <c r="BA574" s="84"/>
      <c r="BB574" s="84"/>
      <c r="BC574" s="84"/>
      <c r="BD574" s="84"/>
      <c r="BE574" s="84"/>
      <c r="BF574" s="84"/>
      <c r="BG574" s="84"/>
      <c r="BH574" s="84"/>
      <c r="BI574" s="84"/>
      <c r="BJ574" s="84"/>
      <c r="BK574" s="84"/>
      <c r="BL574" s="84"/>
      <c r="BM574" s="84"/>
      <c r="BN574" s="84"/>
      <c r="BO574" s="84"/>
      <c r="BP574" s="84"/>
      <c r="BQ574" s="84"/>
      <c r="BR574" s="84"/>
    </row>
    <row r="575" spans="1:70" ht="15.75" customHeight="1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  <c r="AL575" s="84"/>
      <c r="AM575" s="84"/>
      <c r="AN575" s="84"/>
      <c r="AO575" s="84"/>
      <c r="AP575" s="84"/>
      <c r="AQ575" s="84"/>
      <c r="AR575" s="84"/>
      <c r="AS575" s="84"/>
      <c r="AT575" s="84"/>
      <c r="AU575" s="84"/>
      <c r="AV575" s="84"/>
      <c r="AW575" s="84"/>
      <c r="AX575" s="84"/>
      <c r="AY575" s="84"/>
      <c r="AZ575" s="84"/>
      <c r="BA575" s="84"/>
      <c r="BB575" s="84"/>
      <c r="BC575" s="84"/>
      <c r="BD575" s="84"/>
      <c r="BE575" s="84"/>
      <c r="BF575" s="84"/>
      <c r="BG575" s="84"/>
      <c r="BH575" s="84"/>
      <c r="BI575" s="84"/>
      <c r="BJ575" s="84"/>
      <c r="BK575" s="84"/>
      <c r="BL575" s="84"/>
      <c r="BM575" s="84"/>
      <c r="BN575" s="84"/>
      <c r="BO575" s="84"/>
      <c r="BP575" s="84"/>
      <c r="BQ575" s="84"/>
      <c r="BR575" s="84"/>
    </row>
    <row r="576" spans="1:70" ht="15.75" customHeight="1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  <c r="AL576" s="84"/>
      <c r="AM576" s="84"/>
      <c r="AN576" s="84"/>
      <c r="AO576" s="84"/>
      <c r="AP576" s="84"/>
      <c r="AQ576" s="84"/>
      <c r="AR576" s="84"/>
      <c r="AS576" s="84"/>
      <c r="AT576" s="84"/>
      <c r="AU576" s="84"/>
      <c r="AV576" s="84"/>
      <c r="AW576" s="84"/>
      <c r="AX576" s="84"/>
      <c r="AY576" s="84"/>
      <c r="AZ576" s="84"/>
      <c r="BA576" s="84"/>
      <c r="BB576" s="84"/>
      <c r="BC576" s="84"/>
      <c r="BD576" s="84"/>
      <c r="BE576" s="84"/>
      <c r="BF576" s="84"/>
      <c r="BG576" s="84"/>
      <c r="BH576" s="84"/>
      <c r="BI576" s="84"/>
      <c r="BJ576" s="84"/>
      <c r="BK576" s="84"/>
      <c r="BL576" s="84"/>
      <c r="BM576" s="84"/>
      <c r="BN576" s="84"/>
      <c r="BO576" s="84"/>
      <c r="BP576" s="84"/>
      <c r="BQ576" s="84"/>
      <c r="BR576" s="84"/>
    </row>
    <row r="577" spans="1:70" ht="15.75" customHeight="1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  <c r="AL577" s="84"/>
      <c r="AM577" s="84"/>
      <c r="AN577" s="84"/>
      <c r="AO577" s="84"/>
      <c r="AP577" s="84"/>
      <c r="AQ577" s="84"/>
      <c r="AR577" s="84"/>
      <c r="AS577" s="84"/>
      <c r="AT577" s="84"/>
      <c r="AU577" s="84"/>
      <c r="AV577" s="84"/>
      <c r="AW577" s="84"/>
      <c r="AX577" s="84"/>
      <c r="AY577" s="84"/>
      <c r="AZ577" s="84"/>
      <c r="BA577" s="84"/>
      <c r="BB577" s="84"/>
      <c r="BC577" s="84"/>
      <c r="BD577" s="84"/>
      <c r="BE577" s="84"/>
      <c r="BF577" s="84"/>
      <c r="BG577" s="84"/>
      <c r="BH577" s="84"/>
      <c r="BI577" s="84"/>
      <c r="BJ577" s="84"/>
      <c r="BK577" s="84"/>
      <c r="BL577" s="84"/>
      <c r="BM577" s="84"/>
      <c r="BN577" s="84"/>
      <c r="BO577" s="84"/>
      <c r="BP577" s="84"/>
      <c r="BQ577" s="84"/>
      <c r="BR577" s="84"/>
    </row>
    <row r="578" spans="1:70" ht="15.75" customHeight="1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  <c r="AL578" s="84"/>
      <c r="AM578" s="84"/>
      <c r="AN578" s="84"/>
      <c r="AO578" s="84"/>
      <c r="AP578" s="84"/>
      <c r="AQ578" s="84"/>
      <c r="AR578" s="84"/>
      <c r="AS578" s="84"/>
      <c r="AT578" s="84"/>
      <c r="AU578" s="84"/>
      <c r="AV578" s="84"/>
      <c r="AW578" s="84"/>
      <c r="AX578" s="84"/>
      <c r="AY578" s="84"/>
      <c r="AZ578" s="84"/>
      <c r="BA578" s="84"/>
      <c r="BB578" s="84"/>
      <c r="BC578" s="84"/>
      <c r="BD578" s="84"/>
      <c r="BE578" s="84"/>
      <c r="BF578" s="84"/>
      <c r="BG578" s="84"/>
      <c r="BH578" s="84"/>
      <c r="BI578" s="84"/>
      <c r="BJ578" s="84"/>
      <c r="BK578" s="84"/>
      <c r="BL578" s="84"/>
      <c r="BM578" s="84"/>
      <c r="BN578" s="84"/>
      <c r="BO578" s="84"/>
      <c r="BP578" s="84"/>
      <c r="BQ578" s="84"/>
      <c r="BR578" s="84"/>
    </row>
    <row r="579" spans="1:70" ht="15.75" customHeight="1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  <c r="AL579" s="84"/>
      <c r="AM579" s="84"/>
      <c r="AN579" s="84"/>
      <c r="AO579" s="84"/>
      <c r="AP579" s="84"/>
      <c r="AQ579" s="84"/>
      <c r="AR579" s="84"/>
      <c r="AS579" s="84"/>
      <c r="AT579" s="84"/>
      <c r="AU579" s="84"/>
      <c r="AV579" s="84"/>
      <c r="AW579" s="84"/>
      <c r="AX579" s="84"/>
      <c r="AY579" s="84"/>
      <c r="AZ579" s="84"/>
      <c r="BA579" s="84"/>
      <c r="BB579" s="84"/>
      <c r="BC579" s="84"/>
      <c r="BD579" s="84"/>
      <c r="BE579" s="84"/>
      <c r="BF579" s="84"/>
      <c r="BG579" s="84"/>
      <c r="BH579" s="84"/>
      <c r="BI579" s="84"/>
      <c r="BJ579" s="84"/>
      <c r="BK579" s="84"/>
      <c r="BL579" s="84"/>
      <c r="BM579" s="84"/>
      <c r="BN579" s="84"/>
      <c r="BO579" s="84"/>
      <c r="BP579" s="84"/>
      <c r="BQ579" s="84"/>
      <c r="BR579" s="84"/>
    </row>
    <row r="580" spans="1:70" ht="15.75" customHeight="1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  <c r="AL580" s="84"/>
      <c r="AM580" s="84"/>
      <c r="AN580" s="84"/>
      <c r="AO580" s="84"/>
      <c r="AP580" s="84"/>
      <c r="AQ580" s="84"/>
      <c r="AR580" s="84"/>
      <c r="AS580" s="84"/>
      <c r="AT580" s="84"/>
      <c r="AU580" s="84"/>
      <c r="AV580" s="84"/>
      <c r="AW580" s="84"/>
      <c r="AX580" s="84"/>
      <c r="AY580" s="84"/>
      <c r="AZ580" s="84"/>
      <c r="BA580" s="84"/>
      <c r="BB580" s="84"/>
      <c r="BC580" s="84"/>
      <c r="BD580" s="84"/>
      <c r="BE580" s="84"/>
      <c r="BF580" s="84"/>
      <c r="BG580" s="84"/>
      <c r="BH580" s="84"/>
      <c r="BI580" s="84"/>
      <c r="BJ580" s="84"/>
      <c r="BK580" s="84"/>
      <c r="BL580" s="84"/>
      <c r="BM580" s="84"/>
      <c r="BN580" s="84"/>
      <c r="BO580" s="84"/>
      <c r="BP580" s="84"/>
      <c r="BQ580" s="84"/>
      <c r="BR580" s="84"/>
    </row>
    <row r="581" spans="1:70" ht="15.75" customHeight="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  <c r="AL581" s="84"/>
      <c r="AM581" s="84"/>
      <c r="AN581" s="84"/>
      <c r="AO581" s="84"/>
      <c r="AP581" s="84"/>
      <c r="AQ581" s="84"/>
      <c r="AR581" s="84"/>
      <c r="AS581" s="84"/>
      <c r="AT581" s="84"/>
      <c r="AU581" s="84"/>
      <c r="AV581" s="84"/>
      <c r="AW581" s="84"/>
      <c r="AX581" s="84"/>
      <c r="AY581" s="84"/>
      <c r="AZ581" s="84"/>
      <c r="BA581" s="84"/>
      <c r="BB581" s="84"/>
      <c r="BC581" s="84"/>
      <c r="BD581" s="84"/>
      <c r="BE581" s="84"/>
      <c r="BF581" s="84"/>
      <c r="BG581" s="84"/>
      <c r="BH581" s="84"/>
      <c r="BI581" s="84"/>
      <c r="BJ581" s="84"/>
      <c r="BK581" s="84"/>
      <c r="BL581" s="84"/>
      <c r="BM581" s="84"/>
      <c r="BN581" s="84"/>
      <c r="BO581" s="84"/>
      <c r="BP581" s="84"/>
      <c r="BQ581" s="84"/>
      <c r="BR581" s="84"/>
    </row>
    <row r="582" spans="1:70" ht="15.75" customHeight="1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  <c r="AL582" s="84"/>
      <c r="AM582" s="84"/>
      <c r="AN582" s="84"/>
      <c r="AO582" s="84"/>
      <c r="AP582" s="84"/>
      <c r="AQ582" s="84"/>
      <c r="AR582" s="84"/>
      <c r="AS582" s="84"/>
      <c r="AT582" s="84"/>
      <c r="AU582" s="84"/>
      <c r="AV582" s="84"/>
      <c r="AW582" s="84"/>
      <c r="AX582" s="84"/>
      <c r="AY582" s="84"/>
      <c r="AZ582" s="84"/>
      <c r="BA582" s="84"/>
      <c r="BB582" s="84"/>
      <c r="BC582" s="84"/>
      <c r="BD582" s="84"/>
      <c r="BE582" s="84"/>
      <c r="BF582" s="84"/>
      <c r="BG582" s="84"/>
      <c r="BH582" s="84"/>
      <c r="BI582" s="84"/>
      <c r="BJ582" s="84"/>
      <c r="BK582" s="84"/>
      <c r="BL582" s="84"/>
      <c r="BM582" s="84"/>
      <c r="BN582" s="84"/>
      <c r="BO582" s="84"/>
      <c r="BP582" s="84"/>
      <c r="BQ582" s="84"/>
      <c r="BR582" s="84"/>
    </row>
    <row r="583" spans="1:70" ht="15.75" customHeight="1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  <c r="AL583" s="84"/>
      <c r="AM583" s="84"/>
      <c r="AN583" s="84"/>
      <c r="AO583" s="84"/>
      <c r="AP583" s="84"/>
      <c r="AQ583" s="84"/>
      <c r="AR583" s="84"/>
      <c r="AS583" s="84"/>
      <c r="AT583" s="84"/>
      <c r="AU583" s="84"/>
      <c r="AV583" s="84"/>
      <c r="AW583" s="84"/>
      <c r="AX583" s="84"/>
      <c r="AY583" s="84"/>
      <c r="AZ583" s="84"/>
      <c r="BA583" s="84"/>
      <c r="BB583" s="84"/>
      <c r="BC583" s="84"/>
      <c r="BD583" s="84"/>
      <c r="BE583" s="84"/>
      <c r="BF583" s="84"/>
      <c r="BG583" s="84"/>
      <c r="BH583" s="84"/>
      <c r="BI583" s="84"/>
      <c r="BJ583" s="84"/>
      <c r="BK583" s="84"/>
      <c r="BL583" s="84"/>
      <c r="BM583" s="84"/>
      <c r="BN583" s="84"/>
      <c r="BO583" s="84"/>
      <c r="BP583" s="84"/>
      <c r="BQ583" s="84"/>
      <c r="BR583" s="84"/>
    </row>
    <row r="584" spans="1:70" ht="15.75" customHeight="1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  <c r="AL584" s="84"/>
      <c r="AM584" s="84"/>
      <c r="AN584" s="84"/>
      <c r="AO584" s="84"/>
      <c r="AP584" s="84"/>
      <c r="AQ584" s="84"/>
      <c r="AR584" s="84"/>
      <c r="AS584" s="84"/>
      <c r="AT584" s="84"/>
      <c r="AU584" s="84"/>
      <c r="AV584" s="84"/>
      <c r="AW584" s="84"/>
      <c r="AX584" s="84"/>
      <c r="AY584" s="84"/>
      <c r="AZ584" s="84"/>
      <c r="BA584" s="84"/>
      <c r="BB584" s="84"/>
      <c r="BC584" s="84"/>
      <c r="BD584" s="84"/>
      <c r="BE584" s="84"/>
      <c r="BF584" s="84"/>
      <c r="BG584" s="84"/>
      <c r="BH584" s="84"/>
      <c r="BI584" s="84"/>
      <c r="BJ584" s="84"/>
      <c r="BK584" s="84"/>
      <c r="BL584" s="84"/>
      <c r="BM584" s="84"/>
      <c r="BN584" s="84"/>
      <c r="BO584" s="84"/>
      <c r="BP584" s="84"/>
      <c r="BQ584" s="84"/>
      <c r="BR584" s="84"/>
    </row>
    <row r="585" spans="1:70" ht="15.75" customHeight="1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  <c r="AL585" s="84"/>
      <c r="AM585" s="84"/>
      <c r="AN585" s="84"/>
      <c r="AO585" s="84"/>
      <c r="AP585" s="84"/>
      <c r="AQ585" s="84"/>
      <c r="AR585" s="84"/>
      <c r="AS585" s="84"/>
      <c r="AT585" s="84"/>
      <c r="AU585" s="84"/>
      <c r="AV585" s="84"/>
      <c r="AW585" s="84"/>
      <c r="AX585" s="84"/>
      <c r="AY585" s="84"/>
      <c r="AZ585" s="84"/>
      <c r="BA585" s="84"/>
      <c r="BB585" s="84"/>
      <c r="BC585" s="84"/>
      <c r="BD585" s="84"/>
      <c r="BE585" s="84"/>
      <c r="BF585" s="84"/>
      <c r="BG585" s="84"/>
      <c r="BH585" s="84"/>
      <c r="BI585" s="84"/>
      <c r="BJ585" s="84"/>
      <c r="BK585" s="84"/>
      <c r="BL585" s="84"/>
      <c r="BM585" s="84"/>
      <c r="BN585" s="84"/>
      <c r="BO585" s="84"/>
      <c r="BP585" s="84"/>
      <c r="BQ585" s="84"/>
      <c r="BR585" s="84"/>
    </row>
    <row r="586" spans="1:70" ht="15.75" customHeight="1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  <c r="AL586" s="84"/>
      <c r="AM586" s="84"/>
      <c r="AN586" s="84"/>
      <c r="AO586" s="84"/>
      <c r="AP586" s="84"/>
      <c r="AQ586" s="84"/>
      <c r="AR586" s="84"/>
      <c r="AS586" s="84"/>
      <c r="AT586" s="84"/>
      <c r="AU586" s="84"/>
      <c r="AV586" s="84"/>
      <c r="AW586" s="84"/>
      <c r="AX586" s="84"/>
      <c r="AY586" s="84"/>
      <c r="AZ586" s="84"/>
      <c r="BA586" s="84"/>
      <c r="BB586" s="84"/>
      <c r="BC586" s="84"/>
      <c r="BD586" s="84"/>
      <c r="BE586" s="84"/>
      <c r="BF586" s="84"/>
      <c r="BG586" s="84"/>
      <c r="BH586" s="84"/>
      <c r="BI586" s="84"/>
      <c r="BJ586" s="84"/>
      <c r="BK586" s="84"/>
      <c r="BL586" s="84"/>
      <c r="BM586" s="84"/>
      <c r="BN586" s="84"/>
      <c r="BO586" s="84"/>
      <c r="BP586" s="84"/>
      <c r="BQ586" s="84"/>
      <c r="BR586" s="84"/>
    </row>
    <row r="587" spans="1:70" ht="15.75" customHeight="1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  <c r="AL587" s="84"/>
      <c r="AM587" s="84"/>
      <c r="AN587" s="84"/>
      <c r="AO587" s="84"/>
      <c r="AP587" s="84"/>
      <c r="AQ587" s="84"/>
      <c r="AR587" s="84"/>
      <c r="AS587" s="84"/>
      <c r="AT587" s="84"/>
      <c r="AU587" s="84"/>
      <c r="AV587" s="84"/>
      <c r="AW587" s="84"/>
      <c r="AX587" s="84"/>
      <c r="AY587" s="84"/>
      <c r="AZ587" s="84"/>
      <c r="BA587" s="84"/>
      <c r="BB587" s="84"/>
      <c r="BC587" s="84"/>
      <c r="BD587" s="84"/>
      <c r="BE587" s="84"/>
      <c r="BF587" s="84"/>
      <c r="BG587" s="84"/>
      <c r="BH587" s="84"/>
      <c r="BI587" s="84"/>
      <c r="BJ587" s="84"/>
      <c r="BK587" s="84"/>
      <c r="BL587" s="84"/>
      <c r="BM587" s="84"/>
      <c r="BN587" s="84"/>
      <c r="BO587" s="84"/>
      <c r="BP587" s="84"/>
      <c r="BQ587" s="84"/>
      <c r="BR587" s="84"/>
    </row>
    <row r="588" spans="1:70" ht="15.75" customHeight="1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  <c r="AL588" s="84"/>
      <c r="AM588" s="84"/>
      <c r="AN588" s="84"/>
      <c r="AO588" s="84"/>
      <c r="AP588" s="84"/>
      <c r="AQ588" s="84"/>
      <c r="AR588" s="84"/>
      <c r="AS588" s="84"/>
      <c r="AT588" s="84"/>
      <c r="AU588" s="84"/>
      <c r="AV588" s="84"/>
      <c r="AW588" s="84"/>
      <c r="AX588" s="84"/>
      <c r="AY588" s="84"/>
      <c r="AZ588" s="84"/>
      <c r="BA588" s="84"/>
      <c r="BB588" s="84"/>
      <c r="BC588" s="84"/>
      <c r="BD588" s="84"/>
      <c r="BE588" s="84"/>
      <c r="BF588" s="84"/>
      <c r="BG588" s="84"/>
      <c r="BH588" s="84"/>
      <c r="BI588" s="84"/>
      <c r="BJ588" s="84"/>
      <c r="BK588" s="84"/>
      <c r="BL588" s="84"/>
      <c r="BM588" s="84"/>
      <c r="BN588" s="84"/>
      <c r="BO588" s="84"/>
      <c r="BP588" s="84"/>
      <c r="BQ588" s="84"/>
      <c r="BR588" s="84"/>
    </row>
    <row r="589" spans="1:70" ht="15.75" customHeight="1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  <c r="AL589" s="84"/>
      <c r="AM589" s="84"/>
      <c r="AN589" s="84"/>
      <c r="AO589" s="84"/>
      <c r="AP589" s="84"/>
      <c r="AQ589" s="84"/>
      <c r="AR589" s="84"/>
      <c r="AS589" s="84"/>
      <c r="AT589" s="84"/>
      <c r="AU589" s="84"/>
      <c r="AV589" s="84"/>
      <c r="AW589" s="84"/>
      <c r="AX589" s="84"/>
      <c r="AY589" s="84"/>
      <c r="AZ589" s="84"/>
      <c r="BA589" s="84"/>
      <c r="BB589" s="84"/>
      <c r="BC589" s="84"/>
      <c r="BD589" s="84"/>
      <c r="BE589" s="84"/>
      <c r="BF589" s="84"/>
      <c r="BG589" s="84"/>
      <c r="BH589" s="84"/>
      <c r="BI589" s="84"/>
      <c r="BJ589" s="84"/>
      <c r="BK589" s="84"/>
      <c r="BL589" s="84"/>
      <c r="BM589" s="84"/>
      <c r="BN589" s="84"/>
      <c r="BO589" s="84"/>
      <c r="BP589" s="84"/>
      <c r="BQ589" s="84"/>
      <c r="BR589" s="84"/>
    </row>
    <row r="590" spans="1:70" ht="15.75" customHeight="1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  <c r="AL590" s="84"/>
      <c r="AM590" s="84"/>
      <c r="AN590" s="84"/>
      <c r="AO590" s="84"/>
      <c r="AP590" s="84"/>
      <c r="AQ590" s="84"/>
      <c r="AR590" s="84"/>
      <c r="AS590" s="84"/>
      <c r="AT590" s="84"/>
      <c r="AU590" s="84"/>
      <c r="AV590" s="84"/>
      <c r="AW590" s="84"/>
      <c r="AX590" s="84"/>
      <c r="AY590" s="84"/>
      <c r="AZ590" s="84"/>
      <c r="BA590" s="84"/>
      <c r="BB590" s="84"/>
      <c r="BC590" s="84"/>
      <c r="BD590" s="84"/>
      <c r="BE590" s="84"/>
      <c r="BF590" s="84"/>
      <c r="BG590" s="84"/>
      <c r="BH590" s="84"/>
      <c r="BI590" s="84"/>
      <c r="BJ590" s="84"/>
      <c r="BK590" s="84"/>
      <c r="BL590" s="84"/>
      <c r="BM590" s="84"/>
      <c r="BN590" s="84"/>
      <c r="BO590" s="84"/>
      <c r="BP590" s="84"/>
      <c r="BQ590" s="84"/>
      <c r="BR590" s="84"/>
    </row>
    <row r="591" spans="1:70" ht="15.75" customHeight="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  <c r="AL591" s="84"/>
      <c r="AM591" s="84"/>
      <c r="AN591" s="84"/>
      <c r="AO591" s="84"/>
      <c r="AP591" s="84"/>
      <c r="AQ591" s="84"/>
      <c r="AR591" s="84"/>
      <c r="AS591" s="84"/>
      <c r="AT591" s="84"/>
      <c r="AU591" s="84"/>
      <c r="AV591" s="84"/>
      <c r="AW591" s="84"/>
      <c r="AX591" s="84"/>
      <c r="AY591" s="84"/>
      <c r="AZ591" s="84"/>
      <c r="BA591" s="84"/>
      <c r="BB591" s="84"/>
      <c r="BC591" s="84"/>
      <c r="BD591" s="84"/>
      <c r="BE591" s="84"/>
      <c r="BF591" s="84"/>
      <c r="BG591" s="84"/>
      <c r="BH591" s="84"/>
      <c r="BI591" s="84"/>
      <c r="BJ591" s="84"/>
      <c r="BK591" s="84"/>
      <c r="BL591" s="84"/>
      <c r="BM591" s="84"/>
      <c r="BN591" s="84"/>
      <c r="BO591" s="84"/>
      <c r="BP591" s="84"/>
      <c r="BQ591" s="84"/>
      <c r="BR591" s="84"/>
    </row>
    <row r="592" spans="1:70" ht="15.75" customHeight="1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  <c r="AL592" s="84"/>
      <c r="AM592" s="84"/>
      <c r="AN592" s="84"/>
      <c r="AO592" s="84"/>
      <c r="AP592" s="84"/>
      <c r="AQ592" s="84"/>
      <c r="AR592" s="84"/>
      <c r="AS592" s="84"/>
      <c r="AT592" s="84"/>
      <c r="AU592" s="84"/>
      <c r="AV592" s="84"/>
      <c r="AW592" s="84"/>
      <c r="AX592" s="84"/>
      <c r="AY592" s="84"/>
      <c r="AZ592" s="84"/>
      <c r="BA592" s="84"/>
      <c r="BB592" s="84"/>
      <c r="BC592" s="84"/>
      <c r="BD592" s="84"/>
      <c r="BE592" s="84"/>
      <c r="BF592" s="84"/>
      <c r="BG592" s="84"/>
      <c r="BH592" s="84"/>
      <c r="BI592" s="84"/>
      <c r="BJ592" s="84"/>
      <c r="BK592" s="84"/>
      <c r="BL592" s="84"/>
      <c r="BM592" s="84"/>
      <c r="BN592" s="84"/>
      <c r="BO592" s="84"/>
      <c r="BP592" s="84"/>
      <c r="BQ592" s="84"/>
      <c r="BR592" s="84"/>
    </row>
    <row r="593" spans="1:70" ht="15.75" customHeight="1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  <c r="AL593" s="84"/>
      <c r="AM593" s="84"/>
      <c r="AN593" s="84"/>
      <c r="AO593" s="84"/>
      <c r="AP593" s="84"/>
      <c r="AQ593" s="84"/>
      <c r="AR593" s="84"/>
      <c r="AS593" s="84"/>
      <c r="AT593" s="84"/>
      <c r="AU593" s="84"/>
      <c r="AV593" s="84"/>
      <c r="AW593" s="84"/>
      <c r="AX593" s="84"/>
      <c r="AY593" s="84"/>
      <c r="AZ593" s="84"/>
      <c r="BA593" s="84"/>
      <c r="BB593" s="84"/>
      <c r="BC593" s="84"/>
      <c r="BD593" s="84"/>
      <c r="BE593" s="84"/>
      <c r="BF593" s="84"/>
      <c r="BG593" s="84"/>
      <c r="BH593" s="84"/>
      <c r="BI593" s="84"/>
      <c r="BJ593" s="84"/>
      <c r="BK593" s="84"/>
      <c r="BL593" s="84"/>
      <c r="BM593" s="84"/>
      <c r="BN593" s="84"/>
      <c r="BO593" s="84"/>
      <c r="BP593" s="84"/>
      <c r="BQ593" s="84"/>
      <c r="BR593" s="84"/>
    </row>
    <row r="594" spans="1:70" ht="15.75" customHeight="1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  <c r="AL594" s="84"/>
      <c r="AM594" s="84"/>
      <c r="AN594" s="84"/>
      <c r="AO594" s="84"/>
      <c r="AP594" s="84"/>
      <c r="AQ594" s="84"/>
      <c r="AR594" s="84"/>
      <c r="AS594" s="84"/>
      <c r="AT594" s="84"/>
      <c r="AU594" s="84"/>
      <c r="AV594" s="84"/>
      <c r="AW594" s="84"/>
      <c r="AX594" s="84"/>
      <c r="AY594" s="84"/>
      <c r="AZ594" s="84"/>
      <c r="BA594" s="84"/>
      <c r="BB594" s="84"/>
      <c r="BC594" s="84"/>
      <c r="BD594" s="84"/>
      <c r="BE594" s="84"/>
      <c r="BF594" s="84"/>
      <c r="BG594" s="84"/>
      <c r="BH594" s="84"/>
      <c r="BI594" s="84"/>
      <c r="BJ594" s="84"/>
      <c r="BK594" s="84"/>
      <c r="BL594" s="84"/>
      <c r="BM594" s="84"/>
      <c r="BN594" s="84"/>
      <c r="BO594" s="84"/>
      <c r="BP594" s="84"/>
      <c r="BQ594" s="84"/>
      <c r="BR594" s="84"/>
    </row>
    <row r="595" spans="1:70" ht="15.75" customHeight="1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  <c r="AL595" s="84"/>
      <c r="AM595" s="84"/>
      <c r="AN595" s="84"/>
      <c r="AO595" s="84"/>
      <c r="AP595" s="84"/>
      <c r="AQ595" s="84"/>
      <c r="AR595" s="84"/>
      <c r="AS595" s="84"/>
      <c r="AT595" s="84"/>
      <c r="AU595" s="84"/>
      <c r="AV595" s="84"/>
      <c r="AW595" s="84"/>
      <c r="AX595" s="84"/>
      <c r="AY595" s="84"/>
      <c r="AZ595" s="84"/>
      <c r="BA595" s="84"/>
      <c r="BB595" s="84"/>
      <c r="BC595" s="84"/>
      <c r="BD595" s="84"/>
      <c r="BE595" s="84"/>
      <c r="BF595" s="84"/>
      <c r="BG595" s="84"/>
      <c r="BH595" s="84"/>
      <c r="BI595" s="84"/>
      <c r="BJ595" s="84"/>
      <c r="BK595" s="84"/>
      <c r="BL595" s="84"/>
      <c r="BM595" s="84"/>
      <c r="BN595" s="84"/>
      <c r="BO595" s="84"/>
      <c r="BP595" s="84"/>
      <c r="BQ595" s="84"/>
      <c r="BR595" s="84"/>
    </row>
    <row r="596" spans="1:70" ht="15.75" customHeight="1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  <c r="AL596" s="84"/>
      <c r="AM596" s="84"/>
      <c r="AN596" s="84"/>
      <c r="AO596" s="84"/>
      <c r="AP596" s="84"/>
      <c r="AQ596" s="84"/>
      <c r="AR596" s="84"/>
      <c r="AS596" s="84"/>
      <c r="AT596" s="84"/>
      <c r="AU596" s="84"/>
      <c r="AV596" s="84"/>
      <c r="AW596" s="84"/>
      <c r="AX596" s="84"/>
      <c r="AY596" s="84"/>
      <c r="AZ596" s="84"/>
      <c r="BA596" s="84"/>
      <c r="BB596" s="84"/>
      <c r="BC596" s="84"/>
      <c r="BD596" s="84"/>
      <c r="BE596" s="84"/>
      <c r="BF596" s="84"/>
      <c r="BG596" s="84"/>
      <c r="BH596" s="84"/>
      <c r="BI596" s="84"/>
      <c r="BJ596" s="84"/>
      <c r="BK596" s="84"/>
      <c r="BL596" s="84"/>
      <c r="BM596" s="84"/>
      <c r="BN596" s="84"/>
      <c r="BO596" s="84"/>
      <c r="BP596" s="84"/>
      <c r="BQ596" s="84"/>
      <c r="BR596" s="84"/>
    </row>
    <row r="597" spans="1:70" ht="15.75" customHeight="1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  <c r="AL597" s="84"/>
      <c r="AM597" s="84"/>
      <c r="AN597" s="84"/>
      <c r="AO597" s="84"/>
      <c r="AP597" s="84"/>
      <c r="AQ597" s="84"/>
      <c r="AR597" s="84"/>
      <c r="AS597" s="84"/>
      <c r="AT597" s="84"/>
      <c r="AU597" s="84"/>
      <c r="AV597" s="84"/>
      <c r="AW597" s="84"/>
      <c r="AX597" s="84"/>
      <c r="AY597" s="84"/>
      <c r="AZ597" s="84"/>
      <c r="BA597" s="84"/>
      <c r="BB597" s="84"/>
      <c r="BC597" s="84"/>
      <c r="BD597" s="84"/>
      <c r="BE597" s="84"/>
      <c r="BF597" s="84"/>
      <c r="BG597" s="84"/>
      <c r="BH597" s="84"/>
      <c r="BI597" s="84"/>
      <c r="BJ597" s="84"/>
      <c r="BK597" s="84"/>
      <c r="BL597" s="84"/>
      <c r="BM597" s="84"/>
      <c r="BN597" s="84"/>
      <c r="BO597" s="84"/>
      <c r="BP597" s="84"/>
      <c r="BQ597" s="84"/>
      <c r="BR597" s="84"/>
    </row>
    <row r="598" spans="1:70" ht="15.75" customHeight="1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  <c r="AL598" s="84"/>
      <c r="AM598" s="84"/>
      <c r="AN598" s="84"/>
      <c r="AO598" s="84"/>
      <c r="AP598" s="84"/>
      <c r="AQ598" s="84"/>
      <c r="AR598" s="84"/>
      <c r="AS598" s="84"/>
      <c r="AT598" s="84"/>
      <c r="AU598" s="84"/>
      <c r="AV598" s="84"/>
      <c r="AW598" s="84"/>
      <c r="AX598" s="84"/>
      <c r="AY598" s="84"/>
      <c r="AZ598" s="84"/>
      <c r="BA598" s="84"/>
      <c r="BB598" s="84"/>
      <c r="BC598" s="84"/>
      <c r="BD598" s="84"/>
      <c r="BE598" s="84"/>
      <c r="BF598" s="84"/>
      <c r="BG598" s="84"/>
      <c r="BH598" s="84"/>
      <c r="BI598" s="84"/>
      <c r="BJ598" s="84"/>
      <c r="BK598" s="84"/>
      <c r="BL598" s="84"/>
      <c r="BM598" s="84"/>
      <c r="BN598" s="84"/>
      <c r="BO598" s="84"/>
      <c r="BP598" s="84"/>
      <c r="BQ598" s="84"/>
      <c r="BR598" s="84"/>
    </row>
    <row r="599" spans="1:70" ht="15.75" customHeight="1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  <c r="AL599" s="84"/>
      <c r="AM599" s="84"/>
      <c r="AN599" s="84"/>
      <c r="AO599" s="84"/>
      <c r="AP599" s="84"/>
      <c r="AQ599" s="84"/>
      <c r="AR599" s="84"/>
      <c r="AS599" s="84"/>
      <c r="AT599" s="84"/>
      <c r="AU599" s="84"/>
      <c r="AV599" s="84"/>
      <c r="AW599" s="84"/>
      <c r="AX599" s="84"/>
      <c r="AY599" s="84"/>
      <c r="AZ599" s="84"/>
      <c r="BA599" s="84"/>
      <c r="BB599" s="84"/>
      <c r="BC599" s="84"/>
      <c r="BD599" s="84"/>
      <c r="BE599" s="84"/>
      <c r="BF599" s="84"/>
      <c r="BG599" s="84"/>
      <c r="BH599" s="84"/>
      <c r="BI599" s="84"/>
      <c r="BJ599" s="84"/>
      <c r="BK599" s="84"/>
      <c r="BL599" s="84"/>
      <c r="BM599" s="84"/>
      <c r="BN599" s="84"/>
      <c r="BO599" s="84"/>
      <c r="BP599" s="84"/>
      <c r="BQ599" s="84"/>
      <c r="BR599" s="84"/>
    </row>
    <row r="600" spans="1:70" ht="15.75" customHeight="1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  <c r="AL600" s="84"/>
      <c r="AM600" s="84"/>
      <c r="AN600" s="84"/>
      <c r="AO600" s="84"/>
      <c r="AP600" s="84"/>
      <c r="AQ600" s="84"/>
      <c r="AR600" s="84"/>
      <c r="AS600" s="84"/>
      <c r="AT600" s="84"/>
      <c r="AU600" s="84"/>
      <c r="AV600" s="84"/>
      <c r="AW600" s="84"/>
      <c r="AX600" s="84"/>
      <c r="AY600" s="84"/>
      <c r="AZ600" s="84"/>
      <c r="BA600" s="84"/>
      <c r="BB600" s="84"/>
      <c r="BC600" s="84"/>
      <c r="BD600" s="84"/>
      <c r="BE600" s="84"/>
      <c r="BF600" s="84"/>
      <c r="BG600" s="84"/>
      <c r="BH600" s="84"/>
      <c r="BI600" s="84"/>
      <c r="BJ600" s="84"/>
      <c r="BK600" s="84"/>
      <c r="BL600" s="84"/>
      <c r="BM600" s="84"/>
      <c r="BN600" s="84"/>
      <c r="BO600" s="84"/>
      <c r="BP600" s="84"/>
      <c r="BQ600" s="84"/>
      <c r="BR600" s="84"/>
    </row>
    <row r="601" spans="1:70" ht="15.75" customHeight="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  <c r="AL601" s="84"/>
      <c r="AM601" s="84"/>
      <c r="AN601" s="84"/>
      <c r="AO601" s="84"/>
      <c r="AP601" s="84"/>
      <c r="AQ601" s="84"/>
      <c r="AR601" s="84"/>
      <c r="AS601" s="84"/>
      <c r="AT601" s="84"/>
      <c r="AU601" s="84"/>
      <c r="AV601" s="84"/>
      <c r="AW601" s="84"/>
      <c r="AX601" s="84"/>
      <c r="AY601" s="84"/>
      <c r="AZ601" s="84"/>
      <c r="BA601" s="84"/>
      <c r="BB601" s="84"/>
      <c r="BC601" s="84"/>
      <c r="BD601" s="84"/>
      <c r="BE601" s="84"/>
      <c r="BF601" s="84"/>
      <c r="BG601" s="84"/>
      <c r="BH601" s="84"/>
      <c r="BI601" s="84"/>
      <c r="BJ601" s="84"/>
      <c r="BK601" s="84"/>
      <c r="BL601" s="84"/>
      <c r="BM601" s="84"/>
      <c r="BN601" s="84"/>
      <c r="BO601" s="84"/>
      <c r="BP601" s="84"/>
      <c r="BQ601" s="84"/>
      <c r="BR601" s="84"/>
    </row>
    <row r="602" spans="1:70" ht="15.75" customHeight="1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  <c r="AL602" s="84"/>
      <c r="AM602" s="84"/>
      <c r="AN602" s="84"/>
      <c r="AO602" s="84"/>
      <c r="AP602" s="84"/>
      <c r="AQ602" s="84"/>
      <c r="AR602" s="84"/>
      <c r="AS602" s="84"/>
      <c r="AT602" s="84"/>
      <c r="AU602" s="84"/>
      <c r="AV602" s="84"/>
      <c r="AW602" s="84"/>
      <c r="AX602" s="84"/>
      <c r="AY602" s="84"/>
      <c r="AZ602" s="84"/>
      <c r="BA602" s="84"/>
      <c r="BB602" s="84"/>
      <c r="BC602" s="84"/>
      <c r="BD602" s="84"/>
      <c r="BE602" s="84"/>
      <c r="BF602" s="84"/>
      <c r="BG602" s="84"/>
      <c r="BH602" s="84"/>
      <c r="BI602" s="84"/>
      <c r="BJ602" s="84"/>
      <c r="BK602" s="84"/>
      <c r="BL602" s="84"/>
      <c r="BM602" s="84"/>
      <c r="BN602" s="84"/>
      <c r="BO602" s="84"/>
      <c r="BP602" s="84"/>
      <c r="BQ602" s="84"/>
      <c r="BR602" s="84"/>
    </row>
    <row r="603" spans="1:70" ht="15.75" customHeight="1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  <c r="AL603" s="84"/>
      <c r="AM603" s="84"/>
      <c r="AN603" s="84"/>
      <c r="AO603" s="84"/>
      <c r="AP603" s="84"/>
      <c r="AQ603" s="84"/>
      <c r="AR603" s="84"/>
      <c r="AS603" s="84"/>
      <c r="AT603" s="84"/>
      <c r="AU603" s="84"/>
      <c r="AV603" s="84"/>
      <c r="AW603" s="84"/>
      <c r="AX603" s="84"/>
      <c r="AY603" s="84"/>
      <c r="AZ603" s="84"/>
      <c r="BA603" s="84"/>
      <c r="BB603" s="84"/>
      <c r="BC603" s="84"/>
      <c r="BD603" s="84"/>
      <c r="BE603" s="84"/>
      <c r="BF603" s="84"/>
      <c r="BG603" s="84"/>
      <c r="BH603" s="84"/>
      <c r="BI603" s="84"/>
      <c r="BJ603" s="84"/>
      <c r="BK603" s="84"/>
      <c r="BL603" s="84"/>
      <c r="BM603" s="84"/>
      <c r="BN603" s="84"/>
      <c r="BO603" s="84"/>
      <c r="BP603" s="84"/>
      <c r="BQ603" s="84"/>
      <c r="BR603" s="84"/>
    </row>
    <row r="604" spans="1:70" ht="15.75" customHeight="1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  <c r="AL604" s="84"/>
      <c r="AM604" s="84"/>
      <c r="AN604" s="84"/>
      <c r="AO604" s="84"/>
      <c r="AP604" s="84"/>
      <c r="AQ604" s="84"/>
      <c r="AR604" s="84"/>
      <c r="AS604" s="84"/>
      <c r="AT604" s="84"/>
      <c r="AU604" s="84"/>
      <c r="AV604" s="84"/>
      <c r="AW604" s="84"/>
      <c r="AX604" s="84"/>
      <c r="AY604" s="84"/>
      <c r="AZ604" s="84"/>
      <c r="BA604" s="84"/>
      <c r="BB604" s="84"/>
      <c r="BC604" s="84"/>
      <c r="BD604" s="84"/>
      <c r="BE604" s="84"/>
      <c r="BF604" s="84"/>
      <c r="BG604" s="84"/>
      <c r="BH604" s="84"/>
      <c r="BI604" s="84"/>
      <c r="BJ604" s="84"/>
      <c r="BK604" s="84"/>
      <c r="BL604" s="84"/>
      <c r="BM604" s="84"/>
      <c r="BN604" s="84"/>
      <c r="BO604" s="84"/>
      <c r="BP604" s="84"/>
      <c r="BQ604" s="84"/>
      <c r="BR604" s="84"/>
    </row>
    <row r="605" spans="1:70" ht="15.75" customHeight="1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  <c r="AL605" s="84"/>
      <c r="AM605" s="84"/>
      <c r="AN605" s="84"/>
      <c r="AO605" s="84"/>
      <c r="AP605" s="84"/>
      <c r="AQ605" s="84"/>
      <c r="AR605" s="84"/>
      <c r="AS605" s="84"/>
      <c r="AT605" s="84"/>
      <c r="AU605" s="84"/>
      <c r="AV605" s="84"/>
      <c r="AW605" s="84"/>
      <c r="AX605" s="84"/>
      <c r="AY605" s="84"/>
      <c r="AZ605" s="84"/>
      <c r="BA605" s="84"/>
      <c r="BB605" s="84"/>
      <c r="BC605" s="84"/>
      <c r="BD605" s="84"/>
      <c r="BE605" s="84"/>
      <c r="BF605" s="84"/>
      <c r="BG605" s="84"/>
      <c r="BH605" s="84"/>
      <c r="BI605" s="84"/>
      <c r="BJ605" s="84"/>
      <c r="BK605" s="84"/>
      <c r="BL605" s="84"/>
      <c r="BM605" s="84"/>
      <c r="BN605" s="84"/>
      <c r="BO605" s="84"/>
      <c r="BP605" s="84"/>
      <c r="BQ605" s="84"/>
      <c r="BR605" s="84"/>
    </row>
    <row r="606" spans="1:70" ht="15.75" customHeight="1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  <c r="AL606" s="84"/>
      <c r="AM606" s="84"/>
      <c r="AN606" s="84"/>
      <c r="AO606" s="84"/>
      <c r="AP606" s="84"/>
      <c r="AQ606" s="84"/>
      <c r="AR606" s="84"/>
      <c r="AS606" s="84"/>
      <c r="AT606" s="84"/>
      <c r="AU606" s="84"/>
      <c r="AV606" s="84"/>
      <c r="AW606" s="84"/>
      <c r="AX606" s="84"/>
      <c r="AY606" s="84"/>
      <c r="AZ606" s="84"/>
      <c r="BA606" s="84"/>
      <c r="BB606" s="84"/>
      <c r="BC606" s="84"/>
      <c r="BD606" s="84"/>
      <c r="BE606" s="84"/>
      <c r="BF606" s="84"/>
      <c r="BG606" s="84"/>
      <c r="BH606" s="84"/>
      <c r="BI606" s="84"/>
      <c r="BJ606" s="84"/>
      <c r="BK606" s="84"/>
      <c r="BL606" s="84"/>
      <c r="BM606" s="84"/>
      <c r="BN606" s="84"/>
      <c r="BO606" s="84"/>
      <c r="BP606" s="84"/>
      <c r="BQ606" s="84"/>
      <c r="BR606" s="84"/>
    </row>
    <row r="607" spans="1:70" ht="15.75" customHeight="1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  <c r="AL607" s="84"/>
      <c r="AM607" s="84"/>
      <c r="AN607" s="84"/>
      <c r="AO607" s="84"/>
      <c r="AP607" s="84"/>
      <c r="AQ607" s="84"/>
      <c r="AR607" s="84"/>
      <c r="AS607" s="84"/>
      <c r="AT607" s="84"/>
      <c r="AU607" s="84"/>
      <c r="AV607" s="84"/>
      <c r="AW607" s="84"/>
      <c r="AX607" s="84"/>
      <c r="AY607" s="84"/>
      <c r="AZ607" s="84"/>
      <c r="BA607" s="84"/>
      <c r="BB607" s="84"/>
      <c r="BC607" s="84"/>
      <c r="BD607" s="84"/>
      <c r="BE607" s="84"/>
      <c r="BF607" s="84"/>
      <c r="BG607" s="84"/>
      <c r="BH607" s="84"/>
      <c r="BI607" s="84"/>
      <c r="BJ607" s="84"/>
      <c r="BK607" s="84"/>
      <c r="BL607" s="84"/>
      <c r="BM607" s="84"/>
      <c r="BN607" s="84"/>
      <c r="BO607" s="84"/>
      <c r="BP607" s="84"/>
      <c r="BQ607" s="84"/>
      <c r="BR607" s="84"/>
    </row>
    <row r="608" spans="1:70" ht="15.75" customHeight="1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  <c r="AL608" s="84"/>
      <c r="AM608" s="84"/>
      <c r="AN608" s="84"/>
      <c r="AO608" s="84"/>
      <c r="AP608" s="84"/>
      <c r="AQ608" s="84"/>
      <c r="AR608" s="84"/>
      <c r="AS608" s="84"/>
      <c r="AT608" s="84"/>
      <c r="AU608" s="84"/>
      <c r="AV608" s="84"/>
      <c r="AW608" s="84"/>
      <c r="AX608" s="84"/>
      <c r="AY608" s="84"/>
      <c r="AZ608" s="84"/>
      <c r="BA608" s="84"/>
      <c r="BB608" s="84"/>
      <c r="BC608" s="84"/>
      <c r="BD608" s="84"/>
      <c r="BE608" s="84"/>
      <c r="BF608" s="84"/>
      <c r="BG608" s="84"/>
      <c r="BH608" s="84"/>
      <c r="BI608" s="84"/>
      <c r="BJ608" s="84"/>
      <c r="BK608" s="84"/>
      <c r="BL608" s="84"/>
      <c r="BM608" s="84"/>
      <c r="BN608" s="84"/>
      <c r="BO608" s="84"/>
      <c r="BP608" s="84"/>
      <c r="BQ608" s="84"/>
      <c r="BR608" s="84"/>
    </row>
    <row r="609" spans="1:70" ht="15.75" customHeight="1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  <c r="AL609" s="84"/>
      <c r="AM609" s="84"/>
      <c r="AN609" s="84"/>
      <c r="AO609" s="84"/>
      <c r="AP609" s="84"/>
      <c r="AQ609" s="84"/>
      <c r="AR609" s="84"/>
      <c r="AS609" s="84"/>
      <c r="AT609" s="84"/>
      <c r="AU609" s="84"/>
      <c r="AV609" s="84"/>
      <c r="AW609" s="84"/>
      <c r="AX609" s="84"/>
      <c r="AY609" s="84"/>
      <c r="AZ609" s="84"/>
      <c r="BA609" s="84"/>
      <c r="BB609" s="84"/>
      <c r="BC609" s="84"/>
      <c r="BD609" s="84"/>
      <c r="BE609" s="84"/>
      <c r="BF609" s="84"/>
      <c r="BG609" s="84"/>
      <c r="BH609" s="84"/>
      <c r="BI609" s="84"/>
      <c r="BJ609" s="84"/>
      <c r="BK609" s="84"/>
      <c r="BL609" s="84"/>
      <c r="BM609" s="84"/>
      <c r="BN609" s="84"/>
      <c r="BO609" s="84"/>
      <c r="BP609" s="84"/>
      <c r="BQ609" s="84"/>
      <c r="BR609" s="84"/>
    </row>
    <row r="610" spans="1:70" ht="15.75" customHeight="1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  <c r="AL610" s="84"/>
      <c r="AM610" s="84"/>
      <c r="AN610" s="84"/>
      <c r="AO610" s="84"/>
      <c r="AP610" s="84"/>
      <c r="AQ610" s="84"/>
      <c r="AR610" s="84"/>
      <c r="AS610" s="84"/>
      <c r="AT610" s="84"/>
      <c r="AU610" s="84"/>
      <c r="AV610" s="84"/>
      <c r="AW610" s="84"/>
      <c r="AX610" s="84"/>
      <c r="AY610" s="84"/>
      <c r="AZ610" s="84"/>
      <c r="BA610" s="84"/>
      <c r="BB610" s="84"/>
      <c r="BC610" s="84"/>
      <c r="BD610" s="84"/>
      <c r="BE610" s="84"/>
      <c r="BF610" s="84"/>
      <c r="BG610" s="84"/>
      <c r="BH610" s="84"/>
      <c r="BI610" s="84"/>
      <c r="BJ610" s="84"/>
      <c r="BK610" s="84"/>
      <c r="BL610" s="84"/>
      <c r="BM610" s="84"/>
      <c r="BN610" s="84"/>
      <c r="BO610" s="84"/>
      <c r="BP610" s="84"/>
      <c r="BQ610" s="84"/>
      <c r="BR610" s="84"/>
    </row>
    <row r="611" spans="1:70" ht="15.75" customHeight="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  <c r="AL611" s="84"/>
      <c r="AM611" s="84"/>
      <c r="AN611" s="84"/>
      <c r="AO611" s="84"/>
      <c r="AP611" s="84"/>
      <c r="AQ611" s="84"/>
      <c r="AR611" s="84"/>
      <c r="AS611" s="84"/>
      <c r="AT611" s="84"/>
      <c r="AU611" s="84"/>
      <c r="AV611" s="84"/>
      <c r="AW611" s="84"/>
      <c r="AX611" s="84"/>
      <c r="AY611" s="84"/>
      <c r="AZ611" s="84"/>
      <c r="BA611" s="84"/>
      <c r="BB611" s="84"/>
      <c r="BC611" s="84"/>
      <c r="BD611" s="84"/>
      <c r="BE611" s="84"/>
      <c r="BF611" s="84"/>
      <c r="BG611" s="84"/>
      <c r="BH611" s="84"/>
      <c r="BI611" s="84"/>
      <c r="BJ611" s="84"/>
      <c r="BK611" s="84"/>
      <c r="BL611" s="84"/>
      <c r="BM611" s="84"/>
      <c r="BN611" s="84"/>
      <c r="BO611" s="84"/>
      <c r="BP611" s="84"/>
      <c r="BQ611" s="84"/>
      <c r="BR611" s="84"/>
    </row>
    <row r="612" spans="1:70" ht="15.75" customHeight="1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  <c r="AL612" s="84"/>
      <c r="AM612" s="84"/>
      <c r="AN612" s="84"/>
      <c r="AO612" s="84"/>
      <c r="AP612" s="84"/>
      <c r="AQ612" s="84"/>
      <c r="AR612" s="84"/>
      <c r="AS612" s="84"/>
      <c r="AT612" s="84"/>
      <c r="AU612" s="84"/>
      <c r="AV612" s="84"/>
      <c r="AW612" s="84"/>
      <c r="AX612" s="84"/>
      <c r="AY612" s="84"/>
      <c r="AZ612" s="84"/>
      <c r="BA612" s="84"/>
      <c r="BB612" s="84"/>
      <c r="BC612" s="84"/>
      <c r="BD612" s="84"/>
      <c r="BE612" s="84"/>
      <c r="BF612" s="84"/>
      <c r="BG612" s="84"/>
      <c r="BH612" s="84"/>
      <c r="BI612" s="84"/>
      <c r="BJ612" s="84"/>
      <c r="BK612" s="84"/>
      <c r="BL612" s="84"/>
      <c r="BM612" s="84"/>
      <c r="BN612" s="84"/>
      <c r="BO612" s="84"/>
      <c r="BP612" s="84"/>
      <c r="BQ612" s="84"/>
      <c r="BR612" s="84"/>
    </row>
    <row r="613" spans="1:70" ht="15.75" customHeight="1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  <c r="AL613" s="84"/>
      <c r="AM613" s="84"/>
      <c r="AN613" s="84"/>
      <c r="AO613" s="84"/>
      <c r="AP613" s="84"/>
      <c r="AQ613" s="84"/>
      <c r="AR613" s="84"/>
      <c r="AS613" s="84"/>
      <c r="AT613" s="84"/>
      <c r="AU613" s="84"/>
      <c r="AV613" s="84"/>
      <c r="AW613" s="84"/>
      <c r="AX613" s="84"/>
      <c r="AY613" s="84"/>
      <c r="AZ613" s="84"/>
      <c r="BA613" s="84"/>
      <c r="BB613" s="84"/>
      <c r="BC613" s="84"/>
      <c r="BD613" s="84"/>
      <c r="BE613" s="84"/>
      <c r="BF613" s="84"/>
      <c r="BG613" s="84"/>
      <c r="BH613" s="84"/>
      <c r="BI613" s="84"/>
      <c r="BJ613" s="84"/>
      <c r="BK613" s="84"/>
      <c r="BL613" s="84"/>
      <c r="BM613" s="84"/>
      <c r="BN613" s="84"/>
      <c r="BO613" s="84"/>
      <c r="BP613" s="84"/>
      <c r="BQ613" s="84"/>
      <c r="BR613" s="84"/>
    </row>
    <row r="614" spans="1:70" ht="15.75" customHeight="1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  <c r="AL614" s="84"/>
      <c r="AM614" s="84"/>
      <c r="AN614" s="84"/>
      <c r="AO614" s="84"/>
      <c r="AP614" s="84"/>
      <c r="AQ614" s="84"/>
      <c r="AR614" s="84"/>
      <c r="AS614" s="84"/>
      <c r="AT614" s="84"/>
      <c r="AU614" s="84"/>
      <c r="AV614" s="84"/>
      <c r="AW614" s="84"/>
      <c r="AX614" s="84"/>
      <c r="AY614" s="84"/>
      <c r="AZ614" s="84"/>
      <c r="BA614" s="84"/>
      <c r="BB614" s="84"/>
      <c r="BC614" s="84"/>
      <c r="BD614" s="84"/>
      <c r="BE614" s="84"/>
      <c r="BF614" s="84"/>
      <c r="BG614" s="84"/>
      <c r="BH614" s="84"/>
      <c r="BI614" s="84"/>
      <c r="BJ614" s="84"/>
      <c r="BK614" s="84"/>
      <c r="BL614" s="84"/>
      <c r="BM614" s="84"/>
      <c r="BN614" s="84"/>
      <c r="BO614" s="84"/>
      <c r="BP614" s="84"/>
      <c r="BQ614" s="84"/>
      <c r="BR614" s="84"/>
    </row>
    <row r="615" spans="1:70" ht="15.75" customHeight="1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  <c r="AL615" s="84"/>
      <c r="AM615" s="84"/>
      <c r="AN615" s="84"/>
      <c r="AO615" s="84"/>
      <c r="AP615" s="84"/>
      <c r="AQ615" s="84"/>
      <c r="AR615" s="84"/>
      <c r="AS615" s="84"/>
      <c r="AT615" s="84"/>
      <c r="AU615" s="84"/>
      <c r="AV615" s="84"/>
      <c r="AW615" s="84"/>
      <c r="AX615" s="84"/>
      <c r="AY615" s="84"/>
      <c r="AZ615" s="84"/>
      <c r="BA615" s="84"/>
      <c r="BB615" s="84"/>
      <c r="BC615" s="84"/>
      <c r="BD615" s="84"/>
      <c r="BE615" s="84"/>
      <c r="BF615" s="84"/>
      <c r="BG615" s="84"/>
      <c r="BH615" s="84"/>
      <c r="BI615" s="84"/>
      <c r="BJ615" s="84"/>
      <c r="BK615" s="84"/>
      <c r="BL615" s="84"/>
      <c r="BM615" s="84"/>
      <c r="BN615" s="84"/>
      <c r="BO615" s="84"/>
      <c r="BP615" s="84"/>
      <c r="BQ615" s="84"/>
      <c r="BR615" s="84"/>
    </row>
    <row r="616" spans="1:70" ht="15.75" customHeight="1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  <c r="AL616" s="84"/>
      <c r="AM616" s="84"/>
      <c r="AN616" s="84"/>
      <c r="AO616" s="84"/>
      <c r="AP616" s="84"/>
      <c r="AQ616" s="84"/>
      <c r="AR616" s="84"/>
      <c r="AS616" s="84"/>
      <c r="AT616" s="84"/>
      <c r="AU616" s="84"/>
      <c r="AV616" s="84"/>
      <c r="AW616" s="84"/>
      <c r="AX616" s="84"/>
      <c r="AY616" s="84"/>
      <c r="AZ616" s="84"/>
      <c r="BA616" s="84"/>
      <c r="BB616" s="84"/>
      <c r="BC616" s="84"/>
      <c r="BD616" s="84"/>
      <c r="BE616" s="84"/>
      <c r="BF616" s="84"/>
      <c r="BG616" s="84"/>
      <c r="BH616" s="84"/>
      <c r="BI616" s="84"/>
      <c r="BJ616" s="84"/>
      <c r="BK616" s="84"/>
      <c r="BL616" s="84"/>
      <c r="BM616" s="84"/>
      <c r="BN616" s="84"/>
      <c r="BO616" s="84"/>
      <c r="BP616" s="84"/>
      <c r="BQ616" s="84"/>
      <c r="BR616" s="84"/>
    </row>
    <row r="617" spans="1:70" ht="15.75" customHeight="1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  <c r="AL617" s="84"/>
      <c r="AM617" s="84"/>
      <c r="AN617" s="84"/>
      <c r="AO617" s="84"/>
      <c r="AP617" s="84"/>
      <c r="AQ617" s="84"/>
      <c r="AR617" s="84"/>
      <c r="AS617" s="84"/>
      <c r="AT617" s="84"/>
      <c r="AU617" s="84"/>
      <c r="AV617" s="84"/>
      <c r="AW617" s="84"/>
      <c r="AX617" s="84"/>
      <c r="AY617" s="84"/>
      <c r="AZ617" s="84"/>
      <c r="BA617" s="84"/>
      <c r="BB617" s="84"/>
      <c r="BC617" s="84"/>
      <c r="BD617" s="84"/>
      <c r="BE617" s="84"/>
      <c r="BF617" s="84"/>
      <c r="BG617" s="84"/>
      <c r="BH617" s="84"/>
      <c r="BI617" s="84"/>
      <c r="BJ617" s="84"/>
      <c r="BK617" s="84"/>
      <c r="BL617" s="84"/>
      <c r="BM617" s="84"/>
      <c r="BN617" s="84"/>
      <c r="BO617" s="84"/>
      <c r="BP617" s="84"/>
      <c r="BQ617" s="84"/>
      <c r="BR617" s="84"/>
    </row>
    <row r="618" spans="1:70" ht="15.75" customHeight="1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  <c r="AL618" s="84"/>
      <c r="AM618" s="84"/>
      <c r="AN618" s="84"/>
      <c r="AO618" s="84"/>
      <c r="AP618" s="84"/>
      <c r="AQ618" s="84"/>
      <c r="AR618" s="84"/>
      <c r="AS618" s="84"/>
      <c r="AT618" s="84"/>
      <c r="AU618" s="84"/>
      <c r="AV618" s="84"/>
      <c r="AW618" s="84"/>
      <c r="AX618" s="84"/>
      <c r="AY618" s="84"/>
      <c r="AZ618" s="84"/>
      <c r="BA618" s="84"/>
      <c r="BB618" s="84"/>
      <c r="BC618" s="84"/>
      <c r="BD618" s="84"/>
      <c r="BE618" s="84"/>
      <c r="BF618" s="84"/>
      <c r="BG618" s="84"/>
      <c r="BH618" s="84"/>
      <c r="BI618" s="84"/>
      <c r="BJ618" s="84"/>
      <c r="BK618" s="84"/>
      <c r="BL618" s="84"/>
      <c r="BM618" s="84"/>
      <c r="BN618" s="84"/>
      <c r="BO618" s="84"/>
      <c r="BP618" s="84"/>
      <c r="BQ618" s="84"/>
      <c r="BR618" s="84"/>
    </row>
    <row r="619" spans="1:70" ht="15.75" customHeight="1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  <c r="AL619" s="84"/>
      <c r="AM619" s="84"/>
      <c r="AN619" s="84"/>
      <c r="AO619" s="84"/>
      <c r="AP619" s="84"/>
      <c r="AQ619" s="84"/>
      <c r="AR619" s="84"/>
      <c r="AS619" s="84"/>
      <c r="AT619" s="84"/>
      <c r="AU619" s="84"/>
      <c r="AV619" s="84"/>
      <c r="AW619" s="84"/>
      <c r="AX619" s="84"/>
      <c r="AY619" s="84"/>
      <c r="AZ619" s="84"/>
      <c r="BA619" s="84"/>
      <c r="BB619" s="84"/>
      <c r="BC619" s="84"/>
      <c r="BD619" s="84"/>
      <c r="BE619" s="84"/>
      <c r="BF619" s="84"/>
      <c r="BG619" s="84"/>
      <c r="BH619" s="84"/>
      <c r="BI619" s="84"/>
      <c r="BJ619" s="84"/>
      <c r="BK619" s="84"/>
      <c r="BL619" s="84"/>
      <c r="BM619" s="84"/>
      <c r="BN619" s="84"/>
      <c r="BO619" s="84"/>
      <c r="BP619" s="84"/>
      <c r="BQ619" s="84"/>
      <c r="BR619" s="84"/>
    </row>
    <row r="620" spans="1:70" ht="15.75" customHeight="1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  <c r="AL620" s="84"/>
      <c r="AM620" s="84"/>
      <c r="AN620" s="84"/>
      <c r="AO620" s="84"/>
      <c r="AP620" s="84"/>
      <c r="AQ620" s="84"/>
      <c r="AR620" s="84"/>
      <c r="AS620" s="84"/>
      <c r="AT620" s="84"/>
      <c r="AU620" s="84"/>
      <c r="AV620" s="84"/>
      <c r="AW620" s="84"/>
      <c r="AX620" s="84"/>
      <c r="AY620" s="84"/>
      <c r="AZ620" s="84"/>
      <c r="BA620" s="84"/>
      <c r="BB620" s="84"/>
      <c r="BC620" s="84"/>
      <c r="BD620" s="84"/>
      <c r="BE620" s="84"/>
      <c r="BF620" s="84"/>
      <c r="BG620" s="84"/>
      <c r="BH620" s="84"/>
      <c r="BI620" s="84"/>
      <c r="BJ620" s="84"/>
      <c r="BK620" s="84"/>
      <c r="BL620" s="84"/>
      <c r="BM620" s="84"/>
      <c r="BN620" s="84"/>
      <c r="BO620" s="84"/>
      <c r="BP620" s="84"/>
      <c r="BQ620" s="84"/>
      <c r="BR620" s="84"/>
    </row>
    <row r="621" spans="1:70" ht="15.75" customHeight="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  <c r="AL621" s="84"/>
      <c r="AM621" s="84"/>
      <c r="AN621" s="84"/>
      <c r="AO621" s="84"/>
      <c r="AP621" s="84"/>
      <c r="AQ621" s="84"/>
      <c r="AR621" s="84"/>
      <c r="AS621" s="84"/>
      <c r="AT621" s="84"/>
      <c r="AU621" s="84"/>
      <c r="AV621" s="84"/>
      <c r="AW621" s="84"/>
      <c r="AX621" s="84"/>
      <c r="AY621" s="84"/>
      <c r="AZ621" s="84"/>
      <c r="BA621" s="84"/>
      <c r="BB621" s="84"/>
      <c r="BC621" s="84"/>
      <c r="BD621" s="84"/>
      <c r="BE621" s="84"/>
      <c r="BF621" s="84"/>
      <c r="BG621" s="84"/>
      <c r="BH621" s="84"/>
      <c r="BI621" s="84"/>
      <c r="BJ621" s="84"/>
      <c r="BK621" s="84"/>
      <c r="BL621" s="84"/>
      <c r="BM621" s="84"/>
      <c r="BN621" s="84"/>
      <c r="BO621" s="84"/>
      <c r="BP621" s="84"/>
      <c r="BQ621" s="84"/>
      <c r="BR621" s="84"/>
    </row>
    <row r="622" spans="1:70" ht="15.75" customHeight="1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  <c r="AL622" s="84"/>
      <c r="AM622" s="84"/>
      <c r="AN622" s="84"/>
      <c r="AO622" s="84"/>
      <c r="AP622" s="84"/>
      <c r="AQ622" s="84"/>
      <c r="AR622" s="84"/>
      <c r="AS622" s="84"/>
      <c r="AT622" s="84"/>
      <c r="AU622" s="84"/>
      <c r="AV622" s="84"/>
      <c r="AW622" s="84"/>
      <c r="AX622" s="84"/>
      <c r="AY622" s="84"/>
      <c r="AZ622" s="84"/>
      <c r="BA622" s="84"/>
      <c r="BB622" s="84"/>
      <c r="BC622" s="84"/>
      <c r="BD622" s="84"/>
      <c r="BE622" s="84"/>
      <c r="BF622" s="84"/>
      <c r="BG622" s="84"/>
      <c r="BH622" s="84"/>
      <c r="BI622" s="84"/>
      <c r="BJ622" s="84"/>
      <c r="BK622" s="84"/>
      <c r="BL622" s="84"/>
      <c r="BM622" s="84"/>
      <c r="BN622" s="84"/>
      <c r="BO622" s="84"/>
      <c r="BP622" s="84"/>
      <c r="BQ622" s="84"/>
      <c r="BR622" s="84"/>
    </row>
    <row r="623" spans="1:70" ht="15.75" customHeight="1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  <c r="AL623" s="84"/>
      <c r="AM623" s="84"/>
      <c r="AN623" s="84"/>
      <c r="AO623" s="84"/>
      <c r="AP623" s="84"/>
      <c r="AQ623" s="84"/>
      <c r="AR623" s="84"/>
      <c r="AS623" s="84"/>
      <c r="AT623" s="84"/>
      <c r="AU623" s="84"/>
      <c r="AV623" s="84"/>
      <c r="AW623" s="84"/>
      <c r="AX623" s="84"/>
      <c r="AY623" s="84"/>
      <c r="AZ623" s="84"/>
      <c r="BA623" s="84"/>
      <c r="BB623" s="84"/>
      <c r="BC623" s="84"/>
      <c r="BD623" s="84"/>
      <c r="BE623" s="84"/>
      <c r="BF623" s="84"/>
      <c r="BG623" s="84"/>
      <c r="BH623" s="84"/>
      <c r="BI623" s="84"/>
      <c r="BJ623" s="84"/>
      <c r="BK623" s="84"/>
      <c r="BL623" s="84"/>
      <c r="BM623" s="84"/>
      <c r="BN623" s="84"/>
      <c r="BO623" s="84"/>
      <c r="BP623" s="84"/>
      <c r="BQ623" s="84"/>
      <c r="BR623" s="84"/>
    </row>
    <row r="624" spans="1:70" ht="15.75" customHeight="1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  <c r="AL624" s="84"/>
      <c r="AM624" s="84"/>
      <c r="AN624" s="84"/>
      <c r="AO624" s="84"/>
      <c r="AP624" s="84"/>
      <c r="AQ624" s="84"/>
      <c r="AR624" s="84"/>
      <c r="AS624" s="84"/>
      <c r="AT624" s="84"/>
      <c r="AU624" s="84"/>
      <c r="AV624" s="84"/>
      <c r="AW624" s="84"/>
      <c r="AX624" s="84"/>
      <c r="AY624" s="84"/>
      <c r="AZ624" s="84"/>
      <c r="BA624" s="84"/>
      <c r="BB624" s="84"/>
      <c r="BC624" s="84"/>
      <c r="BD624" s="84"/>
      <c r="BE624" s="84"/>
      <c r="BF624" s="84"/>
      <c r="BG624" s="84"/>
      <c r="BH624" s="84"/>
      <c r="BI624" s="84"/>
      <c r="BJ624" s="84"/>
      <c r="BK624" s="84"/>
      <c r="BL624" s="84"/>
      <c r="BM624" s="84"/>
      <c r="BN624" s="84"/>
      <c r="BO624" s="84"/>
      <c r="BP624" s="84"/>
      <c r="BQ624" s="84"/>
      <c r="BR624" s="84"/>
    </row>
    <row r="625" spans="1:70" ht="15.75" customHeight="1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  <c r="AL625" s="84"/>
      <c r="AM625" s="84"/>
      <c r="AN625" s="84"/>
      <c r="AO625" s="84"/>
      <c r="AP625" s="84"/>
      <c r="AQ625" s="84"/>
      <c r="AR625" s="84"/>
      <c r="AS625" s="84"/>
      <c r="AT625" s="84"/>
      <c r="AU625" s="84"/>
      <c r="AV625" s="84"/>
      <c r="AW625" s="84"/>
      <c r="AX625" s="84"/>
      <c r="AY625" s="84"/>
      <c r="AZ625" s="84"/>
      <c r="BA625" s="84"/>
      <c r="BB625" s="84"/>
      <c r="BC625" s="84"/>
      <c r="BD625" s="84"/>
      <c r="BE625" s="84"/>
      <c r="BF625" s="84"/>
      <c r="BG625" s="84"/>
      <c r="BH625" s="84"/>
      <c r="BI625" s="84"/>
      <c r="BJ625" s="84"/>
      <c r="BK625" s="84"/>
      <c r="BL625" s="84"/>
      <c r="BM625" s="84"/>
      <c r="BN625" s="84"/>
      <c r="BO625" s="84"/>
      <c r="BP625" s="84"/>
      <c r="BQ625" s="84"/>
      <c r="BR625" s="84"/>
    </row>
    <row r="626" spans="1:70" ht="15.75" customHeight="1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  <c r="AL626" s="84"/>
      <c r="AM626" s="84"/>
      <c r="AN626" s="84"/>
      <c r="AO626" s="84"/>
      <c r="AP626" s="84"/>
      <c r="AQ626" s="84"/>
      <c r="AR626" s="84"/>
      <c r="AS626" s="84"/>
      <c r="AT626" s="84"/>
      <c r="AU626" s="84"/>
      <c r="AV626" s="84"/>
      <c r="AW626" s="84"/>
      <c r="AX626" s="84"/>
      <c r="AY626" s="84"/>
      <c r="AZ626" s="84"/>
      <c r="BA626" s="84"/>
      <c r="BB626" s="84"/>
      <c r="BC626" s="84"/>
      <c r="BD626" s="84"/>
      <c r="BE626" s="84"/>
      <c r="BF626" s="84"/>
      <c r="BG626" s="84"/>
      <c r="BH626" s="84"/>
      <c r="BI626" s="84"/>
      <c r="BJ626" s="84"/>
      <c r="BK626" s="84"/>
      <c r="BL626" s="84"/>
      <c r="BM626" s="84"/>
      <c r="BN626" s="84"/>
      <c r="BO626" s="84"/>
      <c r="BP626" s="84"/>
      <c r="BQ626" s="84"/>
      <c r="BR626" s="84"/>
    </row>
    <row r="627" spans="1:70" ht="15.75" customHeight="1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  <c r="AL627" s="84"/>
      <c r="AM627" s="84"/>
      <c r="AN627" s="84"/>
      <c r="AO627" s="84"/>
      <c r="AP627" s="84"/>
      <c r="AQ627" s="84"/>
      <c r="AR627" s="84"/>
      <c r="AS627" s="84"/>
      <c r="AT627" s="84"/>
      <c r="AU627" s="84"/>
      <c r="AV627" s="84"/>
      <c r="AW627" s="84"/>
      <c r="AX627" s="84"/>
      <c r="AY627" s="84"/>
      <c r="AZ627" s="84"/>
      <c r="BA627" s="84"/>
      <c r="BB627" s="84"/>
      <c r="BC627" s="84"/>
      <c r="BD627" s="84"/>
      <c r="BE627" s="84"/>
      <c r="BF627" s="84"/>
      <c r="BG627" s="84"/>
      <c r="BH627" s="84"/>
      <c r="BI627" s="84"/>
      <c r="BJ627" s="84"/>
      <c r="BK627" s="84"/>
      <c r="BL627" s="84"/>
      <c r="BM627" s="84"/>
      <c r="BN627" s="84"/>
      <c r="BO627" s="84"/>
      <c r="BP627" s="84"/>
      <c r="BQ627" s="84"/>
      <c r="BR627" s="84"/>
    </row>
    <row r="628" spans="1:70" ht="15.75" customHeight="1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  <c r="AL628" s="84"/>
      <c r="AM628" s="84"/>
      <c r="AN628" s="84"/>
      <c r="AO628" s="84"/>
      <c r="AP628" s="84"/>
      <c r="AQ628" s="84"/>
      <c r="AR628" s="84"/>
      <c r="AS628" s="84"/>
      <c r="AT628" s="84"/>
      <c r="AU628" s="84"/>
      <c r="AV628" s="84"/>
      <c r="AW628" s="84"/>
      <c r="AX628" s="84"/>
      <c r="AY628" s="84"/>
      <c r="AZ628" s="84"/>
      <c r="BA628" s="84"/>
      <c r="BB628" s="84"/>
      <c r="BC628" s="84"/>
      <c r="BD628" s="84"/>
      <c r="BE628" s="84"/>
      <c r="BF628" s="84"/>
      <c r="BG628" s="84"/>
      <c r="BH628" s="84"/>
      <c r="BI628" s="84"/>
      <c r="BJ628" s="84"/>
      <c r="BK628" s="84"/>
      <c r="BL628" s="84"/>
      <c r="BM628" s="84"/>
      <c r="BN628" s="84"/>
      <c r="BO628" s="84"/>
      <c r="BP628" s="84"/>
      <c r="BQ628" s="84"/>
      <c r="BR628" s="84"/>
    </row>
    <row r="629" spans="1:70" ht="15.75" customHeight="1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  <c r="AL629" s="84"/>
      <c r="AM629" s="84"/>
      <c r="AN629" s="84"/>
      <c r="AO629" s="84"/>
      <c r="AP629" s="84"/>
      <c r="AQ629" s="84"/>
      <c r="AR629" s="84"/>
      <c r="AS629" s="84"/>
      <c r="AT629" s="84"/>
      <c r="AU629" s="84"/>
      <c r="AV629" s="84"/>
      <c r="AW629" s="84"/>
      <c r="AX629" s="84"/>
      <c r="AY629" s="84"/>
      <c r="AZ629" s="84"/>
      <c r="BA629" s="84"/>
      <c r="BB629" s="84"/>
      <c r="BC629" s="84"/>
      <c r="BD629" s="84"/>
      <c r="BE629" s="84"/>
      <c r="BF629" s="84"/>
      <c r="BG629" s="84"/>
      <c r="BH629" s="84"/>
      <c r="BI629" s="84"/>
      <c r="BJ629" s="84"/>
      <c r="BK629" s="84"/>
      <c r="BL629" s="84"/>
      <c r="BM629" s="84"/>
      <c r="BN629" s="84"/>
      <c r="BO629" s="84"/>
      <c r="BP629" s="84"/>
      <c r="BQ629" s="84"/>
      <c r="BR629" s="84"/>
    </row>
    <row r="630" spans="1:70" ht="15.75" customHeight="1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  <c r="AL630" s="84"/>
      <c r="AM630" s="84"/>
      <c r="AN630" s="84"/>
      <c r="AO630" s="84"/>
      <c r="AP630" s="84"/>
      <c r="AQ630" s="84"/>
      <c r="AR630" s="84"/>
      <c r="AS630" s="84"/>
      <c r="AT630" s="84"/>
      <c r="AU630" s="84"/>
      <c r="AV630" s="84"/>
      <c r="AW630" s="84"/>
      <c r="AX630" s="84"/>
      <c r="AY630" s="84"/>
      <c r="AZ630" s="84"/>
      <c r="BA630" s="84"/>
      <c r="BB630" s="84"/>
      <c r="BC630" s="84"/>
      <c r="BD630" s="84"/>
      <c r="BE630" s="84"/>
      <c r="BF630" s="84"/>
      <c r="BG630" s="84"/>
      <c r="BH630" s="84"/>
      <c r="BI630" s="84"/>
      <c r="BJ630" s="84"/>
      <c r="BK630" s="84"/>
      <c r="BL630" s="84"/>
      <c r="BM630" s="84"/>
      <c r="BN630" s="84"/>
      <c r="BO630" s="84"/>
      <c r="BP630" s="84"/>
      <c r="BQ630" s="84"/>
      <c r="BR630" s="84"/>
    </row>
    <row r="631" spans="1:70" ht="15.75" customHeight="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  <c r="AL631" s="84"/>
      <c r="AM631" s="84"/>
      <c r="AN631" s="84"/>
      <c r="AO631" s="84"/>
      <c r="AP631" s="84"/>
      <c r="AQ631" s="84"/>
      <c r="AR631" s="84"/>
      <c r="AS631" s="84"/>
      <c r="AT631" s="84"/>
      <c r="AU631" s="84"/>
      <c r="AV631" s="84"/>
      <c r="AW631" s="84"/>
      <c r="AX631" s="84"/>
      <c r="AY631" s="84"/>
      <c r="AZ631" s="84"/>
      <c r="BA631" s="84"/>
      <c r="BB631" s="84"/>
      <c r="BC631" s="84"/>
      <c r="BD631" s="84"/>
      <c r="BE631" s="84"/>
      <c r="BF631" s="84"/>
      <c r="BG631" s="84"/>
      <c r="BH631" s="84"/>
      <c r="BI631" s="84"/>
      <c r="BJ631" s="84"/>
      <c r="BK631" s="84"/>
      <c r="BL631" s="84"/>
      <c r="BM631" s="84"/>
      <c r="BN631" s="84"/>
      <c r="BO631" s="84"/>
      <c r="BP631" s="84"/>
      <c r="BQ631" s="84"/>
      <c r="BR631" s="84"/>
    </row>
    <row r="632" spans="1:70" ht="15.75" customHeight="1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  <c r="AL632" s="84"/>
      <c r="AM632" s="84"/>
      <c r="AN632" s="84"/>
      <c r="AO632" s="84"/>
      <c r="AP632" s="84"/>
      <c r="AQ632" s="84"/>
      <c r="AR632" s="84"/>
      <c r="AS632" s="84"/>
      <c r="AT632" s="84"/>
      <c r="AU632" s="84"/>
      <c r="AV632" s="84"/>
      <c r="AW632" s="84"/>
      <c r="AX632" s="84"/>
      <c r="AY632" s="84"/>
      <c r="AZ632" s="84"/>
      <c r="BA632" s="84"/>
      <c r="BB632" s="84"/>
      <c r="BC632" s="84"/>
      <c r="BD632" s="84"/>
      <c r="BE632" s="84"/>
      <c r="BF632" s="84"/>
      <c r="BG632" s="84"/>
      <c r="BH632" s="84"/>
      <c r="BI632" s="84"/>
      <c r="BJ632" s="84"/>
      <c r="BK632" s="84"/>
      <c r="BL632" s="84"/>
      <c r="BM632" s="84"/>
      <c r="BN632" s="84"/>
      <c r="BO632" s="84"/>
      <c r="BP632" s="84"/>
      <c r="BQ632" s="84"/>
      <c r="BR632" s="84"/>
    </row>
    <row r="633" spans="1:70" ht="15.75" customHeight="1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  <c r="AL633" s="84"/>
      <c r="AM633" s="84"/>
      <c r="AN633" s="84"/>
      <c r="AO633" s="84"/>
      <c r="AP633" s="84"/>
      <c r="AQ633" s="84"/>
      <c r="AR633" s="84"/>
      <c r="AS633" s="84"/>
      <c r="AT633" s="84"/>
      <c r="AU633" s="84"/>
      <c r="AV633" s="84"/>
      <c r="AW633" s="84"/>
      <c r="AX633" s="84"/>
      <c r="AY633" s="84"/>
      <c r="AZ633" s="84"/>
      <c r="BA633" s="84"/>
      <c r="BB633" s="84"/>
      <c r="BC633" s="84"/>
      <c r="BD633" s="84"/>
      <c r="BE633" s="84"/>
      <c r="BF633" s="84"/>
      <c r="BG633" s="84"/>
      <c r="BH633" s="84"/>
      <c r="BI633" s="84"/>
      <c r="BJ633" s="84"/>
      <c r="BK633" s="84"/>
      <c r="BL633" s="84"/>
      <c r="BM633" s="84"/>
      <c r="BN633" s="84"/>
      <c r="BO633" s="84"/>
      <c r="BP633" s="84"/>
      <c r="BQ633" s="84"/>
      <c r="BR633" s="84"/>
    </row>
    <row r="634" spans="1:70" ht="15.75" customHeight="1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  <c r="AL634" s="84"/>
      <c r="AM634" s="84"/>
      <c r="AN634" s="84"/>
      <c r="AO634" s="84"/>
      <c r="AP634" s="84"/>
      <c r="AQ634" s="84"/>
      <c r="AR634" s="84"/>
      <c r="AS634" s="84"/>
      <c r="AT634" s="84"/>
      <c r="AU634" s="84"/>
      <c r="AV634" s="84"/>
      <c r="AW634" s="84"/>
      <c r="AX634" s="84"/>
      <c r="AY634" s="84"/>
      <c r="AZ634" s="84"/>
      <c r="BA634" s="84"/>
      <c r="BB634" s="84"/>
      <c r="BC634" s="84"/>
      <c r="BD634" s="84"/>
      <c r="BE634" s="84"/>
      <c r="BF634" s="84"/>
      <c r="BG634" s="84"/>
      <c r="BH634" s="84"/>
      <c r="BI634" s="84"/>
      <c r="BJ634" s="84"/>
      <c r="BK634" s="84"/>
      <c r="BL634" s="84"/>
      <c r="BM634" s="84"/>
      <c r="BN634" s="84"/>
      <c r="BO634" s="84"/>
      <c r="BP634" s="84"/>
      <c r="BQ634" s="84"/>
      <c r="BR634" s="84"/>
    </row>
    <row r="635" spans="1:70" ht="15.75" customHeight="1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  <c r="AL635" s="84"/>
      <c r="AM635" s="84"/>
      <c r="AN635" s="84"/>
      <c r="AO635" s="84"/>
      <c r="AP635" s="84"/>
      <c r="AQ635" s="84"/>
      <c r="AR635" s="84"/>
      <c r="AS635" s="84"/>
      <c r="AT635" s="84"/>
      <c r="AU635" s="84"/>
      <c r="AV635" s="84"/>
      <c r="AW635" s="84"/>
      <c r="AX635" s="84"/>
      <c r="AY635" s="84"/>
      <c r="AZ635" s="84"/>
      <c r="BA635" s="84"/>
      <c r="BB635" s="84"/>
      <c r="BC635" s="84"/>
      <c r="BD635" s="84"/>
      <c r="BE635" s="84"/>
      <c r="BF635" s="84"/>
      <c r="BG635" s="84"/>
      <c r="BH635" s="84"/>
      <c r="BI635" s="84"/>
      <c r="BJ635" s="84"/>
      <c r="BK635" s="84"/>
      <c r="BL635" s="84"/>
      <c r="BM635" s="84"/>
      <c r="BN635" s="84"/>
      <c r="BO635" s="84"/>
      <c r="BP635" s="84"/>
      <c r="BQ635" s="84"/>
      <c r="BR635" s="84"/>
    </row>
    <row r="636" spans="1:70" ht="15.75" customHeight="1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  <c r="AL636" s="84"/>
      <c r="AM636" s="84"/>
      <c r="AN636" s="84"/>
      <c r="AO636" s="84"/>
      <c r="AP636" s="84"/>
      <c r="AQ636" s="84"/>
      <c r="AR636" s="84"/>
      <c r="AS636" s="84"/>
      <c r="AT636" s="84"/>
      <c r="AU636" s="84"/>
      <c r="AV636" s="84"/>
      <c r="AW636" s="84"/>
      <c r="AX636" s="84"/>
      <c r="AY636" s="84"/>
      <c r="AZ636" s="84"/>
      <c r="BA636" s="84"/>
      <c r="BB636" s="84"/>
      <c r="BC636" s="84"/>
      <c r="BD636" s="84"/>
      <c r="BE636" s="84"/>
      <c r="BF636" s="84"/>
      <c r="BG636" s="84"/>
      <c r="BH636" s="84"/>
      <c r="BI636" s="84"/>
      <c r="BJ636" s="84"/>
      <c r="BK636" s="84"/>
      <c r="BL636" s="84"/>
      <c r="BM636" s="84"/>
      <c r="BN636" s="84"/>
      <c r="BO636" s="84"/>
      <c r="BP636" s="84"/>
      <c r="BQ636" s="84"/>
      <c r="BR636" s="84"/>
    </row>
    <row r="637" spans="1:70" ht="15.75" customHeight="1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  <c r="AL637" s="84"/>
      <c r="AM637" s="84"/>
      <c r="AN637" s="84"/>
      <c r="AO637" s="84"/>
      <c r="AP637" s="84"/>
      <c r="AQ637" s="84"/>
      <c r="AR637" s="84"/>
      <c r="AS637" s="84"/>
      <c r="AT637" s="84"/>
      <c r="AU637" s="84"/>
      <c r="AV637" s="84"/>
      <c r="AW637" s="84"/>
      <c r="AX637" s="84"/>
      <c r="AY637" s="84"/>
      <c r="AZ637" s="84"/>
      <c r="BA637" s="84"/>
      <c r="BB637" s="84"/>
      <c r="BC637" s="84"/>
      <c r="BD637" s="84"/>
      <c r="BE637" s="84"/>
      <c r="BF637" s="84"/>
      <c r="BG637" s="84"/>
      <c r="BH637" s="84"/>
      <c r="BI637" s="84"/>
      <c r="BJ637" s="84"/>
      <c r="BK637" s="84"/>
      <c r="BL637" s="84"/>
      <c r="BM637" s="84"/>
      <c r="BN637" s="84"/>
      <c r="BO637" s="84"/>
      <c r="BP637" s="84"/>
      <c r="BQ637" s="84"/>
      <c r="BR637" s="84"/>
    </row>
    <row r="638" spans="1:70" ht="15.75" customHeight="1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  <c r="AL638" s="84"/>
      <c r="AM638" s="84"/>
      <c r="AN638" s="84"/>
      <c r="AO638" s="84"/>
      <c r="AP638" s="84"/>
      <c r="AQ638" s="84"/>
      <c r="AR638" s="84"/>
      <c r="AS638" s="84"/>
      <c r="AT638" s="84"/>
      <c r="AU638" s="84"/>
      <c r="AV638" s="84"/>
      <c r="AW638" s="84"/>
      <c r="AX638" s="84"/>
      <c r="AY638" s="84"/>
      <c r="AZ638" s="84"/>
      <c r="BA638" s="84"/>
      <c r="BB638" s="84"/>
      <c r="BC638" s="84"/>
      <c r="BD638" s="84"/>
      <c r="BE638" s="84"/>
      <c r="BF638" s="84"/>
      <c r="BG638" s="84"/>
      <c r="BH638" s="84"/>
      <c r="BI638" s="84"/>
      <c r="BJ638" s="84"/>
      <c r="BK638" s="84"/>
      <c r="BL638" s="84"/>
      <c r="BM638" s="84"/>
      <c r="BN638" s="84"/>
      <c r="BO638" s="84"/>
      <c r="BP638" s="84"/>
      <c r="BQ638" s="84"/>
      <c r="BR638" s="84"/>
    </row>
    <row r="639" spans="1:70" ht="15.75" customHeight="1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  <c r="AL639" s="84"/>
      <c r="AM639" s="84"/>
      <c r="AN639" s="84"/>
      <c r="AO639" s="84"/>
      <c r="AP639" s="84"/>
      <c r="AQ639" s="84"/>
      <c r="AR639" s="84"/>
      <c r="AS639" s="84"/>
      <c r="AT639" s="84"/>
      <c r="AU639" s="84"/>
      <c r="AV639" s="84"/>
      <c r="AW639" s="84"/>
      <c r="AX639" s="84"/>
      <c r="AY639" s="84"/>
      <c r="AZ639" s="84"/>
      <c r="BA639" s="84"/>
      <c r="BB639" s="84"/>
      <c r="BC639" s="84"/>
      <c r="BD639" s="84"/>
      <c r="BE639" s="84"/>
      <c r="BF639" s="84"/>
      <c r="BG639" s="84"/>
      <c r="BH639" s="84"/>
      <c r="BI639" s="84"/>
      <c r="BJ639" s="84"/>
      <c r="BK639" s="84"/>
      <c r="BL639" s="84"/>
      <c r="BM639" s="84"/>
      <c r="BN639" s="84"/>
      <c r="BO639" s="84"/>
      <c r="BP639" s="84"/>
      <c r="BQ639" s="84"/>
      <c r="BR639" s="84"/>
    </row>
    <row r="640" spans="1:70" ht="15.75" customHeight="1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  <c r="AL640" s="84"/>
      <c r="AM640" s="84"/>
      <c r="AN640" s="84"/>
      <c r="AO640" s="84"/>
      <c r="AP640" s="84"/>
      <c r="AQ640" s="84"/>
      <c r="AR640" s="84"/>
      <c r="AS640" s="84"/>
      <c r="AT640" s="84"/>
      <c r="AU640" s="84"/>
      <c r="AV640" s="84"/>
      <c r="AW640" s="84"/>
      <c r="AX640" s="84"/>
      <c r="AY640" s="84"/>
      <c r="AZ640" s="84"/>
      <c r="BA640" s="84"/>
      <c r="BB640" s="84"/>
      <c r="BC640" s="84"/>
      <c r="BD640" s="84"/>
      <c r="BE640" s="84"/>
      <c r="BF640" s="84"/>
      <c r="BG640" s="84"/>
      <c r="BH640" s="84"/>
      <c r="BI640" s="84"/>
      <c r="BJ640" s="84"/>
      <c r="BK640" s="84"/>
      <c r="BL640" s="84"/>
      <c r="BM640" s="84"/>
      <c r="BN640" s="84"/>
      <c r="BO640" s="84"/>
      <c r="BP640" s="84"/>
      <c r="BQ640" s="84"/>
      <c r="BR640" s="84"/>
    </row>
    <row r="641" spans="1:70" ht="15.75" customHeight="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  <c r="AL641" s="84"/>
      <c r="AM641" s="84"/>
      <c r="AN641" s="84"/>
      <c r="AO641" s="84"/>
      <c r="AP641" s="84"/>
      <c r="AQ641" s="84"/>
      <c r="AR641" s="84"/>
      <c r="AS641" s="84"/>
      <c r="AT641" s="84"/>
      <c r="AU641" s="84"/>
      <c r="AV641" s="84"/>
      <c r="AW641" s="84"/>
      <c r="AX641" s="84"/>
      <c r="AY641" s="84"/>
      <c r="AZ641" s="84"/>
      <c r="BA641" s="84"/>
      <c r="BB641" s="84"/>
      <c r="BC641" s="84"/>
      <c r="BD641" s="84"/>
      <c r="BE641" s="84"/>
      <c r="BF641" s="84"/>
      <c r="BG641" s="84"/>
      <c r="BH641" s="84"/>
      <c r="BI641" s="84"/>
      <c r="BJ641" s="84"/>
      <c r="BK641" s="84"/>
      <c r="BL641" s="84"/>
      <c r="BM641" s="84"/>
      <c r="BN641" s="84"/>
      <c r="BO641" s="84"/>
      <c r="BP641" s="84"/>
      <c r="BQ641" s="84"/>
      <c r="BR641" s="84"/>
    </row>
    <row r="642" spans="1:70" ht="15.75" customHeight="1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  <c r="AL642" s="84"/>
      <c r="AM642" s="84"/>
      <c r="AN642" s="84"/>
      <c r="AO642" s="84"/>
      <c r="AP642" s="84"/>
      <c r="AQ642" s="84"/>
      <c r="AR642" s="84"/>
      <c r="AS642" s="84"/>
      <c r="AT642" s="84"/>
      <c r="AU642" s="84"/>
      <c r="AV642" s="84"/>
      <c r="AW642" s="84"/>
      <c r="AX642" s="84"/>
      <c r="AY642" s="84"/>
      <c r="AZ642" s="84"/>
      <c r="BA642" s="84"/>
      <c r="BB642" s="84"/>
      <c r="BC642" s="84"/>
      <c r="BD642" s="84"/>
      <c r="BE642" s="84"/>
      <c r="BF642" s="84"/>
      <c r="BG642" s="84"/>
      <c r="BH642" s="84"/>
      <c r="BI642" s="84"/>
      <c r="BJ642" s="84"/>
      <c r="BK642" s="84"/>
      <c r="BL642" s="84"/>
      <c r="BM642" s="84"/>
      <c r="BN642" s="84"/>
      <c r="BO642" s="84"/>
      <c r="BP642" s="84"/>
      <c r="BQ642" s="84"/>
      <c r="BR642" s="84"/>
    </row>
    <row r="643" spans="1:70" ht="15.75" customHeight="1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  <c r="AL643" s="84"/>
      <c r="AM643" s="84"/>
      <c r="AN643" s="84"/>
      <c r="AO643" s="84"/>
      <c r="AP643" s="84"/>
      <c r="AQ643" s="84"/>
      <c r="AR643" s="84"/>
      <c r="AS643" s="84"/>
      <c r="AT643" s="84"/>
      <c r="AU643" s="84"/>
      <c r="AV643" s="84"/>
      <c r="AW643" s="84"/>
      <c r="AX643" s="84"/>
      <c r="AY643" s="84"/>
      <c r="AZ643" s="84"/>
      <c r="BA643" s="84"/>
      <c r="BB643" s="84"/>
      <c r="BC643" s="84"/>
      <c r="BD643" s="84"/>
      <c r="BE643" s="84"/>
      <c r="BF643" s="84"/>
      <c r="BG643" s="84"/>
      <c r="BH643" s="84"/>
      <c r="BI643" s="84"/>
      <c r="BJ643" s="84"/>
      <c r="BK643" s="84"/>
      <c r="BL643" s="84"/>
      <c r="BM643" s="84"/>
      <c r="BN643" s="84"/>
      <c r="BO643" s="84"/>
      <c r="BP643" s="84"/>
      <c r="BQ643" s="84"/>
      <c r="BR643" s="84"/>
    </row>
    <row r="644" spans="1:70" ht="15.75" customHeight="1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  <c r="AL644" s="84"/>
      <c r="AM644" s="84"/>
      <c r="AN644" s="84"/>
      <c r="AO644" s="84"/>
      <c r="AP644" s="84"/>
      <c r="AQ644" s="84"/>
      <c r="AR644" s="84"/>
      <c r="AS644" s="84"/>
      <c r="AT644" s="84"/>
      <c r="AU644" s="84"/>
      <c r="AV644" s="84"/>
      <c r="AW644" s="84"/>
      <c r="AX644" s="84"/>
      <c r="AY644" s="84"/>
      <c r="AZ644" s="84"/>
      <c r="BA644" s="84"/>
      <c r="BB644" s="84"/>
      <c r="BC644" s="84"/>
      <c r="BD644" s="84"/>
      <c r="BE644" s="84"/>
      <c r="BF644" s="84"/>
      <c r="BG644" s="84"/>
      <c r="BH644" s="84"/>
      <c r="BI644" s="84"/>
      <c r="BJ644" s="84"/>
      <c r="BK644" s="84"/>
      <c r="BL644" s="84"/>
      <c r="BM644" s="84"/>
      <c r="BN644" s="84"/>
      <c r="BO644" s="84"/>
      <c r="BP644" s="84"/>
      <c r="BQ644" s="84"/>
      <c r="BR644" s="84"/>
    </row>
    <row r="645" spans="1:70" ht="15.75" customHeight="1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  <c r="AL645" s="84"/>
      <c r="AM645" s="84"/>
      <c r="AN645" s="84"/>
      <c r="AO645" s="84"/>
      <c r="AP645" s="84"/>
      <c r="AQ645" s="84"/>
      <c r="AR645" s="84"/>
      <c r="AS645" s="84"/>
      <c r="AT645" s="84"/>
      <c r="AU645" s="84"/>
      <c r="AV645" s="84"/>
      <c r="AW645" s="84"/>
      <c r="AX645" s="84"/>
      <c r="AY645" s="84"/>
      <c r="AZ645" s="84"/>
      <c r="BA645" s="84"/>
      <c r="BB645" s="84"/>
      <c r="BC645" s="84"/>
      <c r="BD645" s="84"/>
      <c r="BE645" s="84"/>
      <c r="BF645" s="84"/>
      <c r="BG645" s="84"/>
      <c r="BH645" s="84"/>
      <c r="BI645" s="84"/>
      <c r="BJ645" s="84"/>
      <c r="BK645" s="84"/>
      <c r="BL645" s="84"/>
      <c r="BM645" s="84"/>
      <c r="BN645" s="84"/>
      <c r="BO645" s="84"/>
      <c r="BP645" s="84"/>
      <c r="BQ645" s="84"/>
      <c r="BR645" s="84"/>
    </row>
    <row r="646" spans="1:70" ht="15.75" customHeight="1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  <c r="AL646" s="84"/>
      <c r="AM646" s="84"/>
      <c r="AN646" s="84"/>
      <c r="AO646" s="84"/>
      <c r="AP646" s="84"/>
      <c r="AQ646" s="84"/>
      <c r="AR646" s="84"/>
      <c r="AS646" s="84"/>
      <c r="AT646" s="84"/>
      <c r="AU646" s="84"/>
      <c r="AV646" s="84"/>
      <c r="AW646" s="84"/>
      <c r="AX646" s="84"/>
      <c r="AY646" s="84"/>
      <c r="AZ646" s="84"/>
      <c r="BA646" s="84"/>
      <c r="BB646" s="84"/>
      <c r="BC646" s="84"/>
      <c r="BD646" s="84"/>
      <c r="BE646" s="84"/>
      <c r="BF646" s="84"/>
      <c r="BG646" s="84"/>
      <c r="BH646" s="84"/>
      <c r="BI646" s="84"/>
      <c r="BJ646" s="84"/>
      <c r="BK646" s="84"/>
      <c r="BL646" s="84"/>
      <c r="BM646" s="84"/>
      <c r="BN646" s="84"/>
      <c r="BO646" s="84"/>
      <c r="BP646" s="84"/>
      <c r="BQ646" s="84"/>
      <c r="BR646" s="84"/>
    </row>
    <row r="647" spans="1:70" ht="15.75" customHeight="1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  <c r="AL647" s="84"/>
      <c r="AM647" s="84"/>
      <c r="AN647" s="84"/>
      <c r="AO647" s="84"/>
      <c r="AP647" s="84"/>
      <c r="AQ647" s="84"/>
      <c r="AR647" s="84"/>
      <c r="AS647" s="84"/>
      <c r="AT647" s="84"/>
      <c r="AU647" s="84"/>
      <c r="AV647" s="84"/>
      <c r="AW647" s="84"/>
      <c r="AX647" s="84"/>
      <c r="AY647" s="84"/>
      <c r="AZ647" s="84"/>
      <c r="BA647" s="84"/>
      <c r="BB647" s="84"/>
      <c r="BC647" s="84"/>
      <c r="BD647" s="84"/>
      <c r="BE647" s="84"/>
      <c r="BF647" s="84"/>
      <c r="BG647" s="84"/>
      <c r="BH647" s="84"/>
      <c r="BI647" s="84"/>
      <c r="BJ647" s="84"/>
      <c r="BK647" s="84"/>
      <c r="BL647" s="84"/>
      <c r="BM647" s="84"/>
      <c r="BN647" s="84"/>
      <c r="BO647" s="84"/>
      <c r="BP647" s="84"/>
      <c r="BQ647" s="84"/>
      <c r="BR647" s="84"/>
    </row>
    <row r="648" spans="1:70" ht="15.75" customHeight="1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  <c r="AL648" s="84"/>
      <c r="AM648" s="84"/>
      <c r="AN648" s="84"/>
      <c r="AO648" s="84"/>
      <c r="AP648" s="84"/>
      <c r="AQ648" s="84"/>
      <c r="AR648" s="84"/>
      <c r="AS648" s="84"/>
      <c r="AT648" s="84"/>
      <c r="AU648" s="84"/>
      <c r="AV648" s="84"/>
      <c r="AW648" s="84"/>
      <c r="AX648" s="84"/>
      <c r="AY648" s="84"/>
      <c r="AZ648" s="84"/>
      <c r="BA648" s="84"/>
      <c r="BB648" s="84"/>
      <c r="BC648" s="84"/>
      <c r="BD648" s="84"/>
      <c r="BE648" s="84"/>
      <c r="BF648" s="84"/>
      <c r="BG648" s="84"/>
      <c r="BH648" s="84"/>
      <c r="BI648" s="84"/>
      <c r="BJ648" s="84"/>
      <c r="BK648" s="84"/>
      <c r="BL648" s="84"/>
      <c r="BM648" s="84"/>
      <c r="BN648" s="84"/>
      <c r="BO648" s="84"/>
      <c r="BP648" s="84"/>
      <c r="BQ648" s="84"/>
      <c r="BR648" s="84"/>
    </row>
    <row r="649" spans="1:70" ht="15.75" customHeight="1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  <c r="AL649" s="84"/>
      <c r="AM649" s="84"/>
      <c r="AN649" s="84"/>
      <c r="AO649" s="84"/>
      <c r="AP649" s="84"/>
      <c r="AQ649" s="84"/>
      <c r="AR649" s="84"/>
      <c r="AS649" s="84"/>
      <c r="AT649" s="84"/>
      <c r="AU649" s="84"/>
      <c r="AV649" s="84"/>
      <c r="AW649" s="84"/>
      <c r="AX649" s="84"/>
      <c r="AY649" s="84"/>
      <c r="AZ649" s="84"/>
      <c r="BA649" s="84"/>
      <c r="BB649" s="84"/>
      <c r="BC649" s="84"/>
      <c r="BD649" s="84"/>
      <c r="BE649" s="84"/>
      <c r="BF649" s="84"/>
      <c r="BG649" s="84"/>
      <c r="BH649" s="84"/>
      <c r="BI649" s="84"/>
      <c r="BJ649" s="84"/>
      <c r="BK649" s="84"/>
      <c r="BL649" s="84"/>
      <c r="BM649" s="84"/>
      <c r="BN649" s="84"/>
      <c r="BO649" s="84"/>
      <c r="BP649" s="84"/>
      <c r="BQ649" s="84"/>
      <c r="BR649" s="84"/>
    </row>
    <row r="650" spans="1:70" ht="15.75" customHeight="1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  <c r="AL650" s="84"/>
      <c r="AM650" s="84"/>
      <c r="AN650" s="84"/>
      <c r="AO650" s="84"/>
      <c r="AP650" s="84"/>
      <c r="AQ650" s="84"/>
      <c r="AR650" s="84"/>
      <c r="AS650" s="84"/>
      <c r="AT650" s="84"/>
      <c r="AU650" s="84"/>
      <c r="AV650" s="84"/>
      <c r="AW650" s="84"/>
      <c r="AX650" s="84"/>
      <c r="AY650" s="84"/>
      <c r="AZ650" s="84"/>
      <c r="BA650" s="84"/>
      <c r="BB650" s="84"/>
      <c r="BC650" s="84"/>
      <c r="BD650" s="84"/>
      <c r="BE650" s="84"/>
      <c r="BF650" s="84"/>
      <c r="BG650" s="84"/>
      <c r="BH650" s="84"/>
      <c r="BI650" s="84"/>
      <c r="BJ650" s="84"/>
      <c r="BK650" s="84"/>
      <c r="BL650" s="84"/>
      <c r="BM650" s="84"/>
      <c r="BN650" s="84"/>
      <c r="BO650" s="84"/>
      <c r="BP650" s="84"/>
      <c r="BQ650" s="84"/>
      <c r="BR650" s="84"/>
    </row>
    <row r="651" spans="1:70" ht="15.75" customHeight="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  <c r="AL651" s="84"/>
      <c r="AM651" s="84"/>
      <c r="AN651" s="84"/>
      <c r="AO651" s="84"/>
      <c r="AP651" s="84"/>
      <c r="AQ651" s="84"/>
      <c r="AR651" s="84"/>
      <c r="AS651" s="84"/>
      <c r="AT651" s="84"/>
      <c r="AU651" s="84"/>
      <c r="AV651" s="84"/>
      <c r="AW651" s="84"/>
      <c r="AX651" s="84"/>
      <c r="AY651" s="84"/>
      <c r="AZ651" s="84"/>
      <c r="BA651" s="84"/>
      <c r="BB651" s="84"/>
      <c r="BC651" s="84"/>
      <c r="BD651" s="84"/>
      <c r="BE651" s="84"/>
      <c r="BF651" s="84"/>
      <c r="BG651" s="84"/>
      <c r="BH651" s="84"/>
      <c r="BI651" s="84"/>
      <c r="BJ651" s="84"/>
      <c r="BK651" s="84"/>
      <c r="BL651" s="84"/>
      <c r="BM651" s="84"/>
      <c r="BN651" s="84"/>
      <c r="BO651" s="84"/>
      <c r="BP651" s="84"/>
      <c r="BQ651" s="84"/>
      <c r="BR651" s="84"/>
    </row>
    <row r="652" spans="1:70" ht="15.75" customHeight="1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  <c r="AL652" s="84"/>
      <c r="AM652" s="84"/>
      <c r="AN652" s="84"/>
      <c r="AO652" s="84"/>
      <c r="AP652" s="84"/>
      <c r="AQ652" s="84"/>
      <c r="AR652" s="84"/>
      <c r="AS652" s="84"/>
      <c r="AT652" s="84"/>
      <c r="AU652" s="84"/>
      <c r="AV652" s="84"/>
      <c r="AW652" s="84"/>
      <c r="AX652" s="84"/>
      <c r="AY652" s="84"/>
      <c r="AZ652" s="84"/>
      <c r="BA652" s="84"/>
      <c r="BB652" s="84"/>
      <c r="BC652" s="84"/>
      <c r="BD652" s="84"/>
      <c r="BE652" s="84"/>
      <c r="BF652" s="84"/>
      <c r="BG652" s="84"/>
      <c r="BH652" s="84"/>
      <c r="BI652" s="84"/>
      <c r="BJ652" s="84"/>
      <c r="BK652" s="84"/>
      <c r="BL652" s="84"/>
      <c r="BM652" s="84"/>
      <c r="BN652" s="84"/>
      <c r="BO652" s="84"/>
      <c r="BP652" s="84"/>
      <c r="BQ652" s="84"/>
      <c r="BR652" s="84"/>
    </row>
    <row r="653" spans="1:70" ht="15.75" customHeight="1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  <c r="AL653" s="84"/>
      <c r="AM653" s="84"/>
      <c r="AN653" s="84"/>
      <c r="AO653" s="84"/>
      <c r="AP653" s="84"/>
      <c r="AQ653" s="84"/>
      <c r="AR653" s="84"/>
      <c r="AS653" s="84"/>
      <c r="AT653" s="84"/>
      <c r="AU653" s="84"/>
      <c r="AV653" s="84"/>
      <c r="AW653" s="84"/>
      <c r="AX653" s="84"/>
      <c r="AY653" s="84"/>
      <c r="AZ653" s="84"/>
      <c r="BA653" s="84"/>
      <c r="BB653" s="84"/>
      <c r="BC653" s="84"/>
      <c r="BD653" s="84"/>
      <c r="BE653" s="84"/>
      <c r="BF653" s="84"/>
      <c r="BG653" s="84"/>
      <c r="BH653" s="84"/>
      <c r="BI653" s="84"/>
      <c r="BJ653" s="84"/>
      <c r="BK653" s="84"/>
      <c r="BL653" s="84"/>
      <c r="BM653" s="84"/>
      <c r="BN653" s="84"/>
      <c r="BO653" s="84"/>
      <c r="BP653" s="84"/>
      <c r="BQ653" s="84"/>
      <c r="BR653" s="84"/>
    </row>
    <row r="654" spans="1:70" ht="15.75" customHeight="1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  <c r="AL654" s="84"/>
      <c r="AM654" s="84"/>
      <c r="AN654" s="84"/>
      <c r="AO654" s="84"/>
      <c r="AP654" s="84"/>
      <c r="AQ654" s="84"/>
      <c r="AR654" s="84"/>
      <c r="AS654" s="84"/>
      <c r="AT654" s="84"/>
      <c r="AU654" s="84"/>
      <c r="AV654" s="84"/>
      <c r="AW654" s="84"/>
      <c r="AX654" s="84"/>
      <c r="AY654" s="84"/>
      <c r="AZ654" s="84"/>
      <c r="BA654" s="84"/>
      <c r="BB654" s="84"/>
      <c r="BC654" s="84"/>
      <c r="BD654" s="84"/>
      <c r="BE654" s="84"/>
      <c r="BF654" s="84"/>
      <c r="BG654" s="84"/>
      <c r="BH654" s="84"/>
      <c r="BI654" s="84"/>
      <c r="BJ654" s="84"/>
      <c r="BK654" s="84"/>
      <c r="BL654" s="84"/>
      <c r="BM654" s="84"/>
      <c r="BN654" s="84"/>
      <c r="BO654" s="84"/>
      <c r="BP654" s="84"/>
      <c r="BQ654" s="84"/>
      <c r="BR654" s="84"/>
    </row>
    <row r="655" spans="1:70" ht="15.75" customHeight="1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  <c r="AL655" s="84"/>
      <c r="AM655" s="84"/>
      <c r="AN655" s="84"/>
      <c r="AO655" s="84"/>
      <c r="AP655" s="84"/>
      <c r="AQ655" s="84"/>
      <c r="AR655" s="84"/>
      <c r="AS655" s="84"/>
      <c r="AT655" s="84"/>
      <c r="AU655" s="84"/>
      <c r="AV655" s="84"/>
      <c r="AW655" s="84"/>
      <c r="AX655" s="84"/>
      <c r="AY655" s="84"/>
      <c r="AZ655" s="84"/>
      <c r="BA655" s="84"/>
      <c r="BB655" s="84"/>
      <c r="BC655" s="84"/>
      <c r="BD655" s="84"/>
      <c r="BE655" s="84"/>
      <c r="BF655" s="84"/>
      <c r="BG655" s="84"/>
      <c r="BH655" s="84"/>
      <c r="BI655" s="84"/>
      <c r="BJ655" s="84"/>
      <c r="BK655" s="84"/>
      <c r="BL655" s="84"/>
      <c r="BM655" s="84"/>
      <c r="BN655" s="84"/>
      <c r="BO655" s="84"/>
      <c r="BP655" s="84"/>
      <c r="BQ655" s="84"/>
      <c r="BR655" s="84"/>
    </row>
    <row r="656" spans="1:70" ht="15.75" customHeight="1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  <c r="AL656" s="84"/>
      <c r="AM656" s="84"/>
      <c r="AN656" s="84"/>
      <c r="AO656" s="84"/>
      <c r="AP656" s="84"/>
      <c r="AQ656" s="84"/>
      <c r="AR656" s="84"/>
      <c r="AS656" s="84"/>
      <c r="AT656" s="84"/>
      <c r="AU656" s="84"/>
      <c r="AV656" s="84"/>
      <c r="AW656" s="84"/>
      <c r="AX656" s="84"/>
      <c r="AY656" s="84"/>
      <c r="AZ656" s="84"/>
      <c r="BA656" s="84"/>
      <c r="BB656" s="84"/>
      <c r="BC656" s="84"/>
      <c r="BD656" s="84"/>
      <c r="BE656" s="84"/>
      <c r="BF656" s="84"/>
      <c r="BG656" s="84"/>
      <c r="BH656" s="84"/>
      <c r="BI656" s="84"/>
      <c r="BJ656" s="84"/>
      <c r="BK656" s="84"/>
      <c r="BL656" s="84"/>
      <c r="BM656" s="84"/>
      <c r="BN656" s="84"/>
      <c r="BO656" s="84"/>
      <c r="BP656" s="84"/>
      <c r="BQ656" s="84"/>
      <c r="BR656" s="84"/>
    </row>
    <row r="657" spans="1:70" ht="15.75" customHeight="1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  <c r="AL657" s="84"/>
      <c r="AM657" s="84"/>
      <c r="AN657" s="84"/>
      <c r="AO657" s="84"/>
      <c r="AP657" s="84"/>
      <c r="AQ657" s="84"/>
      <c r="AR657" s="84"/>
      <c r="AS657" s="84"/>
      <c r="AT657" s="84"/>
      <c r="AU657" s="84"/>
      <c r="AV657" s="84"/>
      <c r="AW657" s="84"/>
      <c r="AX657" s="84"/>
      <c r="AY657" s="84"/>
      <c r="AZ657" s="84"/>
      <c r="BA657" s="84"/>
      <c r="BB657" s="84"/>
      <c r="BC657" s="84"/>
      <c r="BD657" s="84"/>
      <c r="BE657" s="84"/>
      <c r="BF657" s="84"/>
      <c r="BG657" s="84"/>
      <c r="BH657" s="84"/>
      <c r="BI657" s="84"/>
      <c r="BJ657" s="84"/>
      <c r="BK657" s="84"/>
      <c r="BL657" s="84"/>
      <c r="BM657" s="84"/>
      <c r="BN657" s="84"/>
      <c r="BO657" s="84"/>
      <c r="BP657" s="84"/>
      <c r="BQ657" s="84"/>
      <c r="BR657" s="84"/>
    </row>
    <row r="658" spans="1:70" ht="15.75" customHeight="1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  <c r="AL658" s="84"/>
      <c r="AM658" s="84"/>
      <c r="AN658" s="84"/>
      <c r="AO658" s="84"/>
      <c r="AP658" s="84"/>
      <c r="AQ658" s="84"/>
      <c r="AR658" s="84"/>
      <c r="AS658" s="84"/>
      <c r="AT658" s="84"/>
      <c r="AU658" s="84"/>
      <c r="AV658" s="84"/>
      <c r="AW658" s="84"/>
      <c r="AX658" s="84"/>
      <c r="AY658" s="84"/>
      <c r="AZ658" s="84"/>
      <c r="BA658" s="84"/>
      <c r="BB658" s="84"/>
      <c r="BC658" s="84"/>
      <c r="BD658" s="84"/>
      <c r="BE658" s="84"/>
      <c r="BF658" s="84"/>
      <c r="BG658" s="84"/>
      <c r="BH658" s="84"/>
      <c r="BI658" s="84"/>
      <c r="BJ658" s="84"/>
      <c r="BK658" s="84"/>
      <c r="BL658" s="84"/>
      <c r="BM658" s="84"/>
      <c r="BN658" s="84"/>
      <c r="BO658" s="84"/>
      <c r="BP658" s="84"/>
      <c r="BQ658" s="84"/>
      <c r="BR658" s="84"/>
    </row>
    <row r="659" spans="1:70" ht="15.75" customHeight="1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  <c r="AL659" s="84"/>
      <c r="AM659" s="84"/>
      <c r="AN659" s="84"/>
      <c r="AO659" s="84"/>
      <c r="AP659" s="84"/>
      <c r="AQ659" s="84"/>
      <c r="AR659" s="84"/>
      <c r="AS659" s="84"/>
      <c r="AT659" s="84"/>
      <c r="AU659" s="84"/>
      <c r="AV659" s="84"/>
      <c r="AW659" s="84"/>
      <c r="AX659" s="84"/>
      <c r="AY659" s="84"/>
      <c r="AZ659" s="84"/>
      <c r="BA659" s="84"/>
      <c r="BB659" s="84"/>
      <c r="BC659" s="84"/>
      <c r="BD659" s="84"/>
      <c r="BE659" s="84"/>
      <c r="BF659" s="84"/>
      <c r="BG659" s="84"/>
      <c r="BH659" s="84"/>
      <c r="BI659" s="84"/>
      <c r="BJ659" s="84"/>
      <c r="BK659" s="84"/>
      <c r="BL659" s="84"/>
      <c r="BM659" s="84"/>
      <c r="BN659" s="84"/>
      <c r="BO659" s="84"/>
      <c r="BP659" s="84"/>
      <c r="BQ659" s="84"/>
      <c r="BR659" s="84"/>
    </row>
    <row r="660" spans="1:70" ht="15.75" customHeight="1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  <c r="AL660" s="84"/>
      <c r="AM660" s="84"/>
      <c r="AN660" s="84"/>
      <c r="AO660" s="84"/>
      <c r="AP660" s="84"/>
      <c r="AQ660" s="84"/>
      <c r="AR660" s="84"/>
      <c r="AS660" s="84"/>
      <c r="AT660" s="84"/>
      <c r="AU660" s="84"/>
      <c r="AV660" s="84"/>
      <c r="AW660" s="84"/>
      <c r="AX660" s="84"/>
      <c r="AY660" s="84"/>
      <c r="AZ660" s="84"/>
      <c r="BA660" s="84"/>
      <c r="BB660" s="84"/>
      <c r="BC660" s="84"/>
      <c r="BD660" s="84"/>
      <c r="BE660" s="84"/>
      <c r="BF660" s="84"/>
      <c r="BG660" s="84"/>
      <c r="BH660" s="84"/>
      <c r="BI660" s="84"/>
      <c r="BJ660" s="84"/>
      <c r="BK660" s="84"/>
      <c r="BL660" s="84"/>
      <c r="BM660" s="84"/>
      <c r="BN660" s="84"/>
      <c r="BO660" s="84"/>
      <c r="BP660" s="84"/>
      <c r="BQ660" s="84"/>
      <c r="BR660" s="84"/>
    </row>
    <row r="661" spans="1:70" ht="15.75" customHeight="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  <c r="AL661" s="84"/>
      <c r="AM661" s="84"/>
      <c r="AN661" s="84"/>
      <c r="AO661" s="84"/>
      <c r="AP661" s="84"/>
      <c r="AQ661" s="84"/>
      <c r="AR661" s="84"/>
      <c r="AS661" s="84"/>
      <c r="AT661" s="84"/>
      <c r="AU661" s="84"/>
      <c r="AV661" s="84"/>
      <c r="AW661" s="84"/>
      <c r="AX661" s="84"/>
      <c r="AY661" s="84"/>
      <c r="AZ661" s="84"/>
      <c r="BA661" s="84"/>
      <c r="BB661" s="84"/>
      <c r="BC661" s="84"/>
      <c r="BD661" s="84"/>
      <c r="BE661" s="84"/>
      <c r="BF661" s="84"/>
      <c r="BG661" s="84"/>
      <c r="BH661" s="84"/>
      <c r="BI661" s="84"/>
      <c r="BJ661" s="84"/>
      <c r="BK661" s="84"/>
      <c r="BL661" s="84"/>
      <c r="BM661" s="84"/>
      <c r="BN661" s="84"/>
      <c r="BO661" s="84"/>
      <c r="BP661" s="84"/>
      <c r="BQ661" s="84"/>
      <c r="BR661" s="84"/>
    </row>
    <row r="662" spans="1:70" ht="15.75" customHeight="1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  <c r="AL662" s="84"/>
      <c r="AM662" s="84"/>
      <c r="AN662" s="84"/>
      <c r="AO662" s="84"/>
      <c r="AP662" s="84"/>
      <c r="AQ662" s="84"/>
      <c r="AR662" s="84"/>
      <c r="AS662" s="84"/>
      <c r="AT662" s="84"/>
      <c r="AU662" s="84"/>
      <c r="AV662" s="84"/>
      <c r="AW662" s="84"/>
      <c r="AX662" s="84"/>
      <c r="AY662" s="84"/>
      <c r="AZ662" s="84"/>
      <c r="BA662" s="84"/>
      <c r="BB662" s="84"/>
      <c r="BC662" s="84"/>
      <c r="BD662" s="84"/>
      <c r="BE662" s="84"/>
      <c r="BF662" s="84"/>
      <c r="BG662" s="84"/>
      <c r="BH662" s="84"/>
      <c r="BI662" s="84"/>
      <c r="BJ662" s="84"/>
      <c r="BK662" s="84"/>
      <c r="BL662" s="84"/>
      <c r="BM662" s="84"/>
      <c r="BN662" s="84"/>
      <c r="BO662" s="84"/>
      <c r="BP662" s="84"/>
      <c r="BQ662" s="84"/>
      <c r="BR662" s="84"/>
    </row>
    <row r="663" spans="1:70" ht="15.75" customHeight="1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  <c r="AL663" s="84"/>
      <c r="AM663" s="84"/>
      <c r="AN663" s="84"/>
      <c r="AO663" s="84"/>
      <c r="AP663" s="84"/>
      <c r="AQ663" s="84"/>
      <c r="AR663" s="84"/>
      <c r="AS663" s="84"/>
      <c r="AT663" s="84"/>
      <c r="AU663" s="84"/>
      <c r="AV663" s="84"/>
      <c r="AW663" s="84"/>
      <c r="AX663" s="84"/>
      <c r="AY663" s="84"/>
      <c r="AZ663" s="84"/>
      <c r="BA663" s="84"/>
      <c r="BB663" s="84"/>
      <c r="BC663" s="84"/>
      <c r="BD663" s="84"/>
      <c r="BE663" s="84"/>
      <c r="BF663" s="84"/>
      <c r="BG663" s="84"/>
      <c r="BH663" s="84"/>
      <c r="BI663" s="84"/>
      <c r="BJ663" s="84"/>
      <c r="BK663" s="84"/>
      <c r="BL663" s="84"/>
      <c r="BM663" s="84"/>
      <c r="BN663" s="84"/>
      <c r="BO663" s="84"/>
      <c r="BP663" s="84"/>
      <c r="BQ663" s="84"/>
      <c r="BR663" s="84"/>
    </row>
    <row r="664" spans="1:70" ht="15.75" customHeight="1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  <c r="AL664" s="84"/>
      <c r="AM664" s="84"/>
      <c r="AN664" s="84"/>
      <c r="AO664" s="84"/>
      <c r="AP664" s="84"/>
      <c r="AQ664" s="84"/>
      <c r="AR664" s="84"/>
      <c r="AS664" s="84"/>
      <c r="AT664" s="84"/>
      <c r="AU664" s="84"/>
      <c r="AV664" s="84"/>
      <c r="AW664" s="84"/>
      <c r="AX664" s="84"/>
      <c r="AY664" s="84"/>
      <c r="AZ664" s="84"/>
      <c r="BA664" s="84"/>
      <c r="BB664" s="84"/>
      <c r="BC664" s="84"/>
      <c r="BD664" s="84"/>
      <c r="BE664" s="84"/>
      <c r="BF664" s="84"/>
      <c r="BG664" s="84"/>
      <c r="BH664" s="84"/>
      <c r="BI664" s="84"/>
      <c r="BJ664" s="84"/>
      <c r="BK664" s="84"/>
      <c r="BL664" s="84"/>
      <c r="BM664" s="84"/>
      <c r="BN664" s="84"/>
      <c r="BO664" s="84"/>
      <c r="BP664" s="84"/>
      <c r="BQ664" s="84"/>
      <c r="BR664" s="84"/>
    </row>
    <row r="665" spans="1:70" ht="15.75" customHeight="1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  <c r="AL665" s="84"/>
      <c r="AM665" s="84"/>
      <c r="AN665" s="84"/>
      <c r="AO665" s="84"/>
      <c r="AP665" s="84"/>
      <c r="AQ665" s="84"/>
      <c r="AR665" s="84"/>
      <c r="AS665" s="84"/>
      <c r="AT665" s="84"/>
      <c r="AU665" s="84"/>
      <c r="AV665" s="84"/>
      <c r="AW665" s="84"/>
      <c r="AX665" s="84"/>
      <c r="AY665" s="84"/>
      <c r="AZ665" s="84"/>
      <c r="BA665" s="84"/>
      <c r="BB665" s="84"/>
      <c r="BC665" s="84"/>
      <c r="BD665" s="84"/>
      <c r="BE665" s="84"/>
      <c r="BF665" s="84"/>
      <c r="BG665" s="84"/>
      <c r="BH665" s="84"/>
      <c r="BI665" s="84"/>
      <c r="BJ665" s="84"/>
      <c r="BK665" s="84"/>
      <c r="BL665" s="84"/>
      <c r="BM665" s="84"/>
      <c r="BN665" s="84"/>
      <c r="BO665" s="84"/>
      <c r="BP665" s="84"/>
      <c r="BQ665" s="84"/>
      <c r="BR665" s="84"/>
    </row>
    <row r="666" spans="1:70" ht="15.75" customHeight="1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  <c r="AL666" s="84"/>
      <c r="AM666" s="84"/>
      <c r="AN666" s="84"/>
      <c r="AO666" s="84"/>
      <c r="AP666" s="84"/>
      <c r="AQ666" s="84"/>
      <c r="AR666" s="84"/>
      <c r="AS666" s="84"/>
      <c r="AT666" s="84"/>
      <c r="AU666" s="84"/>
      <c r="AV666" s="84"/>
      <c r="AW666" s="84"/>
      <c r="AX666" s="84"/>
      <c r="AY666" s="84"/>
      <c r="AZ666" s="84"/>
      <c r="BA666" s="84"/>
      <c r="BB666" s="84"/>
      <c r="BC666" s="84"/>
      <c r="BD666" s="84"/>
      <c r="BE666" s="84"/>
      <c r="BF666" s="84"/>
      <c r="BG666" s="84"/>
      <c r="BH666" s="84"/>
      <c r="BI666" s="84"/>
      <c r="BJ666" s="84"/>
      <c r="BK666" s="84"/>
      <c r="BL666" s="84"/>
      <c r="BM666" s="84"/>
      <c r="BN666" s="84"/>
      <c r="BO666" s="84"/>
      <c r="BP666" s="84"/>
      <c r="BQ666" s="84"/>
      <c r="BR666" s="84"/>
    </row>
    <row r="667" spans="1:70" ht="15.75" customHeight="1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  <c r="AL667" s="84"/>
      <c r="AM667" s="84"/>
      <c r="AN667" s="84"/>
      <c r="AO667" s="84"/>
      <c r="AP667" s="84"/>
      <c r="AQ667" s="84"/>
      <c r="AR667" s="84"/>
      <c r="AS667" s="84"/>
      <c r="AT667" s="84"/>
      <c r="AU667" s="84"/>
      <c r="AV667" s="84"/>
      <c r="AW667" s="84"/>
      <c r="AX667" s="84"/>
      <c r="AY667" s="84"/>
      <c r="AZ667" s="84"/>
      <c r="BA667" s="84"/>
      <c r="BB667" s="84"/>
      <c r="BC667" s="84"/>
      <c r="BD667" s="84"/>
      <c r="BE667" s="84"/>
      <c r="BF667" s="84"/>
      <c r="BG667" s="84"/>
      <c r="BH667" s="84"/>
      <c r="BI667" s="84"/>
      <c r="BJ667" s="84"/>
      <c r="BK667" s="84"/>
      <c r="BL667" s="84"/>
      <c r="BM667" s="84"/>
      <c r="BN667" s="84"/>
      <c r="BO667" s="84"/>
      <c r="BP667" s="84"/>
      <c r="BQ667" s="84"/>
      <c r="BR667" s="84"/>
    </row>
    <row r="668" spans="1:70" ht="15.75" customHeight="1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  <c r="AL668" s="84"/>
      <c r="AM668" s="84"/>
      <c r="AN668" s="84"/>
      <c r="AO668" s="84"/>
      <c r="AP668" s="84"/>
      <c r="AQ668" s="84"/>
      <c r="AR668" s="84"/>
      <c r="AS668" s="84"/>
      <c r="AT668" s="84"/>
      <c r="AU668" s="84"/>
      <c r="AV668" s="84"/>
      <c r="AW668" s="84"/>
      <c r="AX668" s="84"/>
      <c r="AY668" s="84"/>
      <c r="AZ668" s="84"/>
      <c r="BA668" s="84"/>
      <c r="BB668" s="84"/>
      <c r="BC668" s="84"/>
      <c r="BD668" s="84"/>
      <c r="BE668" s="84"/>
      <c r="BF668" s="84"/>
      <c r="BG668" s="84"/>
      <c r="BH668" s="84"/>
      <c r="BI668" s="84"/>
      <c r="BJ668" s="84"/>
      <c r="BK668" s="84"/>
      <c r="BL668" s="84"/>
      <c r="BM668" s="84"/>
      <c r="BN668" s="84"/>
      <c r="BO668" s="84"/>
      <c r="BP668" s="84"/>
      <c r="BQ668" s="84"/>
      <c r="BR668" s="84"/>
    </row>
    <row r="669" spans="1:70" ht="15.75" customHeight="1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  <c r="AL669" s="84"/>
      <c r="AM669" s="84"/>
      <c r="AN669" s="84"/>
      <c r="AO669" s="84"/>
      <c r="AP669" s="84"/>
      <c r="AQ669" s="84"/>
      <c r="AR669" s="84"/>
      <c r="AS669" s="84"/>
      <c r="AT669" s="84"/>
      <c r="AU669" s="84"/>
      <c r="AV669" s="84"/>
      <c r="AW669" s="84"/>
      <c r="AX669" s="84"/>
      <c r="AY669" s="84"/>
      <c r="AZ669" s="84"/>
      <c r="BA669" s="84"/>
      <c r="BB669" s="84"/>
      <c r="BC669" s="84"/>
      <c r="BD669" s="84"/>
      <c r="BE669" s="84"/>
      <c r="BF669" s="84"/>
      <c r="BG669" s="84"/>
      <c r="BH669" s="84"/>
      <c r="BI669" s="84"/>
      <c r="BJ669" s="84"/>
      <c r="BK669" s="84"/>
      <c r="BL669" s="84"/>
      <c r="BM669" s="84"/>
      <c r="BN669" s="84"/>
      <c r="BO669" s="84"/>
      <c r="BP669" s="84"/>
      <c r="BQ669" s="84"/>
      <c r="BR669" s="84"/>
    </row>
    <row r="670" spans="1:70" ht="15.75" customHeight="1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  <c r="AL670" s="84"/>
      <c r="AM670" s="84"/>
      <c r="AN670" s="84"/>
      <c r="AO670" s="84"/>
      <c r="AP670" s="84"/>
      <c r="AQ670" s="84"/>
      <c r="AR670" s="84"/>
      <c r="AS670" s="84"/>
      <c r="AT670" s="84"/>
      <c r="AU670" s="84"/>
      <c r="AV670" s="84"/>
      <c r="AW670" s="84"/>
      <c r="AX670" s="84"/>
      <c r="AY670" s="84"/>
      <c r="AZ670" s="84"/>
      <c r="BA670" s="84"/>
      <c r="BB670" s="84"/>
      <c r="BC670" s="84"/>
      <c r="BD670" s="84"/>
      <c r="BE670" s="84"/>
      <c r="BF670" s="84"/>
      <c r="BG670" s="84"/>
      <c r="BH670" s="84"/>
      <c r="BI670" s="84"/>
      <c r="BJ670" s="84"/>
      <c r="BK670" s="84"/>
      <c r="BL670" s="84"/>
      <c r="BM670" s="84"/>
      <c r="BN670" s="84"/>
      <c r="BO670" s="84"/>
      <c r="BP670" s="84"/>
      <c r="BQ670" s="84"/>
      <c r="BR670" s="84"/>
    </row>
    <row r="671" spans="1:70" ht="15.75" customHeight="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  <c r="AL671" s="84"/>
      <c r="AM671" s="84"/>
      <c r="AN671" s="84"/>
      <c r="AO671" s="84"/>
      <c r="AP671" s="84"/>
      <c r="AQ671" s="84"/>
      <c r="AR671" s="84"/>
      <c r="AS671" s="84"/>
      <c r="AT671" s="84"/>
      <c r="AU671" s="84"/>
      <c r="AV671" s="84"/>
      <c r="AW671" s="84"/>
      <c r="AX671" s="84"/>
      <c r="AY671" s="84"/>
      <c r="AZ671" s="84"/>
      <c r="BA671" s="84"/>
      <c r="BB671" s="84"/>
      <c r="BC671" s="84"/>
      <c r="BD671" s="84"/>
      <c r="BE671" s="84"/>
      <c r="BF671" s="84"/>
      <c r="BG671" s="84"/>
      <c r="BH671" s="84"/>
      <c r="BI671" s="84"/>
      <c r="BJ671" s="84"/>
      <c r="BK671" s="84"/>
      <c r="BL671" s="84"/>
      <c r="BM671" s="84"/>
      <c r="BN671" s="84"/>
      <c r="BO671" s="84"/>
      <c r="BP671" s="84"/>
      <c r="BQ671" s="84"/>
      <c r="BR671" s="84"/>
    </row>
    <row r="672" spans="1:70" ht="15.75" customHeight="1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  <c r="AL672" s="84"/>
      <c r="AM672" s="84"/>
      <c r="AN672" s="84"/>
      <c r="AO672" s="84"/>
      <c r="AP672" s="84"/>
      <c r="AQ672" s="84"/>
      <c r="AR672" s="84"/>
      <c r="AS672" s="84"/>
      <c r="AT672" s="84"/>
      <c r="AU672" s="84"/>
      <c r="AV672" s="84"/>
      <c r="AW672" s="84"/>
      <c r="AX672" s="84"/>
      <c r="AY672" s="84"/>
      <c r="AZ672" s="84"/>
      <c r="BA672" s="84"/>
      <c r="BB672" s="84"/>
      <c r="BC672" s="84"/>
      <c r="BD672" s="84"/>
      <c r="BE672" s="84"/>
      <c r="BF672" s="84"/>
      <c r="BG672" s="84"/>
      <c r="BH672" s="84"/>
      <c r="BI672" s="84"/>
      <c r="BJ672" s="84"/>
      <c r="BK672" s="84"/>
      <c r="BL672" s="84"/>
      <c r="BM672" s="84"/>
      <c r="BN672" s="84"/>
      <c r="BO672" s="84"/>
      <c r="BP672" s="84"/>
      <c r="BQ672" s="84"/>
      <c r="BR672" s="84"/>
    </row>
    <row r="673" spans="1:70" ht="15.75" customHeight="1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  <c r="AL673" s="84"/>
      <c r="AM673" s="84"/>
      <c r="AN673" s="84"/>
      <c r="AO673" s="84"/>
      <c r="AP673" s="84"/>
      <c r="AQ673" s="84"/>
      <c r="AR673" s="84"/>
      <c r="AS673" s="84"/>
      <c r="AT673" s="84"/>
      <c r="AU673" s="84"/>
      <c r="AV673" s="84"/>
      <c r="AW673" s="84"/>
      <c r="AX673" s="84"/>
      <c r="AY673" s="84"/>
      <c r="AZ673" s="84"/>
      <c r="BA673" s="84"/>
      <c r="BB673" s="84"/>
      <c r="BC673" s="84"/>
      <c r="BD673" s="84"/>
      <c r="BE673" s="84"/>
      <c r="BF673" s="84"/>
      <c r="BG673" s="84"/>
      <c r="BH673" s="84"/>
      <c r="BI673" s="84"/>
      <c r="BJ673" s="84"/>
      <c r="BK673" s="84"/>
      <c r="BL673" s="84"/>
      <c r="BM673" s="84"/>
      <c r="BN673" s="84"/>
      <c r="BO673" s="84"/>
      <c r="BP673" s="84"/>
      <c r="BQ673" s="84"/>
      <c r="BR673" s="84"/>
    </row>
    <row r="674" spans="1:70" ht="15.75" customHeight="1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  <c r="AL674" s="84"/>
      <c r="AM674" s="84"/>
      <c r="AN674" s="84"/>
      <c r="AO674" s="84"/>
      <c r="AP674" s="84"/>
      <c r="AQ674" s="84"/>
      <c r="AR674" s="84"/>
      <c r="AS674" s="84"/>
      <c r="AT674" s="84"/>
      <c r="AU674" s="84"/>
      <c r="AV674" s="84"/>
      <c r="AW674" s="84"/>
      <c r="AX674" s="84"/>
      <c r="AY674" s="84"/>
      <c r="AZ674" s="84"/>
      <c r="BA674" s="84"/>
      <c r="BB674" s="84"/>
      <c r="BC674" s="84"/>
      <c r="BD674" s="84"/>
      <c r="BE674" s="84"/>
      <c r="BF674" s="84"/>
      <c r="BG674" s="84"/>
      <c r="BH674" s="84"/>
      <c r="BI674" s="84"/>
      <c r="BJ674" s="84"/>
      <c r="BK674" s="84"/>
      <c r="BL674" s="84"/>
      <c r="BM674" s="84"/>
      <c r="BN674" s="84"/>
      <c r="BO674" s="84"/>
      <c r="BP674" s="84"/>
      <c r="BQ674" s="84"/>
      <c r="BR674" s="84"/>
    </row>
    <row r="675" spans="1:70" ht="15.75" customHeight="1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  <c r="AL675" s="84"/>
      <c r="AM675" s="84"/>
      <c r="AN675" s="84"/>
      <c r="AO675" s="84"/>
      <c r="AP675" s="84"/>
      <c r="AQ675" s="84"/>
      <c r="AR675" s="84"/>
      <c r="AS675" s="84"/>
      <c r="AT675" s="84"/>
      <c r="AU675" s="84"/>
      <c r="AV675" s="84"/>
      <c r="AW675" s="84"/>
      <c r="AX675" s="84"/>
      <c r="AY675" s="84"/>
      <c r="AZ675" s="84"/>
      <c r="BA675" s="84"/>
      <c r="BB675" s="84"/>
      <c r="BC675" s="84"/>
      <c r="BD675" s="84"/>
      <c r="BE675" s="84"/>
      <c r="BF675" s="84"/>
      <c r="BG675" s="84"/>
      <c r="BH675" s="84"/>
      <c r="BI675" s="84"/>
      <c r="BJ675" s="84"/>
      <c r="BK675" s="84"/>
      <c r="BL675" s="84"/>
      <c r="BM675" s="84"/>
      <c r="BN675" s="84"/>
      <c r="BO675" s="84"/>
      <c r="BP675" s="84"/>
      <c r="BQ675" s="84"/>
      <c r="BR675" s="84"/>
    </row>
    <row r="676" spans="1:70" ht="15.75" customHeight="1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  <c r="AL676" s="84"/>
      <c r="AM676" s="84"/>
      <c r="AN676" s="84"/>
      <c r="AO676" s="84"/>
      <c r="AP676" s="84"/>
      <c r="AQ676" s="84"/>
      <c r="AR676" s="84"/>
      <c r="AS676" s="84"/>
      <c r="AT676" s="84"/>
      <c r="AU676" s="84"/>
      <c r="AV676" s="84"/>
      <c r="AW676" s="84"/>
      <c r="AX676" s="84"/>
      <c r="AY676" s="84"/>
      <c r="AZ676" s="84"/>
      <c r="BA676" s="84"/>
      <c r="BB676" s="84"/>
      <c r="BC676" s="84"/>
      <c r="BD676" s="84"/>
      <c r="BE676" s="84"/>
      <c r="BF676" s="84"/>
      <c r="BG676" s="84"/>
      <c r="BH676" s="84"/>
      <c r="BI676" s="84"/>
      <c r="BJ676" s="84"/>
      <c r="BK676" s="84"/>
      <c r="BL676" s="84"/>
      <c r="BM676" s="84"/>
      <c r="BN676" s="84"/>
      <c r="BO676" s="84"/>
      <c r="BP676" s="84"/>
      <c r="BQ676" s="84"/>
      <c r="BR676" s="84"/>
    </row>
    <row r="677" spans="1:70" ht="15.75" customHeight="1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  <c r="AL677" s="84"/>
      <c r="AM677" s="84"/>
      <c r="AN677" s="84"/>
      <c r="AO677" s="84"/>
      <c r="AP677" s="84"/>
      <c r="AQ677" s="84"/>
      <c r="AR677" s="84"/>
      <c r="AS677" s="84"/>
      <c r="AT677" s="84"/>
      <c r="AU677" s="84"/>
      <c r="AV677" s="84"/>
      <c r="AW677" s="84"/>
      <c r="AX677" s="84"/>
      <c r="AY677" s="84"/>
      <c r="AZ677" s="84"/>
      <c r="BA677" s="84"/>
      <c r="BB677" s="84"/>
      <c r="BC677" s="84"/>
      <c r="BD677" s="84"/>
      <c r="BE677" s="84"/>
      <c r="BF677" s="84"/>
      <c r="BG677" s="84"/>
      <c r="BH677" s="84"/>
      <c r="BI677" s="84"/>
      <c r="BJ677" s="84"/>
      <c r="BK677" s="84"/>
      <c r="BL677" s="84"/>
      <c r="BM677" s="84"/>
      <c r="BN677" s="84"/>
      <c r="BO677" s="84"/>
      <c r="BP677" s="84"/>
      <c r="BQ677" s="84"/>
      <c r="BR677" s="84"/>
    </row>
    <row r="678" spans="1:70" ht="15.75" customHeight="1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  <c r="AL678" s="84"/>
      <c r="AM678" s="84"/>
      <c r="AN678" s="84"/>
      <c r="AO678" s="84"/>
      <c r="AP678" s="84"/>
      <c r="AQ678" s="84"/>
      <c r="AR678" s="84"/>
      <c r="AS678" s="84"/>
      <c r="AT678" s="84"/>
      <c r="AU678" s="84"/>
      <c r="AV678" s="84"/>
      <c r="AW678" s="84"/>
      <c r="AX678" s="84"/>
      <c r="AY678" s="84"/>
      <c r="AZ678" s="84"/>
      <c r="BA678" s="84"/>
      <c r="BB678" s="84"/>
      <c r="BC678" s="84"/>
      <c r="BD678" s="84"/>
      <c r="BE678" s="84"/>
      <c r="BF678" s="84"/>
      <c r="BG678" s="84"/>
      <c r="BH678" s="84"/>
      <c r="BI678" s="84"/>
      <c r="BJ678" s="84"/>
      <c r="BK678" s="84"/>
      <c r="BL678" s="84"/>
      <c r="BM678" s="84"/>
      <c r="BN678" s="84"/>
      <c r="BO678" s="84"/>
      <c r="BP678" s="84"/>
      <c r="BQ678" s="84"/>
      <c r="BR678" s="84"/>
    </row>
    <row r="679" spans="1:70" ht="15.75" customHeight="1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  <c r="AL679" s="84"/>
      <c r="AM679" s="84"/>
      <c r="AN679" s="84"/>
      <c r="AO679" s="84"/>
      <c r="AP679" s="84"/>
      <c r="AQ679" s="84"/>
      <c r="AR679" s="84"/>
      <c r="AS679" s="84"/>
      <c r="AT679" s="84"/>
      <c r="AU679" s="84"/>
      <c r="AV679" s="84"/>
      <c r="AW679" s="84"/>
      <c r="AX679" s="84"/>
      <c r="AY679" s="84"/>
      <c r="AZ679" s="84"/>
      <c r="BA679" s="84"/>
      <c r="BB679" s="84"/>
      <c r="BC679" s="84"/>
      <c r="BD679" s="84"/>
      <c r="BE679" s="84"/>
      <c r="BF679" s="84"/>
      <c r="BG679" s="84"/>
      <c r="BH679" s="84"/>
      <c r="BI679" s="84"/>
      <c r="BJ679" s="84"/>
      <c r="BK679" s="84"/>
      <c r="BL679" s="84"/>
      <c r="BM679" s="84"/>
      <c r="BN679" s="84"/>
      <c r="BO679" s="84"/>
      <c r="BP679" s="84"/>
      <c r="BQ679" s="84"/>
      <c r="BR679" s="84"/>
    </row>
    <row r="680" spans="1:70" ht="15.75" customHeight="1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  <c r="AL680" s="84"/>
      <c r="AM680" s="84"/>
      <c r="AN680" s="84"/>
      <c r="AO680" s="84"/>
      <c r="AP680" s="84"/>
      <c r="AQ680" s="84"/>
      <c r="AR680" s="84"/>
      <c r="AS680" s="84"/>
      <c r="AT680" s="84"/>
      <c r="AU680" s="84"/>
      <c r="AV680" s="84"/>
      <c r="AW680" s="84"/>
      <c r="AX680" s="84"/>
      <c r="AY680" s="84"/>
      <c r="AZ680" s="84"/>
      <c r="BA680" s="84"/>
      <c r="BB680" s="84"/>
      <c r="BC680" s="84"/>
      <c r="BD680" s="84"/>
      <c r="BE680" s="84"/>
      <c r="BF680" s="84"/>
      <c r="BG680" s="84"/>
      <c r="BH680" s="84"/>
      <c r="BI680" s="84"/>
      <c r="BJ680" s="84"/>
      <c r="BK680" s="84"/>
      <c r="BL680" s="84"/>
      <c r="BM680" s="84"/>
      <c r="BN680" s="84"/>
      <c r="BO680" s="84"/>
      <c r="BP680" s="84"/>
      <c r="BQ680" s="84"/>
      <c r="BR680" s="84"/>
    </row>
    <row r="681" spans="1:70" ht="15.75" customHeight="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  <c r="AL681" s="84"/>
      <c r="AM681" s="84"/>
      <c r="AN681" s="84"/>
      <c r="AO681" s="84"/>
      <c r="AP681" s="84"/>
      <c r="AQ681" s="84"/>
      <c r="AR681" s="84"/>
      <c r="AS681" s="84"/>
      <c r="AT681" s="84"/>
      <c r="AU681" s="84"/>
      <c r="AV681" s="84"/>
      <c r="AW681" s="84"/>
      <c r="AX681" s="84"/>
      <c r="AY681" s="84"/>
      <c r="AZ681" s="84"/>
      <c r="BA681" s="84"/>
      <c r="BB681" s="84"/>
      <c r="BC681" s="84"/>
      <c r="BD681" s="84"/>
      <c r="BE681" s="84"/>
      <c r="BF681" s="84"/>
      <c r="BG681" s="84"/>
      <c r="BH681" s="84"/>
      <c r="BI681" s="84"/>
      <c r="BJ681" s="84"/>
      <c r="BK681" s="84"/>
      <c r="BL681" s="84"/>
      <c r="BM681" s="84"/>
      <c r="BN681" s="84"/>
      <c r="BO681" s="84"/>
      <c r="BP681" s="84"/>
      <c r="BQ681" s="84"/>
      <c r="BR681" s="84"/>
    </row>
    <row r="682" spans="1:70" ht="15.75" customHeight="1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  <c r="AL682" s="84"/>
      <c r="AM682" s="84"/>
      <c r="AN682" s="84"/>
      <c r="AO682" s="84"/>
      <c r="AP682" s="84"/>
      <c r="AQ682" s="84"/>
      <c r="AR682" s="84"/>
      <c r="AS682" s="84"/>
      <c r="AT682" s="84"/>
      <c r="AU682" s="84"/>
      <c r="AV682" s="84"/>
      <c r="AW682" s="84"/>
      <c r="AX682" s="84"/>
      <c r="AY682" s="84"/>
      <c r="AZ682" s="84"/>
      <c r="BA682" s="84"/>
      <c r="BB682" s="84"/>
      <c r="BC682" s="84"/>
      <c r="BD682" s="84"/>
      <c r="BE682" s="84"/>
      <c r="BF682" s="84"/>
      <c r="BG682" s="84"/>
      <c r="BH682" s="84"/>
      <c r="BI682" s="84"/>
      <c r="BJ682" s="84"/>
      <c r="BK682" s="84"/>
      <c r="BL682" s="84"/>
      <c r="BM682" s="84"/>
      <c r="BN682" s="84"/>
      <c r="BO682" s="84"/>
      <c r="BP682" s="84"/>
      <c r="BQ682" s="84"/>
      <c r="BR682" s="84"/>
    </row>
    <row r="683" spans="1:70" ht="15.75" customHeight="1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  <c r="AL683" s="84"/>
      <c r="AM683" s="84"/>
      <c r="AN683" s="84"/>
      <c r="AO683" s="84"/>
      <c r="AP683" s="84"/>
      <c r="AQ683" s="84"/>
      <c r="AR683" s="84"/>
      <c r="AS683" s="84"/>
      <c r="AT683" s="84"/>
      <c r="AU683" s="84"/>
      <c r="AV683" s="84"/>
      <c r="AW683" s="84"/>
      <c r="AX683" s="84"/>
      <c r="AY683" s="84"/>
      <c r="AZ683" s="84"/>
      <c r="BA683" s="84"/>
      <c r="BB683" s="84"/>
      <c r="BC683" s="84"/>
      <c r="BD683" s="84"/>
      <c r="BE683" s="84"/>
      <c r="BF683" s="84"/>
      <c r="BG683" s="84"/>
      <c r="BH683" s="84"/>
      <c r="BI683" s="84"/>
      <c r="BJ683" s="84"/>
      <c r="BK683" s="84"/>
      <c r="BL683" s="84"/>
      <c r="BM683" s="84"/>
      <c r="BN683" s="84"/>
      <c r="BO683" s="84"/>
      <c r="BP683" s="84"/>
      <c r="BQ683" s="84"/>
      <c r="BR683" s="84"/>
    </row>
    <row r="684" spans="1:70" ht="15.75" customHeight="1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  <c r="AL684" s="84"/>
      <c r="AM684" s="84"/>
      <c r="AN684" s="84"/>
      <c r="AO684" s="84"/>
      <c r="AP684" s="84"/>
      <c r="AQ684" s="84"/>
      <c r="AR684" s="84"/>
      <c r="AS684" s="84"/>
      <c r="AT684" s="84"/>
      <c r="AU684" s="84"/>
      <c r="AV684" s="84"/>
      <c r="AW684" s="84"/>
      <c r="AX684" s="84"/>
      <c r="AY684" s="84"/>
      <c r="AZ684" s="84"/>
      <c r="BA684" s="84"/>
      <c r="BB684" s="84"/>
      <c r="BC684" s="84"/>
      <c r="BD684" s="84"/>
      <c r="BE684" s="84"/>
      <c r="BF684" s="84"/>
      <c r="BG684" s="84"/>
      <c r="BH684" s="84"/>
      <c r="BI684" s="84"/>
      <c r="BJ684" s="84"/>
      <c r="BK684" s="84"/>
      <c r="BL684" s="84"/>
      <c r="BM684" s="84"/>
      <c r="BN684" s="84"/>
      <c r="BO684" s="84"/>
      <c r="BP684" s="84"/>
      <c r="BQ684" s="84"/>
      <c r="BR684" s="84"/>
    </row>
    <row r="685" spans="1:70" ht="15.75" customHeight="1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  <c r="AL685" s="84"/>
      <c r="AM685" s="84"/>
      <c r="AN685" s="84"/>
      <c r="AO685" s="84"/>
      <c r="AP685" s="84"/>
      <c r="AQ685" s="84"/>
      <c r="AR685" s="84"/>
      <c r="AS685" s="84"/>
      <c r="AT685" s="84"/>
      <c r="AU685" s="84"/>
      <c r="AV685" s="84"/>
      <c r="AW685" s="84"/>
      <c r="AX685" s="84"/>
      <c r="AY685" s="84"/>
      <c r="AZ685" s="84"/>
      <c r="BA685" s="84"/>
      <c r="BB685" s="84"/>
      <c r="BC685" s="84"/>
      <c r="BD685" s="84"/>
      <c r="BE685" s="84"/>
      <c r="BF685" s="84"/>
      <c r="BG685" s="84"/>
      <c r="BH685" s="84"/>
      <c r="BI685" s="84"/>
      <c r="BJ685" s="84"/>
      <c r="BK685" s="84"/>
      <c r="BL685" s="84"/>
      <c r="BM685" s="84"/>
      <c r="BN685" s="84"/>
      <c r="BO685" s="84"/>
      <c r="BP685" s="84"/>
      <c r="BQ685" s="84"/>
      <c r="BR685" s="84"/>
    </row>
    <row r="686" spans="1:70" ht="15.75" customHeight="1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  <c r="AL686" s="84"/>
      <c r="AM686" s="84"/>
      <c r="AN686" s="84"/>
      <c r="AO686" s="84"/>
      <c r="AP686" s="84"/>
      <c r="AQ686" s="84"/>
      <c r="AR686" s="84"/>
      <c r="AS686" s="84"/>
      <c r="AT686" s="84"/>
      <c r="AU686" s="84"/>
      <c r="AV686" s="84"/>
      <c r="AW686" s="84"/>
      <c r="AX686" s="84"/>
      <c r="AY686" s="84"/>
      <c r="AZ686" s="84"/>
      <c r="BA686" s="84"/>
      <c r="BB686" s="84"/>
      <c r="BC686" s="84"/>
      <c r="BD686" s="84"/>
      <c r="BE686" s="84"/>
      <c r="BF686" s="84"/>
      <c r="BG686" s="84"/>
      <c r="BH686" s="84"/>
      <c r="BI686" s="84"/>
      <c r="BJ686" s="84"/>
      <c r="BK686" s="84"/>
      <c r="BL686" s="84"/>
      <c r="BM686" s="84"/>
      <c r="BN686" s="84"/>
      <c r="BO686" s="84"/>
      <c r="BP686" s="84"/>
      <c r="BQ686" s="84"/>
      <c r="BR686" s="84"/>
    </row>
    <row r="687" spans="1:70" ht="15.75" customHeight="1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  <c r="AL687" s="84"/>
      <c r="AM687" s="84"/>
      <c r="AN687" s="84"/>
      <c r="AO687" s="84"/>
      <c r="AP687" s="84"/>
      <c r="AQ687" s="84"/>
      <c r="AR687" s="84"/>
      <c r="AS687" s="84"/>
      <c r="AT687" s="84"/>
      <c r="AU687" s="84"/>
      <c r="AV687" s="84"/>
      <c r="AW687" s="84"/>
      <c r="AX687" s="84"/>
      <c r="AY687" s="84"/>
      <c r="AZ687" s="84"/>
      <c r="BA687" s="84"/>
      <c r="BB687" s="84"/>
      <c r="BC687" s="84"/>
      <c r="BD687" s="84"/>
      <c r="BE687" s="84"/>
      <c r="BF687" s="84"/>
      <c r="BG687" s="84"/>
      <c r="BH687" s="84"/>
      <c r="BI687" s="84"/>
      <c r="BJ687" s="84"/>
      <c r="BK687" s="84"/>
      <c r="BL687" s="84"/>
      <c r="BM687" s="84"/>
      <c r="BN687" s="84"/>
      <c r="BO687" s="84"/>
      <c r="BP687" s="84"/>
      <c r="BQ687" s="84"/>
      <c r="BR687" s="84"/>
    </row>
    <row r="688" spans="1:70" ht="15.75" customHeight="1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  <c r="AL688" s="84"/>
      <c r="AM688" s="84"/>
      <c r="AN688" s="84"/>
      <c r="AO688" s="84"/>
      <c r="AP688" s="84"/>
      <c r="AQ688" s="84"/>
      <c r="AR688" s="84"/>
      <c r="AS688" s="84"/>
      <c r="AT688" s="84"/>
      <c r="AU688" s="84"/>
      <c r="AV688" s="84"/>
      <c r="AW688" s="84"/>
      <c r="AX688" s="84"/>
      <c r="AY688" s="84"/>
      <c r="AZ688" s="84"/>
      <c r="BA688" s="84"/>
      <c r="BB688" s="84"/>
      <c r="BC688" s="84"/>
      <c r="BD688" s="84"/>
      <c r="BE688" s="84"/>
      <c r="BF688" s="84"/>
      <c r="BG688" s="84"/>
      <c r="BH688" s="84"/>
      <c r="BI688" s="84"/>
      <c r="BJ688" s="84"/>
      <c r="BK688" s="84"/>
      <c r="BL688" s="84"/>
      <c r="BM688" s="84"/>
      <c r="BN688" s="84"/>
      <c r="BO688" s="84"/>
      <c r="BP688" s="84"/>
      <c r="BQ688" s="84"/>
      <c r="BR688" s="84"/>
    </row>
    <row r="689" spans="1:70" ht="15.75" customHeight="1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  <c r="AL689" s="84"/>
      <c r="AM689" s="84"/>
      <c r="AN689" s="84"/>
      <c r="AO689" s="84"/>
      <c r="AP689" s="84"/>
      <c r="AQ689" s="84"/>
      <c r="AR689" s="84"/>
      <c r="AS689" s="84"/>
      <c r="AT689" s="84"/>
      <c r="AU689" s="84"/>
      <c r="AV689" s="84"/>
      <c r="AW689" s="84"/>
      <c r="AX689" s="84"/>
      <c r="AY689" s="84"/>
      <c r="AZ689" s="84"/>
      <c r="BA689" s="84"/>
      <c r="BB689" s="84"/>
      <c r="BC689" s="84"/>
      <c r="BD689" s="84"/>
      <c r="BE689" s="84"/>
      <c r="BF689" s="84"/>
      <c r="BG689" s="84"/>
      <c r="BH689" s="84"/>
      <c r="BI689" s="84"/>
      <c r="BJ689" s="84"/>
      <c r="BK689" s="84"/>
      <c r="BL689" s="84"/>
      <c r="BM689" s="84"/>
      <c r="BN689" s="84"/>
      <c r="BO689" s="84"/>
      <c r="BP689" s="84"/>
      <c r="BQ689" s="84"/>
      <c r="BR689" s="84"/>
    </row>
    <row r="690" spans="1:70" ht="15.75" customHeight="1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  <c r="AL690" s="84"/>
      <c r="AM690" s="84"/>
      <c r="AN690" s="84"/>
      <c r="AO690" s="84"/>
      <c r="AP690" s="84"/>
      <c r="AQ690" s="84"/>
      <c r="AR690" s="84"/>
      <c r="AS690" s="84"/>
      <c r="AT690" s="84"/>
      <c r="AU690" s="84"/>
      <c r="AV690" s="84"/>
      <c r="AW690" s="84"/>
      <c r="AX690" s="84"/>
      <c r="AY690" s="84"/>
      <c r="AZ690" s="84"/>
      <c r="BA690" s="84"/>
      <c r="BB690" s="84"/>
      <c r="BC690" s="84"/>
      <c r="BD690" s="84"/>
      <c r="BE690" s="84"/>
      <c r="BF690" s="84"/>
      <c r="BG690" s="84"/>
      <c r="BH690" s="84"/>
      <c r="BI690" s="84"/>
      <c r="BJ690" s="84"/>
      <c r="BK690" s="84"/>
      <c r="BL690" s="84"/>
      <c r="BM690" s="84"/>
      <c r="BN690" s="84"/>
      <c r="BO690" s="84"/>
      <c r="BP690" s="84"/>
      <c r="BQ690" s="84"/>
      <c r="BR690" s="84"/>
    </row>
    <row r="691" spans="1:70" ht="15.75" customHeight="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  <c r="AL691" s="84"/>
      <c r="AM691" s="84"/>
      <c r="AN691" s="84"/>
      <c r="AO691" s="84"/>
      <c r="AP691" s="84"/>
      <c r="AQ691" s="84"/>
      <c r="AR691" s="84"/>
      <c r="AS691" s="84"/>
      <c r="AT691" s="84"/>
      <c r="AU691" s="84"/>
      <c r="AV691" s="84"/>
      <c r="AW691" s="84"/>
      <c r="AX691" s="84"/>
      <c r="AY691" s="84"/>
      <c r="AZ691" s="84"/>
      <c r="BA691" s="84"/>
      <c r="BB691" s="84"/>
      <c r="BC691" s="84"/>
      <c r="BD691" s="84"/>
      <c r="BE691" s="84"/>
      <c r="BF691" s="84"/>
      <c r="BG691" s="84"/>
      <c r="BH691" s="84"/>
      <c r="BI691" s="84"/>
      <c r="BJ691" s="84"/>
      <c r="BK691" s="84"/>
      <c r="BL691" s="84"/>
      <c r="BM691" s="84"/>
      <c r="BN691" s="84"/>
      <c r="BO691" s="84"/>
      <c r="BP691" s="84"/>
      <c r="BQ691" s="84"/>
      <c r="BR691" s="84"/>
    </row>
    <row r="692" spans="1:70" ht="15.75" customHeight="1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  <c r="AL692" s="84"/>
      <c r="AM692" s="84"/>
      <c r="AN692" s="84"/>
      <c r="AO692" s="84"/>
      <c r="AP692" s="84"/>
      <c r="AQ692" s="84"/>
      <c r="AR692" s="84"/>
      <c r="AS692" s="84"/>
      <c r="AT692" s="84"/>
      <c r="AU692" s="84"/>
      <c r="AV692" s="84"/>
      <c r="AW692" s="84"/>
      <c r="AX692" s="84"/>
      <c r="AY692" s="84"/>
      <c r="AZ692" s="84"/>
      <c r="BA692" s="84"/>
      <c r="BB692" s="84"/>
      <c r="BC692" s="84"/>
      <c r="BD692" s="84"/>
      <c r="BE692" s="84"/>
      <c r="BF692" s="84"/>
      <c r="BG692" s="84"/>
      <c r="BH692" s="84"/>
      <c r="BI692" s="84"/>
      <c r="BJ692" s="84"/>
      <c r="BK692" s="84"/>
      <c r="BL692" s="84"/>
      <c r="BM692" s="84"/>
      <c r="BN692" s="84"/>
      <c r="BO692" s="84"/>
      <c r="BP692" s="84"/>
      <c r="BQ692" s="84"/>
      <c r="BR692" s="84"/>
    </row>
    <row r="693" spans="1:70" ht="15.75" customHeight="1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  <c r="AL693" s="84"/>
      <c r="AM693" s="84"/>
      <c r="AN693" s="84"/>
      <c r="AO693" s="84"/>
      <c r="AP693" s="84"/>
      <c r="AQ693" s="84"/>
      <c r="AR693" s="84"/>
      <c r="AS693" s="84"/>
      <c r="AT693" s="84"/>
      <c r="AU693" s="84"/>
      <c r="AV693" s="84"/>
      <c r="AW693" s="84"/>
      <c r="AX693" s="84"/>
      <c r="AY693" s="84"/>
      <c r="AZ693" s="84"/>
      <c r="BA693" s="84"/>
      <c r="BB693" s="84"/>
      <c r="BC693" s="84"/>
      <c r="BD693" s="84"/>
      <c r="BE693" s="84"/>
      <c r="BF693" s="84"/>
      <c r="BG693" s="84"/>
      <c r="BH693" s="84"/>
      <c r="BI693" s="84"/>
      <c r="BJ693" s="84"/>
      <c r="BK693" s="84"/>
      <c r="BL693" s="84"/>
      <c r="BM693" s="84"/>
      <c r="BN693" s="84"/>
      <c r="BO693" s="84"/>
      <c r="BP693" s="84"/>
      <c r="BQ693" s="84"/>
      <c r="BR693" s="84"/>
    </row>
    <row r="694" spans="1:70" ht="15.75" customHeight="1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  <c r="AL694" s="84"/>
      <c r="AM694" s="84"/>
      <c r="AN694" s="84"/>
      <c r="AO694" s="84"/>
      <c r="AP694" s="84"/>
      <c r="AQ694" s="84"/>
      <c r="AR694" s="84"/>
      <c r="AS694" s="84"/>
      <c r="AT694" s="84"/>
      <c r="AU694" s="84"/>
      <c r="AV694" s="84"/>
      <c r="AW694" s="84"/>
      <c r="AX694" s="84"/>
      <c r="AY694" s="84"/>
      <c r="AZ694" s="84"/>
      <c r="BA694" s="84"/>
      <c r="BB694" s="84"/>
      <c r="BC694" s="84"/>
      <c r="BD694" s="84"/>
      <c r="BE694" s="84"/>
      <c r="BF694" s="84"/>
      <c r="BG694" s="84"/>
      <c r="BH694" s="84"/>
      <c r="BI694" s="84"/>
      <c r="BJ694" s="84"/>
      <c r="BK694" s="84"/>
      <c r="BL694" s="84"/>
      <c r="BM694" s="84"/>
      <c r="BN694" s="84"/>
      <c r="BO694" s="84"/>
      <c r="BP694" s="84"/>
      <c r="BQ694" s="84"/>
      <c r="BR694" s="84"/>
    </row>
    <row r="695" spans="1:70" ht="15.75" customHeight="1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  <c r="AL695" s="84"/>
      <c r="AM695" s="84"/>
      <c r="AN695" s="84"/>
      <c r="AO695" s="84"/>
      <c r="AP695" s="84"/>
      <c r="AQ695" s="84"/>
      <c r="AR695" s="84"/>
      <c r="AS695" s="84"/>
      <c r="AT695" s="84"/>
      <c r="AU695" s="84"/>
      <c r="AV695" s="84"/>
      <c r="AW695" s="84"/>
      <c r="AX695" s="84"/>
      <c r="AY695" s="84"/>
      <c r="AZ695" s="84"/>
      <c r="BA695" s="84"/>
      <c r="BB695" s="84"/>
      <c r="BC695" s="84"/>
      <c r="BD695" s="84"/>
      <c r="BE695" s="84"/>
      <c r="BF695" s="84"/>
      <c r="BG695" s="84"/>
      <c r="BH695" s="84"/>
      <c r="BI695" s="84"/>
      <c r="BJ695" s="84"/>
      <c r="BK695" s="84"/>
      <c r="BL695" s="84"/>
      <c r="BM695" s="84"/>
      <c r="BN695" s="84"/>
      <c r="BO695" s="84"/>
      <c r="BP695" s="84"/>
      <c r="BQ695" s="84"/>
      <c r="BR695" s="84"/>
    </row>
    <row r="696" spans="1:70" ht="15.75" customHeight="1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  <c r="AL696" s="84"/>
      <c r="AM696" s="84"/>
      <c r="AN696" s="84"/>
      <c r="AO696" s="84"/>
      <c r="AP696" s="84"/>
      <c r="AQ696" s="84"/>
      <c r="AR696" s="84"/>
      <c r="AS696" s="84"/>
      <c r="AT696" s="84"/>
      <c r="AU696" s="84"/>
      <c r="AV696" s="84"/>
      <c r="AW696" s="84"/>
      <c r="AX696" s="84"/>
      <c r="AY696" s="84"/>
      <c r="AZ696" s="84"/>
      <c r="BA696" s="84"/>
      <c r="BB696" s="84"/>
      <c r="BC696" s="84"/>
      <c r="BD696" s="84"/>
      <c r="BE696" s="84"/>
      <c r="BF696" s="84"/>
      <c r="BG696" s="84"/>
      <c r="BH696" s="84"/>
      <c r="BI696" s="84"/>
      <c r="BJ696" s="84"/>
      <c r="BK696" s="84"/>
      <c r="BL696" s="84"/>
      <c r="BM696" s="84"/>
      <c r="BN696" s="84"/>
      <c r="BO696" s="84"/>
      <c r="BP696" s="84"/>
      <c r="BQ696" s="84"/>
      <c r="BR696" s="84"/>
    </row>
    <row r="697" spans="1:70" ht="15.75" customHeight="1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  <c r="AL697" s="84"/>
      <c r="AM697" s="84"/>
      <c r="AN697" s="84"/>
      <c r="AO697" s="84"/>
      <c r="AP697" s="84"/>
      <c r="AQ697" s="84"/>
      <c r="AR697" s="84"/>
      <c r="AS697" s="84"/>
      <c r="AT697" s="84"/>
      <c r="AU697" s="84"/>
      <c r="AV697" s="84"/>
      <c r="AW697" s="84"/>
      <c r="AX697" s="84"/>
      <c r="AY697" s="84"/>
      <c r="AZ697" s="84"/>
      <c r="BA697" s="84"/>
      <c r="BB697" s="84"/>
      <c r="BC697" s="84"/>
      <c r="BD697" s="84"/>
      <c r="BE697" s="84"/>
      <c r="BF697" s="84"/>
      <c r="BG697" s="84"/>
      <c r="BH697" s="84"/>
      <c r="BI697" s="84"/>
      <c r="BJ697" s="84"/>
      <c r="BK697" s="84"/>
      <c r="BL697" s="84"/>
      <c r="BM697" s="84"/>
      <c r="BN697" s="84"/>
      <c r="BO697" s="84"/>
      <c r="BP697" s="84"/>
      <c r="BQ697" s="84"/>
      <c r="BR697" s="84"/>
    </row>
    <row r="698" spans="1:70" ht="15.75" customHeight="1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  <c r="AL698" s="84"/>
      <c r="AM698" s="84"/>
      <c r="AN698" s="84"/>
      <c r="AO698" s="84"/>
      <c r="AP698" s="84"/>
      <c r="AQ698" s="84"/>
      <c r="AR698" s="84"/>
      <c r="AS698" s="84"/>
      <c r="AT698" s="84"/>
      <c r="AU698" s="84"/>
      <c r="AV698" s="84"/>
      <c r="AW698" s="84"/>
      <c r="AX698" s="84"/>
      <c r="AY698" s="84"/>
      <c r="AZ698" s="84"/>
      <c r="BA698" s="84"/>
      <c r="BB698" s="84"/>
      <c r="BC698" s="84"/>
      <c r="BD698" s="84"/>
      <c r="BE698" s="84"/>
      <c r="BF698" s="84"/>
      <c r="BG698" s="84"/>
      <c r="BH698" s="84"/>
      <c r="BI698" s="84"/>
      <c r="BJ698" s="84"/>
      <c r="BK698" s="84"/>
      <c r="BL698" s="84"/>
      <c r="BM698" s="84"/>
      <c r="BN698" s="84"/>
      <c r="BO698" s="84"/>
      <c r="BP698" s="84"/>
      <c r="BQ698" s="84"/>
      <c r="BR698" s="84"/>
    </row>
    <row r="699" spans="1:70" ht="15.75" customHeight="1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  <c r="AL699" s="84"/>
      <c r="AM699" s="84"/>
      <c r="AN699" s="84"/>
      <c r="AO699" s="84"/>
      <c r="AP699" s="84"/>
      <c r="AQ699" s="84"/>
      <c r="AR699" s="84"/>
      <c r="AS699" s="84"/>
      <c r="AT699" s="84"/>
      <c r="AU699" s="84"/>
      <c r="AV699" s="84"/>
      <c r="AW699" s="84"/>
      <c r="AX699" s="84"/>
      <c r="AY699" s="84"/>
      <c r="AZ699" s="84"/>
      <c r="BA699" s="84"/>
      <c r="BB699" s="84"/>
      <c r="BC699" s="84"/>
      <c r="BD699" s="84"/>
      <c r="BE699" s="84"/>
      <c r="BF699" s="84"/>
      <c r="BG699" s="84"/>
      <c r="BH699" s="84"/>
      <c r="BI699" s="84"/>
      <c r="BJ699" s="84"/>
      <c r="BK699" s="84"/>
      <c r="BL699" s="84"/>
      <c r="BM699" s="84"/>
      <c r="BN699" s="84"/>
      <c r="BO699" s="84"/>
      <c r="BP699" s="84"/>
      <c r="BQ699" s="84"/>
      <c r="BR699" s="84"/>
    </row>
    <row r="700" spans="1:70" ht="15.75" customHeight="1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  <c r="AL700" s="84"/>
      <c r="AM700" s="84"/>
      <c r="AN700" s="84"/>
      <c r="AO700" s="84"/>
      <c r="AP700" s="84"/>
      <c r="AQ700" s="84"/>
      <c r="AR700" s="84"/>
      <c r="AS700" s="84"/>
      <c r="AT700" s="84"/>
      <c r="AU700" s="84"/>
      <c r="AV700" s="84"/>
      <c r="AW700" s="84"/>
      <c r="AX700" s="84"/>
      <c r="AY700" s="84"/>
      <c r="AZ700" s="84"/>
      <c r="BA700" s="84"/>
      <c r="BB700" s="84"/>
      <c r="BC700" s="84"/>
      <c r="BD700" s="84"/>
      <c r="BE700" s="84"/>
      <c r="BF700" s="84"/>
      <c r="BG700" s="84"/>
      <c r="BH700" s="84"/>
      <c r="BI700" s="84"/>
      <c r="BJ700" s="84"/>
      <c r="BK700" s="84"/>
      <c r="BL700" s="84"/>
      <c r="BM700" s="84"/>
      <c r="BN700" s="84"/>
      <c r="BO700" s="84"/>
      <c r="BP700" s="84"/>
      <c r="BQ700" s="84"/>
      <c r="BR700" s="84"/>
    </row>
    <row r="701" spans="1:70" ht="15.75" customHeight="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  <c r="AL701" s="84"/>
      <c r="AM701" s="84"/>
      <c r="AN701" s="84"/>
      <c r="AO701" s="84"/>
      <c r="AP701" s="84"/>
      <c r="AQ701" s="84"/>
      <c r="AR701" s="84"/>
      <c r="AS701" s="84"/>
      <c r="AT701" s="84"/>
      <c r="AU701" s="84"/>
      <c r="AV701" s="84"/>
      <c r="AW701" s="84"/>
      <c r="AX701" s="84"/>
      <c r="AY701" s="84"/>
      <c r="AZ701" s="84"/>
      <c r="BA701" s="84"/>
      <c r="BB701" s="84"/>
      <c r="BC701" s="84"/>
      <c r="BD701" s="84"/>
      <c r="BE701" s="84"/>
      <c r="BF701" s="84"/>
      <c r="BG701" s="84"/>
      <c r="BH701" s="84"/>
      <c r="BI701" s="84"/>
      <c r="BJ701" s="84"/>
      <c r="BK701" s="84"/>
      <c r="BL701" s="84"/>
      <c r="BM701" s="84"/>
      <c r="BN701" s="84"/>
      <c r="BO701" s="84"/>
      <c r="BP701" s="84"/>
      <c r="BQ701" s="84"/>
      <c r="BR701" s="84"/>
    </row>
    <row r="702" spans="1:70" ht="15.75" customHeight="1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  <c r="AL702" s="84"/>
      <c r="AM702" s="84"/>
      <c r="AN702" s="84"/>
      <c r="AO702" s="84"/>
      <c r="AP702" s="84"/>
      <c r="AQ702" s="84"/>
      <c r="AR702" s="84"/>
      <c r="AS702" s="84"/>
      <c r="AT702" s="84"/>
      <c r="AU702" s="84"/>
      <c r="AV702" s="84"/>
      <c r="AW702" s="84"/>
      <c r="AX702" s="84"/>
      <c r="AY702" s="84"/>
      <c r="AZ702" s="84"/>
      <c r="BA702" s="84"/>
      <c r="BB702" s="84"/>
      <c r="BC702" s="84"/>
      <c r="BD702" s="84"/>
      <c r="BE702" s="84"/>
      <c r="BF702" s="84"/>
      <c r="BG702" s="84"/>
      <c r="BH702" s="84"/>
      <c r="BI702" s="84"/>
      <c r="BJ702" s="84"/>
      <c r="BK702" s="84"/>
      <c r="BL702" s="84"/>
      <c r="BM702" s="84"/>
      <c r="BN702" s="84"/>
      <c r="BO702" s="84"/>
      <c r="BP702" s="84"/>
      <c r="BQ702" s="84"/>
      <c r="BR702" s="84"/>
    </row>
    <row r="703" spans="1:70" ht="15.75" customHeight="1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  <c r="AL703" s="84"/>
      <c r="AM703" s="84"/>
      <c r="AN703" s="84"/>
      <c r="AO703" s="84"/>
      <c r="AP703" s="84"/>
      <c r="AQ703" s="84"/>
      <c r="AR703" s="84"/>
      <c r="AS703" s="84"/>
      <c r="AT703" s="84"/>
      <c r="AU703" s="84"/>
      <c r="AV703" s="84"/>
      <c r="AW703" s="84"/>
      <c r="AX703" s="84"/>
      <c r="AY703" s="84"/>
      <c r="AZ703" s="84"/>
      <c r="BA703" s="84"/>
      <c r="BB703" s="84"/>
      <c r="BC703" s="84"/>
      <c r="BD703" s="84"/>
      <c r="BE703" s="84"/>
      <c r="BF703" s="84"/>
      <c r="BG703" s="84"/>
      <c r="BH703" s="84"/>
      <c r="BI703" s="84"/>
      <c r="BJ703" s="84"/>
      <c r="BK703" s="84"/>
      <c r="BL703" s="84"/>
      <c r="BM703" s="84"/>
      <c r="BN703" s="84"/>
      <c r="BO703" s="84"/>
      <c r="BP703" s="84"/>
      <c r="BQ703" s="84"/>
      <c r="BR703" s="84"/>
    </row>
    <row r="704" spans="1:70" ht="15.75" customHeight="1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  <c r="AL704" s="84"/>
      <c r="AM704" s="84"/>
      <c r="AN704" s="84"/>
      <c r="AO704" s="84"/>
      <c r="AP704" s="84"/>
      <c r="AQ704" s="84"/>
      <c r="AR704" s="84"/>
      <c r="AS704" s="84"/>
      <c r="AT704" s="84"/>
      <c r="AU704" s="84"/>
      <c r="AV704" s="84"/>
      <c r="AW704" s="84"/>
      <c r="AX704" s="84"/>
      <c r="AY704" s="84"/>
      <c r="AZ704" s="84"/>
      <c r="BA704" s="84"/>
      <c r="BB704" s="84"/>
      <c r="BC704" s="84"/>
      <c r="BD704" s="84"/>
      <c r="BE704" s="84"/>
      <c r="BF704" s="84"/>
      <c r="BG704" s="84"/>
      <c r="BH704" s="84"/>
      <c r="BI704" s="84"/>
      <c r="BJ704" s="84"/>
      <c r="BK704" s="84"/>
      <c r="BL704" s="84"/>
      <c r="BM704" s="84"/>
      <c r="BN704" s="84"/>
      <c r="BO704" s="84"/>
      <c r="BP704" s="84"/>
      <c r="BQ704" s="84"/>
      <c r="BR704" s="84"/>
    </row>
    <row r="705" spans="1:70" ht="15.75" customHeight="1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  <c r="AL705" s="84"/>
      <c r="AM705" s="84"/>
      <c r="AN705" s="84"/>
      <c r="AO705" s="84"/>
      <c r="AP705" s="84"/>
      <c r="AQ705" s="84"/>
      <c r="AR705" s="84"/>
      <c r="AS705" s="84"/>
      <c r="AT705" s="84"/>
      <c r="AU705" s="84"/>
      <c r="AV705" s="84"/>
      <c r="AW705" s="84"/>
      <c r="AX705" s="84"/>
      <c r="AY705" s="84"/>
      <c r="AZ705" s="84"/>
      <c r="BA705" s="84"/>
      <c r="BB705" s="84"/>
      <c r="BC705" s="84"/>
      <c r="BD705" s="84"/>
      <c r="BE705" s="84"/>
      <c r="BF705" s="84"/>
      <c r="BG705" s="84"/>
      <c r="BH705" s="84"/>
      <c r="BI705" s="84"/>
      <c r="BJ705" s="84"/>
      <c r="BK705" s="84"/>
      <c r="BL705" s="84"/>
      <c r="BM705" s="84"/>
      <c r="BN705" s="84"/>
      <c r="BO705" s="84"/>
      <c r="BP705" s="84"/>
      <c r="BQ705" s="84"/>
      <c r="BR705" s="84"/>
    </row>
    <row r="706" spans="1:70" ht="15.75" customHeight="1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  <c r="AL706" s="84"/>
      <c r="AM706" s="84"/>
      <c r="AN706" s="84"/>
      <c r="AO706" s="84"/>
      <c r="AP706" s="84"/>
      <c r="AQ706" s="84"/>
      <c r="AR706" s="84"/>
      <c r="AS706" s="84"/>
      <c r="AT706" s="84"/>
      <c r="AU706" s="84"/>
      <c r="AV706" s="84"/>
      <c r="AW706" s="84"/>
      <c r="AX706" s="84"/>
      <c r="AY706" s="84"/>
      <c r="AZ706" s="84"/>
      <c r="BA706" s="84"/>
      <c r="BB706" s="84"/>
      <c r="BC706" s="84"/>
      <c r="BD706" s="84"/>
      <c r="BE706" s="84"/>
      <c r="BF706" s="84"/>
      <c r="BG706" s="84"/>
      <c r="BH706" s="84"/>
      <c r="BI706" s="84"/>
      <c r="BJ706" s="84"/>
      <c r="BK706" s="84"/>
      <c r="BL706" s="84"/>
      <c r="BM706" s="84"/>
      <c r="BN706" s="84"/>
      <c r="BO706" s="84"/>
      <c r="BP706" s="84"/>
      <c r="BQ706" s="84"/>
      <c r="BR706" s="84"/>
    </row>
    <row r="707" spans="1:70" ht="15.75" customHeight="1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  <c r="AL707" s="84"/>
      <c r="AM707" s="84"/>
      <c r="AN707" s="84"/>
      <c r="AO707" s="84"/>
      <c r="AP707" s="84"/>
      <c r="AQ707" s="84"/>
      <c r="AR707" s="84"/>
      <c r="AS707" s="84"/>
      <c r="AT707" s="84"/>
      <c r="AU707" s="84"/>
      <c r="AV707" s="84"/>
      <c r="AW707" s="84"/>
      <c r="AX707" s="84"/>
      <c r="AY707" s="84"/>
      <c r="AZ707" s="84"/>
      <c r="BA707" s="84"/>
      <c r="BB707" s="84"/>
      <c r="BC707" s="84"/>
      <c r="BD707" s="84"/>
      <c r="BE707" s="84"/>
      <c r="BF707" s="84"/>
      <c r="BG707" s="84"/>
      <c r="BH707" s="84"/>
      <c r="BI707" s="84"/>
      <c r="BJ707" s="84"/>
      <c r="BK707" s="84"/>
      <c r="BL707" s="84"/>
      <c r="BM707" s="84"/>
      <c r="BN707" s="84"/>
      <c r="BO707" s="84"/>
      <c r="BP707" s="84"/>
      <c r="BQ707" s="84"/>
      <c r="BR707" s="84"/>
    </row>
    <row r="708" spans="1:70" ht="15.75" customHeight="1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  <c r="AL708" s="84"/>
      <c r="AM708" s="84"/>
      <c r="AN708" s="84"/>
      <c r="AO708" s="84"/>
      <c r="AP708" s="84"/>
      <c r="AQ708" s="84"/>
      <c r="AR708" s="84"/>
      <c r="AS708" s="84"/>
      <c r="AT708" s="84"/>
      <c r="AU708" s="84"/>
      <c r="AV708" s="84"/>
      <c r="AW708" s="84"/>
      <c r="AX708" s="84"/>
      <c r="AY708" s="84"/>
      <c r="AZ708" s="84"/>
      <c r="BA708" s="84"/>
      <c r="BB708" s="84"/>
      <c r="BC708" s="84"/>
      <c r="BD708" s="84"/>
      <c r="BE708" s="84"/>
      <c r="BF708" s="84"/>
      <c r="BG708" s="84"/>
      <c r="BH708" s="84"/>
      <c r="BI708" s="84"/>
      <c r="BJ708" s="84"/>
      <c r="BK708" s="84"/>
      <c r="BL708" s="84"/>
      <c r="BM708" s="84"/>
      <c r="BN708" s="84"/>
      <c r="BO708" s="84"/>
      <c r="BP708" s="84"/>
      <c r="BQ708" s="84"/>
      <c r="BR708" s="84"/>
    </row>
    <row r="709" spans="1:70" ht="15.75" customHeight="1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  <c r="AL709" s="84"/>
      <c r="AM709" s="84"/>
      <c r="AN709" s="84"/>
      <c r="AO709" s="84"/>
      <c r="AP709" s="84"/>
      <c r="AQ709" s="84"/>
      <c r="AR709" s="84"/>
      <c r="AS709" s="84"/>
      <c r="AT709" s="84"/>
      <c r="AU709" s="84"/>
      <c r="AV709" s="84"/>
      <c r="AW709" s="84"/>
      <c r="AX709" s="84"/>
      <c r="AY709" s="84"/>
      <c r="AZ709" s="84"/>
      <c r="BA709" s="84"/>
      <c r="BB709" s="84"/>
      <c r="BC709" s="84"/>
      <c r="BD709" s="84"/>
      <c r="BE709" s="84"/>
      <c r="BF709" s="84"/>
      <c r="BG709" s="84"/>
      <c r="BH709" s="84"/>
      <c r="BI709" s="84"/>
      <c r="BJ709" s="84"/>
      <c r="BK709" s="84"/>
      <c r="BL709" s="84"/>
      <c r="BM709" s="84"/>
      <c r="BN709" s="84"/>
      <c r="BO709" s="84"/>
      <c r="BP709" s="84"/>
      <c r="BQ709" s="84"/>
      <c r="BR709" s="84"/>
    </row>
    <row r="710" spans="1:70" ht="15.75" customHeight="1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  <c r="AL710" s="84"/>
      <c r="AM710" s="84"/>
      <c r="AN710" s="84"/>
      <c r="AO710" s="84"/>
      <c r="AP710" s="84"/>
      <c r="AQ710" s="84"/>
      <c r="AR710" s="84"/>
      <c r="AS710" s="84"/>
      <c r="AT710" s="84"/>
      <c r="AU710" s="84"/>
      <c r="AV710" s="84"/>
      <c r="AW710" s="84"/>
      <c r="AX710" s="84"/>
      <c r="AY710" s="84"/>
      <c r="AZ710" s="84"/>
      <c r="BA710" s="84"/>
      <c r="BB710" s="84"/>
      <c r="BC710" s="84"/>
      <c r="BD710" s="84"/>
      <c r="BE710" s="84"/>
      <c r="BF710" s="84"/>
      <c r="BG710" s="84"/>
      <c r="BH710" s="84"/>
      <c r="BI710" s="84"/>
      <c r="BJ710" s="84"/>
      <c r="BK710" s="84"/>
      <c r="BL710" s="84"/>
      <c r="BM710" s="84"/>
      <c r="BN710" s="84"/>
      <c r="BO710" s="84"/>
      <c r="BP710" s="84"/>
      <c r="BQ710" s="84"/>
      <c r="BR710" s="84"/>
    </row>
    <row r="711" spans="1:70" ht="15.75" customHeight="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  <c r="AL711" s="84"/>
      <c r="AM711" s="84"/>
      <c r="AN711" s="84"/>
      <c r="AO711" s="84"/>
      <c r="AP711" s="84"/>
      <c r="AQ711" s="84"/>
      <c r="AR711" s="84"/>
      <c r="AS711" s="84"/>
      <c r="AT711" s="84"/>
      <c r="AU711" s="84"/>
      <c r="AV711" s="84"/>
      <c r="AW711" s="84"/>
      <c r="AX711" s="84"/>
      <c r="AY711" s="84"/>
      <c r="AZ711" s="84"/>
      <c r="BA711" s="84"/>
      <c r="BB711" s="84"/>
      <c r="BC711" s="84"/>
      <c r="BD711" s="84"/>
      <c r="BE711" s="84"/>
      <c r="BF711" s="84"/>
      <c r="BG711" s="84"/>
      <c r="BH711" s="84"/>
      <c r="BI711" s="84"/>
      <c r="BJ711" s="84"/>
      <c r="BK711" s="84"/>
      <c r="BL711" s="84"/>
      <c r="BM711" s="84"/>
      <c r="BN711" s="84"/>
      <c r="BO711" s="84"/>
      <c r="BP711" s="84"/>
      <c r="BQ711" s="84"/>
      <c r="BR711" s="84"/>
    </row>
    <row r="712" spans="1:70" ht="15.75" customHeight="1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  <c r="AL712" s="84"/>
      <c r="AM712" s="84"/>
      <c r="AN712" s="84"/>
      <c r="AO712" s="84"/>
      <c r="AP712" s="84"/>
      <c r="AQ712" s="84"/>
      <c r="AR712" s="84"/>
      <c r="AS712" s="84"/>
      <c r="AT712" s="84"/>
      <c r="AU712" s="84"/>
      <c r="AV712" s="84"/>
      <c r="AW712" s="84"/>
      <c r="AX712" s="84"/>
      <c r="AY712" s="84"/>
      <c r="AZ712" s="84"/>
      <c r="BA712" s="84"/>
      <c r="BB712" s="84"/>
      <c r="BC712" s="84"/>
      <c r="BD712" s="84"/>
      <c r="BE712" s="84"/>
      <c r="BF712" s="84"/>
      <c r="BG712" s="84"/>
      <c r="BH712" s="84"/>
      <c r="BI712" s="84"/>
      <c r="BJ712" s="84"/>
      <c r="BK712" s="84"/>
      <c r="BL712" s="84"/>
      <c r="BM712" s="84"/>
      <c r="BN712" s="84"/>
      <c r="BO712" s="84"/>
      <c r="BP712" s="84"/>
      <c r="BQ712" s="84"/>
      <c r="BR712" s="84"/>
    </row>
    <row r="713" spans="1:70" ht="15.75" customHeight="1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  <c r="AL713" s="84"/>
      <c r="AM713" s="84"/>
      <c r="AN713" s="84"/>
      <c r="AO713" s="84"/>
      <c r="AP713" s="84"/>
      <c r="AQ713" s="84"/>
      <c r="AR713" s="84"/>
      <c r="AS713" s="84"/>
      <c r="AT713" s="84"/>
      <c r="AU713" s="84"/>
      <c r="AV713" s="84"/>
      <c r="AW713" s="84"/>
      <c r="AX713" s="84"/>
      <c r="AY713" s="84"/>
      <c r="AZ713" s="84"/>
      <c r="BA713" s="84"/>
      <c r="BB713" s="84"/>
      <c r="BC713" s="84"/>
      <c r="BD713" s="84"/>
      <c r="BE713" s="84"/>
      <c r="BF713" s="84"/>
      <c r="BG713" s="84"/>
      <c r="BH713" s="84"/>
      <c r="BI713" s="84"/>
      <c r="BJ713" s="84"/>
      <c r="BK713" s="84"/>
      <c r="BL713" s="84"/>
      <c r="BM713" s="84"/>
      <c r="BN713" s="84"/>
      <c r="BO713" s="84"/>
      <c r="BP713" s="84"/>
      <c r="BQ713" s="84"/>
      <c r="BR713" s="84"/>
    </row>
    <row r="714" spans="1:70" ht="15.75" customHeight="1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  <c r="AL714" s="84"/>
      <c r="AM714" s="84"/>
      <c r="AN714" s="84"/>
      <c r="AO714" s="84"/>
      <c r="AP714" s="84"/>
      <c r="AQ714" s="84"/>
      <c r="AR714" s="84"/>
      <c r="AS714" s="84"/>
      <c r="AT714" s="84"/>
      <c r="AU714" s="84"/>
      <c r="AV714" s="84"/>
      <c r="AW714" s="84"/>
      <c r="AX714" s="84"/>
      <c r="AY714" s="84"/>
      <c r="AZ714" s="84"/>
      <c r="BA714" s="84"/>
      <c r="BB714" s="84"/>
      <c r="BC714" s="84"/>
      <c r="BD714" s="84"/>
      <c r="BE714" s="84"/>
      <c r="BF714" s="84"/>
      <c r="BG714" s="84"/>
      <c r="BH714" s="84"/>
      <c r="BI714" s="84"/>
      <c r="BJ714" s="84"/>
      <c r="BK714" s="84"/>
      <c r="BL714" s="84"/>
      <c r="BM714" s="84"/>
      <c r="BN714" s="84"/>
      <c r="BO714" s="84"/>
      <c r="BP714" s="84"/>
      <c r="BQ714" s="84"/>
      <c r="BR714" s="84"/>
    </row>
    <row r="715" spans="1:70" ht="15.75" customHeight="1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  <c r="AL715" s="84"/>
      <c r="AM715" s="84"/>
      <c r="AN715" s="84"/>
      <c r="AO715" s="84"/>
      <c r="AP715" s="84"/>
      <c r="AQ715" s="84"/>
      <c r="AR715" s="84"/>
      <c r="AS715" s="84"/>
      <c r="AT715" s="84"/>
      <c r="AU715" s="84"/>
      <c r="AV715" s="84"/>
      <c r="AW715" s="84"/>
      <c r="AX715" s="84"/>
      <c r="AY715" s="84"/>
      <c r="AZ715" s="84"/>
      <c r="BA715" s="84"/>
      <c r="BB715" s="84"/>
      <c r="BC715" s="84"/>
      <c r="BD715" s="84"/>
      <c r="BE715" s="84"/>
      <c r="BF715" s="84"/>
      <c r="BG715" s="84"/>
      <c r="BH715" s="84"/>
      <c r="BI715" s="84"/>
      <c r="BJ715" s="84"/>
      <c r="BK715" s="84"/>
      <c r="BL715" s="84"/>
      <c r="BM715" s="84"/>
      <c r="BN715" s="84"/>
      <c r="BO715" s="84"/>
      <c r="BP715" s="84"/>
      <c r="BQ715" s="84"/>
      <c r="BR715" s="84"/>
    </row>
    <row r="716" spans="1:70" ht="15.75" customHeight="1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  <c r="AL716" s="84"/>
      <c r="AM716" s="84"/>
      <c r="AN716" s="84"/>
      <c r="AO716" s="84"/>
      <c r="AP716" s="84"/>
      <c r="AQ716" s="84"/>
      <c r="AR716" s="84"/>
      <c r="AS716" s="84"/>
      <c r="AT716" s="84"/>
      <c r="AU716" s="84"/>
      <c r="AV716" s="84"/>
      <c r="AW716" s="84"/>
      <c r="AX716" s="84"/>
      <c r="AY716" s="84"/>
      <c r="AZ716" s="84"/>
      <c r="BA716" s="84"/>
      <c r="BB716" s="84"/>
      <c r="BC716" s="84"/>
      <c r="BD716" s="84"/>
      <c r="BE716" s="84"/>
      <c r="BF716" s="84"/>
      <c r="BG716" s="84"/>
      <c r="BH716" s="84"/>
      <c r="BI716" s="84"/>
      <c r="BJ716" s="84"/>
      <c r="BK716" s="84"/>
      <c r="BL716" s="84"/>
      <c r="BM716" s="84"/>
      <c r="BN716" s="84"/>
      <c r="BO716" s="84"/>
      <c r="BP716" s="84"/>
      <c r="BQ716" s="84"/>
      <c r="BR716" s="84"/>
    </row>
    <row r="717" spans="1:70" ht="15.75" customHeight="1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  <c r="AL717" s="84"/>
      <c r="AM717" s="84"/>
      <c r="AN717" s="84"/>
      <c r="AO717" s="84"/>
      <c r="AP717" s="84"/>
      <c r="AQ717" s="84"/>
      <c r="AR717" s="84"/>
      <c r="AS717" s="84"/>
      <c r="AT717" s="84"/>
      <c r="AU717" s="84"/>
      <c r="AV717" s="84"/>
      <c r="AW717" s="84"/>
      <c r="AX717" s="84"/>
      <c r="AY717" s="84"/>
      <c r="AZ717" s="84"/>
      <c r="BA717" s="84"/>
      <c r="BB717" s="84"/>
      <c r="BC717" s="84"/>
      <c r="BD717" s="84"/>
      <c r="BE717" s="84"/>
      <c r="BF717" s="84"/>
      <c r="BG717" s="84"/>
      <c r="BH717" s="84"/>
      <c r="BI717" s="84"/>
      <c r="BJ717" s="84"/>
      <c r="BK717" s="84"/>
      <c r="BL717" s="84"/>
      <c r="BM717" s="84"/>
      <c r="BN717" s="84"/>
      <c r="BO717" s="84"/>
      <c r="BP717" s="84"/>
      <c r="BQ717" s="84"/>
      <c r="BR717" s="84"/>
    </row>
    <row r="718" spans="1:70" ht="15.75" customHeight="1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  <c r="AL718" s="84"/>
      <c r="AM718" s="84"/>
      <c r="AN718" s="84"/>
      <c r="AO718" s="84"/>
      <c r="AP718" s="84"/>
      <c r="AQ718" s="84"/>
      <c r="AR718" s="84"/>
      <c r="AS718" s="84"/>
      <c r="AT718" s="84"/>
      <c r="AU718" s="84"/>
      <c r="AV718" s="84"/>
      <c r="AW718" s="84"/>
      <c r="AX718" s="84"/>
      <c r="AY718" s="84"/>
      <c r="AZ718" s="84"/>
      <c r="BA718" s="84"/>
      <c r="BB718" s="84"/>
      <c r="BC718" s="84"/>
      <c r="BD718" s="84"/>
      <c r="BE718" s="84"/>
      <c r="BF718" s="84"/>
      <c r="BG718" s="84"/>
      <c r="BH718" s="84"/>
      <c r="BI718" s="84"/>
      <c r="BJ718" s="84"/>
      <c r="BK718" s="84"/>
      <c r="BL718" s="84"/>
      <c r="BM718" s="84"/>
      <c r="BN718" s="84"/>
      <c r="BO718" s="84"/>
      <c r="BP718" s="84"/>
      <c r="BQ718" s="84"/>
      <c r="BR718" s="84"/>
    </row>
    <row r="719" spans="1:70" ht="15.75" customHeight="1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  <c r="AL719" s="84"/>
      <c r="AM719" s="84"/>
      <c r="AN719" s="84"/>
      <c r="AO719" s="84"/>
      <c r="AP719" s="84"/>
      <c r="AQ719" s="84"/>
      <c r="AR719" s="84"/>
      <c r="AS719" s="84"/>
      <c r="AT719" s="84"/>
      <c r="AU719" s="84"/>
      <c r="AV719" s="84"/>
      <c r="AW719" s="84"/>
      <c r="AX719" s="84"/>
      <c r="AY719" s="84"/>
      <c r="AZ719" s="84"/>
      <c r="BA719" s="84"/>
      <c r="BB719" s="84"/>
      <c r="BC719" s="84"/>
      <c r="BD719" s="84"/>
      <c r="BE719" s="84"/>
      <c r="BF719" s="84"/>
      <c r="BG719" s="84"/>
      <c r="BH719" s="84"/>
      <c r="BI719" s="84"/>
      <c r="BJ719" s="84"/>
      <c r="BK719" s="84"/>
      <c r="BL719" s="84"/>
      <c r="BM719" s="84"/>
      <c r="BN719" s="84"/>
      <c r="BO719" s="84"/>
      <c r="BP719" s="84"/>
      <c r="BQ719" s="84"/>
      <c r="BR719" s="84"/>
    </row>
    <row r="720" spans="1:70" ht="15.75" customHeight="1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  <c r="AL720" s="84"/>
      <c r="AM720" s="84"/>
      <c r="AN720" s="84"/>
      <c r="AO720" s="84"/>
      <c r="AP720" s="84"/>
      <c r="AQ720" s="84"/>
      <c r="AR720" s="84"/>
      <c r="AS720" s="84"/>
      <c r="AT720" s="84"/>
      <c r="AU720" s="84"/>
      <c r="AV720" s="84"/>
      <c r="AW720" s="84"/>
      <c r="AX720" s="84"/>
      <c r="AY720" s="84"/>
      <c r="AZ720" s="84"/>
      <c r="BA720" s="84"/>
      <c r="BB720" s="84"/>
      <c r="BC720" s="84"/>
      <c r="BD720" s="84"/>
      <c r="BE720" s="84"/>
      <c r="BF720" s="84"/>
      <c r="BG720" s="84"/>
      <c r="BH720" s="84"/>
      <c r="BI720" s="84"/>
      <c r="BJ720" s="84"/>
      <c r="BK720" s="84"/>
      <c r="BL720" s="84"/>
      <c r="BM720" s="84"/>
      <c r="BN720" s="84"/>
      <c r="BO720" s="84"/>
      <c r="BP720" s="84"/>
      <c r="BQ720" s="84"/>
      <c r="BR720" s="84"/>
    </row>
    <row r="721" spans="1:70" ht="15.75" customHeight="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  <c r="AL721" s="84"/>
      <c r="AM721" s="84"/>
      <c r="AN721" s="84"/>
      <c r="AO721" s="84"/>
      <c r="AP721" s="84"/>
      <c r="AQ721" s="84"/>
      <c r="AR721" s="84"/>
      <c r="AS721" s="84"/>
      <c r="AT721" s="84"/>
      <c r="AU721" s="84"/>
      <c r="AV721" s="84"/>
      <c r="AW721" s="84"/>
      <c r="AX721" s="84"/>
      <c r="AY721" s="84"/>
      <c r="AZ721" s="84"/>
      <c r="BA721" s="84"/>
      <c r="BB721" s="84"/>
      <c r="BC721" s="84"/>
      <c r="BD721" s="84"/>
      <c r="BE721" s="84"/>
      <c r="BF721" s="84"/>
      <c r="BG721" s="84"/>
      <c r="BH721" s="84"/>
      <c r="BI721" s="84"/>
      <c r="BJ721" s="84"/>
      <c r="BK721" s="84"/>
      <c r="BL721" s="84"/>
      <c r="BM721" s="84"/>
      <c r="BN721" s="84"/>
      <c r="BO721" s="84"/>
      <c r="BP721" s="84"/>
      <c r="BQ721" s="84"/>
      <c r="BR721" s="84"/>
    </row>
    <row r="722" spans="1:70" ht="15.75" customHeight="1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  <c r="AL722" s="84"/>
      <c r="AM722" s="84"/>
      <c r="AN722" s="84"/>
      <c r="AO722" s="84"/>
      <c r="AP722" s="84"/>
      <c r="AQ722" s="84"/>
      <c r="AR722" s="84"/>
      <c r="AS722" s="84"/>
      <c r="AT722" s="84"/>
      <c r="AU722" s="84"/>
      <c r="AV722" s="84"/>
      <c r="AW722" s="84"/>
      <c r="AX722" s="84"/>
      <c r="AY722" s="84"/>
      <c r="AZ722" s="84"/>
      <c r="BA722" s="84"/>
      <c r="BB722" s="84"/>
      <c r="BC722" s="84"/>
      <c r="BD722" s="84"/>
      <c r="BE722" s="84"/>
      <c r="BF722" s="84"/>
      <c r="BG722" s="84"/>
      <c r="BH722" s="84"/>
      <c r="BI722" s="84"/>
      <c r="BJ722" s="84"/>
      <c r="BK722" s="84"/>
      <c r="BL722" s="84"/>
      <c r="BM722" s="84"/>
      <c r="BN722" s="84"/>
      <c r="BO722" s="84"/>
      <c r="BP722" s="84"/>
      <c r="BQ722" s="84"/>
      <c r="BR722" s="84"/>
    </row>
    <row r="723" spans="1:70" ht="15.75" customHeight="1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  <c r="AL723" s="84"/>
      <c r="AM723" s="84"/>
      <c r="AN723" s="84"/>
      <c r="AO723" s="84"/>
      <c r="AP723" s="84"/>
      <c r="AQ723" s="84"/>
      <c r="AR723" s="84"/>
      <c r="AS723" s="84"/>
      <c r="AT723" s="84"/>
      <c r="AU723" s="84"/>
      <c r="AV723" s="84"/>
      <c r="AW723" s="84"/>
      <c r="AX723" s="84"/>
      <c r="AY723" s="84"/>
      <c r="AZ723" s="84"/>
      <c r="BA723" s="84"/>
      <c r="BB723" s="84"/>
      <c r="BC723" s="84"/>
      <c r="BD723" s="84"/>
      <c r="BE723" s="84"/>
      <c r="BF723" s="84"/>
      <c r="BG723" s="84"/>
      <c r="BH723" s="84"/>
      <c r="BI723" s="84"/>
      <c r="BJ723" s="84"/>
      <c r="BK723" s="84"/>
      <c r="BL723" s="84"/>
      <c r="BM723" s="84"/>
      <c r="BN723" s="84"/>
      <c r="BO723" s="84"/>
      <c r="BP723" s="84"/>
      <c r="BQ723" s="84"/>
      <c r="BR723" s="84"/>
    </row>
    <row r="724" spans="1:70" ht="15.75" customHeight="1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  <c r="AL724" s="84"/>
      <c r="AM724" s="84"/>
      <c r="AN724" s="84"/>
      <c r="AO724" s="84"/>
      <c r="AP724" s="84"/>
      <c r="AQ724" s="84"/>
      <c r="AR724" s="84"/>
      <c r="AS724" s="84"/>
      <c r="AT724" s="84"/>
      <c r="AU724" s="84"/>
      <c r="AV724" s="84"/>
      <c r="AW724" s="84"/>
      <c r="AX724" s="84"/>
      <c r="AY724" s="84"/>
      <c r="AZ724" s="84"/>
      <c r="BA724" s="84"/>
      <c r="BB724" s="84"/>
      <c r="BC724" s="84"/>
      <c r="BD724" s="84"/>
      <c r="BE724" s="84"/>
      <c r="BF724" s="84"/>
      <c r="BG724" s="84"/>
      <c r="BH724" s="84"/>
      <c r="BI724" s="84"/>
      <c r="BJ724" s="84"/>
      <c r="BK724" s="84"/>
      <c r="BL724" s="84"/>
      <c r="BM724" s="84"/>
      <c r="BN724" s="84"/>
      <c r="BO724" s="84"/>
      <c r="BP724" s="84"/>
      <c r="BQ724" s="84"/>
      <c r="BR724" s="84"/>
    </row>
    <row r="725" spans="1:70" ht="15.75" customHeight="1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  <c r="AL725" s="84"/>
      <c r="AM725" s="84"/>
      <c r="AN725" s="84"/>
      <c r="AO725" s="84"/>
      <c r="AP725" s="84"/>
      <c r="AQ725" s="84"/>
      <c r="AR725" s="84"/>
      <c r="AS725" s="84"/>
      <c r="AT725" s="84"/>
      <c r="AU725" s="84"/>
      <c r="AV725" s="84"/>
      <c r="AW725" s="84"/>
      <c r="AX725" s="84"/>
      <c r="AY725" s="84"/>
      <c r="AZ725" s="84"/>
      <c r="BA725" s="84"/>
      <c r="BB725" s="84"/>
      <c r="BC725" s="84"/>
      <c r="BD725" s="84"/>
      <c r="BE725" s="84"/>
      <c r="BF725" s="84"/>
      <c r="BG725" s="84"/>
      <c r="BH725" s="84"/>
      <c r="BI725" s="84"/>
      <c r="BJ725" s="84"/>
      <c r="BK725" s="84"/>
      <c r="BL725" s="84"/>
      <c r="BM725" s="84"/>
      <c r="BN725" s="84"/>
      <c r="BO725" s="84"/>
      <c r="BP725" s="84"/>
      <c r="BQ725" s="84"/>
      <c r="BR725" s="84"/>
    </row>
    <row r="726" spans="1:70" ht="15.75" customHeight="1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  <c r="AL726" s="84"/>
      <c r="AM726" s="84"/>
      <c r="AN726" s="84"/>
      <c r="AO726" s="84"/>
      <c r="AP726" s="84"/>
      <c r="AQ726" s="84"/>
      <c r="AR726" s="84"/>
      <c r="AS726" s="84"/>
      <c r="AT726" s="84"/>
      <c r="AU726" s="84"/>
      <c r="AV726" s="84"/>
      <c r="AW726" s="84"/>
      <c r="AX726" s="84"/>
      <c r="AY726" s="84"/>
      <c r="AZ726" s="84"/>
      <c r="BA726" s="84"/>
      <c r="BB726" s="84"/>
      <c r="BC726" s="84"/>
      <c r="BD726" s="84"/>
      <c r="BE726" s="84"/>
      <c r="BF726" s="84"/>
      <c r="BG726" s="84"/>
      <c r="BH726" s="84"/>
      <c r="BI726" s="84"/>
      <c r="BJ726" s="84"/>
      <c r="BK726" s="84"/>
      <c r="BL726" s="84"/>
      <c r="BM726" s="84"/>
      <c r="BN726" s="84"/>
      <c r="BO726" s="84"/>
      <c r="BP726" s="84"/>
      <c r="BQ726" s="84"/>
      <c r="BR726" s="84"/>
    </row>
    <row r="727" spans="1:70" ht="15.75" customHeight="1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  <c r="AL727" s="84"/>
      <c r="AM727" s="84"/>
      <c r="AN727" s="84"/>
      <c r="AO727" s="84"/>
      <c r="AP727" s="84"/>
      <c r="AQ727" s="84"/>
      <c r="AR727" s="84"/>
      <c r="AS727" s="84"/>
      <c r="AT727" s="84"/>
      <c r="AU727" s="84"/>
      <c r="AV727" s="84"/>
      <c r="AW727" s="84"/>
      <c r="AX727" s="84"/>
      <c r="AY727" s="84"/>
      <c r="AZ727" s="84"/>
      <c r="BA727" s="84"/>
      <c r="BB727" s="84"/>
      <c r="BC727" s="84"/>
      <c r="BD727" s="84"/>
      <c r="BE727" s="84"/>
      <c r="BF727" s="84"/>
      <c r="BG727" s="84"/>
      <c r="BH727" s="84"/>
      <c r="BI727" s="84"/>
      <c r="BJ727" s="84"/>
      <c r="BK727" s="84"/>
      <c r="BL727" s="84"/>
      <c r="BM727" s="84"/>
      <c r="BN727" s="84"/>
      <c r="BO727" s="84"/>
      <c r="BP727" s="84"/>
      <c r="BQ727" s="84"/>
      <c r="BR727" s="84"/>
    </row>
    <row r="728" spans="1:70" ht="15.75" customHeight="1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  <c r="AL728" s="84"/>
      <c r="AM728" s="84"/>
      <c r="AN728" s="84"/>
      <c r="AO728" s="84"/>
      <c r="AP728" s="84"/>
      <c r="AQ728" s="84"/>
      <c r="AR728" s="84"/>
      <c r="AS728" s="84"/>
      <c r="AT728" s="84"/>
      <c r="AU728" s="84"/>
      <c r="AV728" s="84"/>
      <c r="AW728" s="84"/>
      <c r="AX728" s="84"/>
      <c r="AY728" s="84"/>
      <c r="AZ728" s="84"/>
      <c r="BA728" s="84"/>
      <c r="BB728" s="84"/>
      <c r="BC728" s="84"/>
      <c r="BD728" s="84"/>
      <c r="BE728" s="84"/>
      <c r="BF728" s="84"/>
      <c r="BG728" s="84"/>
      <c r="BH728" s="84"/>
      <c r="BI728" s="84"/>
      <c r="BJ728" s="84"/>
      <c r="BK728" s="84"/>
      <c r="BL728" s="84"/>
      <c r="BM728" s="84"/>
      <c r="BN728" s="84"/>
      <c r="BO728" s="84"/>
      <c r="BP728" s="84"/>
      <c r="BQ728" s="84"/>
      <c r="BR728" s="84"/>
    </row>
    <row r="729" spans="1:70" ht="15.75" customHeight="1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  <c r="AL729" s="84"/>
      <c r="AM729" s="84"/>
      <c r="AN729" s="84"/>
      <c r="AO729" s="84"/>
      <c r="AP729" s="84"/>
      <c r="AQ729" s="84"/>
      <c r="AR729" s="84"/>
      <c r="AS729" s="84"/>
      <c r="AT729" s="84"/>
      <c r="AU729" s="84"/>
      <c r="AV729" s="84"/>
      <c r="AW729" s="84"/>
      <c r="AX729" s="84"/>
      <c r="AY729" s="84"/>
      <c r="AZ729" s="84"/>
      <c r="BA729" s="84"/>
      <c r="BB729" s="84"/>
      <c r="BC729" s="84"/>
      <c r="BD729" s="84"/>
      <c r="BE729" s="84"/>
      <c r="BF729" s="84"/>
      <c r="BG729" s="84"/>
      <c r="BH729" s="84"/>
      <c r="BI729" s="84"/>
      <c r="BJ729" s="84"/>
      <c r="BK729" s="84"/>
      <c r="BL729" s="84"/>
      <c r="BM729" s="84"/>
      <c r="BN729" s="84"/>
      <c r="BO729" s="84"/>
      <c r="BP729" s="84"/>
      <c r="BQ729" s="84"/>
      <c r="BR729" s="84"/>
    </row>
    <row r="730" spans="1:70" ht="15.75" customHeight="1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  <c r="AL730" s="84"/>
      <c r="AM730" s="84"/>
      <c r="AN730" s="84"/>
      <c r="AO730" s="84"/>
      <c r="AP730" s="84"/>
      <c r="AQ730" s="84"/>
      <c r="AR730" s="84"/>
      <c r="AS730" s="84"/>
      <c r="AT730" s="84"/>
      <c r="AU730" s="84"/>
      <c r="AV730" s="84"/>
      <c r="AW730" s="84"/>
      <c r="AX730" s="84"/>
      <c r="AY730" s="84"/>
      <c r="AZ730" s="84"/>
      <c r="BA730" s="84"/>
      <c r="BB730" s="84"/>
      <c r="BC730" s="84"/>
      <c r="BD730" s="84"/>
      <c r="BE730" s="84"/>
      <c r="BF730" s="84"/>
      <c r="BG730" s="84"/>
      <c r="BH730" s="84"/>
      <c r="BI730" s="84"/>
      <c r="BJ730" s="84"/>
      <c r="BK730" s="84"/>
      <c r="BL730" s="84"/>
      <c r="BM730" s="84"/>
      <c r="BN730" s="84"/>
      <c r="BO730" s="84"/>
      <c r="BP730" s="84"/>
      <c r="BQ730" s="84"/>
      <c r="BR730" s="84"/>
    </row>
    <row r="731" spans="1:70" ht="15.75" customHeight="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  <c r="AL731" s="84"/>
      <c r="AM731" s="84"/>
      <c r="AN731" s="84"/>
      <c r="AO731" s="84"/>
      <c r="AP731" s="84"/>
      <c r="AQ731" s="84"/>
      <c r="AR731" s="84"/>
      <c r="AS731" s="84"/>
      <c r="AT731" s="84"/>
      <c r="AU731" s="84"/>
      <c r="AV731" s="84"/>
      <c r="AW731" s="84"/>
      <c r="AX731" s="84"/>
      <c r="AY731" s="84"/>
      <c r="AZ731" s="84"/>
      <c r="BA731" s="84"/>
      <c r="BB731" s="84"/>
      <c r="BC731" s="84"/>
      <c r="BD731" s="84"/>
      <c r="BE731" s="84"/>
      <c r="BF731" s="84"/>
      <c r="BG731" s="84"/>
      <c r="BH731" s="84"/>
      <c r="BI731" s="84"/>
      <c r="BJ731" s="84"/>
      <c r="BK731" s="84"/>
      <c r="BL731" s="84"/>
      <c r="BM731" s="84"/>
      <c r="BN731" s="84"/>
      <c r="BO731" s="84"/>
      <c r="BP731" s="84"/>
      <c r="BQ731" s="84"/>
      <c r="BR731" s="84"/>
    </row>
    <row r="732" spans="1:70" ht="15.75" customHeight="1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  <c r="AL732" s="84"/>
      <c r="AM732" s="84"/>
      <c r="AN732" s="84"/>
      <c r="AO732" s="84"/>
      <c r="AP732" s="84"/>
      <c r="AQ732" s="84"/>
      <c r="AR732" s="84"/>
      <c r="AS732" s="84"/>
      <c r="AT732" s="84"/>
      <c r="AU732" s="84"/>
      <c r="AV732" s="84"/>
      <c r="AW732" s="84"/>
      <c r="AX732" s="84"/>
      <c r="AY732" s="84"/>
      <c r="AZ732" s="84"/>
      <c r="BA732" s="84"/>
      <c r="BB732" s="84"/>
      <c r="BC732" s="84"/>
      <c r="BD732" s="84"/>
      <c r="BE732" s="84"/>
      <c r="BF732" s="84"/>
      <c r="BG732" s="84"/>
      <c r="BH732" s="84"/>
      <c r="BI732" s="84"/>
      <c r="BJ732" s="84"/>
      <c r="BK732" s="84"/>
      <c r="BL732" s="84"/>
      <c r="BM732" s="84"/>
      <c r="BN732" s="84"/>
      <c r="BO732" s="84"/>
      <c r="BP732" s="84"/>
      <c r="BQ732" s="84"/>
      <c r="BR732" s="84"/>
    </row>
    <row r="733" spans="1:70" ht="15.75" customHeight="1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  <c r="AL733" s="84"/>
      <c r="AM733" s="84"/>
      <c r="AN733" s="84"/>
      <c r="AO733" s="84"/>
      <c r="AP733" s="84"/>
      <c r="AQ733" s="84"/>
      <c r="AR733" s="84"/>
      <c r="AS733" s="84"/>
      <c r="AT733" s="84"/>
      <c r="AU733" s="84"/>
      <c r="AV733" s="84"/>
      <c r="AW733" s="84"/>
      <c r="AX733" s="84"/>
      <c r="AY733" s="84"/>
      <c r="AZ733" s="84"/>
      <c r="BA733" s="84"/>
      <c r="BB733" s="84"/>
      <c r="BC733" s="84"/>
      <c r="BD733" s="84"/>
      <c r="BE733" s="84"/>
      <c r="BF733" s="84"/>
      <c r="BG733" s="84"/>
      <c r="BH733" s="84"/>
      <c r="BI733" s="84"/>
      <c r="BJ733" s="84"/>
      <c r="BK733" s="84"/>
      <c r="BL733" s="84"/>
      <c r="BM733" s="84"/>
      <c r="BN733" s="84"/>
      <c r="BO733" s="84"/>
      <c r="BP733" s="84"/>
      <c r="BQ733" s="84"/>
      <c r="BR733" s="84"/>
    </row>
    <row r="734" spans="1:70" ht="15.75" customHeight="1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  <c r="AL734" s="84"/>
      <c r="AM734" s="84"/>
      <c r="AN734" s="84"/>
      <c r="AO734" s="84"/>
      <c r="AP734" s="84"/>
      <c r="AQ734" s="84"/>
      <c r="AR734" s="84"/>
      <c r="AS734" s="84"/>
      <c r="AT734" s="84"/>
      <c r="AU734" s="84"/>
      <c r="AV734" s="84"/>
      <c r="AW734" s="84"/>
      <c r="AX734" s="84"/>
      <c r="AY734" s="84"/>
      <c r="AZ734" s="84"/>
      <c r="BA734" s="84"/>
      <c r="BB734" s="84"/>
      <c r="BC734" s="84"/>
      <c r="BD734" s="84"/>
      <c r="BE734" s="84"/>
      <c r="BF734" s="84"/>
      <c r="BG734" s="84"/>
      <c r="BH734" s="84"/>
      <c r="BI734" s="84"/>
      <c r="BJ734" s="84"/>
      <c r="BK734" s="84"/>
      <c r="BL734" s="84"/>
      <c r="BM734" s="84"/>
      <c r="BN734" s="84"/>
      <c r="BO734" s="84"/>
      <c r="BP734" s="84"/>
      <c r="BQ734" s="84"/>
      <c r="BR734" s="84"/>
    </row>
    <row r="735" spans="1:70" ht="15.75" customHeight="1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  <c r="AL735" s="84"/>
      <c r="AM735" s="84"/>
      <c r="AN735" s="84"/>
      <c r="AO735" s="84"/>
      <c r="AP735" s="84"/>
      <c r="AQ735" s="84"/>
      <c r="AR735" s="84"/>
      <c r="AS735" s="84"/>
      <c r="AT735" s="84"/>
      <c r="AU735" s="84"/>
      <c r="AV735" s="84"/>
      <c r="AW735" s="84"/>
      <c r="AX735" s="84"/>
      <c r="AY735" s="84"/>
      <c r="AZ735" s="84"/>
      <c r="BA735" s="84"/>
      <c r="BB735" s="84"/>
      <c r="BC735" s="84"/>
      <c r="BD735" s="84"/>
      <c r="BE735" s="84"/>
      <c r="BF735" s="84"/>
      <c r="BG735" s="84"/>
      <c r="BH735" s="84"/>
      <c r="BI735" s="84"/>
      <c r="BJ735" s="84"/>
      <c r="BK735" s="84"/>
      <c r="BL735" s="84"/>
      <c r="BM735" s="84"/>
      <c r="BN735" s="84"/>
      <c r="BO735" s="84"/>
      <c r="BP735" s="84"/>
      <c r="BQ735" s="84"/>
      <c r="BR735" s="84"/>
    </row>
    <row r="736" spans="1:70" ht="15.75" customHeight="1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  <c r="AL736" s="84"/>
      <c r="AM736" s="84"/>
      <c r="AN736" s="84"/>
      <c r="AO736" s="84"/>
      <c r="AP736" s="84"/>
      <c r="AQ736" s="84"/>
      <c r="AR736" s="84"/>
      <c r="AS736" s="84"/>
      <c r="AT736" s="84"/>
      <c r="AU736" s="84"/>
      <c r="AV736" s="84"/>
      <c r="AW736" s="84"/>
      <c r="AX736" s="84"/>
      <c r="AY736" s="84"/>
      <c r="AZ736" s="84"/>
      <c r="BA736" s="84"/>
      <c r="BB736" s="84"/>
      <c r="BC736" s="84"/>
      <c r="BD736" s="84"/>
      <c r="BE736" s="84"/>
      <c r="BF736" s="84"/>
      <c r="BG736" s="84"/>
      <c r="BH736" s="84"/>
      <c r="BI736" s="84"/>
      <c r="BJ736" s="84"/>
      <c r="BK736" s="84"/>
      <c r="BL736" s="84"/>
      <c r="BM736" s="84"/>
      <c r="BN736" s="84"/>
      <c r="BO736" s="84"/>
      <c r="BP736" s="84"/>
      <c r="BQ736" s="84"/>
      <c r="BR736" s="84"/>
    </row>
    <row r="737" spans="1:70" ht="15.75" customHeight="1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  <c r="AL737" s="84"/>
      <c r="AM737" s="84"/>
      <c r="AN737" s="84"/>
      <c r="AO737" s="84"/>
      <c r="AP737" s="84"/>
      <c r="AQ737" s="84"/>
      <c r="AR737" s="84"/>
      <c r="AS737" s="84"/>
      <c r="AT737" s="84"/>
      <c r="AU737" s="84"/>
      <c r="AV737" s="84"/>
      <c r="AW737" s="84"/>
      <c r="AX737" s="84"/>
      <c r="AY737" s="84"/>
      <c r="AZ737" s="84"/>
      <c r="BA737" s="84"/>
      <c r="BB737" s="84"/>
      <c r="BC737" s="84"/>
      <c r="BD737" s="84"/>
      <c r="BE737" s="84"/>
      <c r="BF737" s="84"/>
      <c r="BG737" s="84"/>
      <c r="BH737" s="84"/>
      <c r="BI737" s="84"/>
      <c r="BJ737" s="84"/>
      <c r="BK737" s="84"/>
      <c r="BL737" s="84"/>
      <c r="BM737" s="84"/>
      <c r="BN737" s="84"/>
      <c r="BO737" s="84"/>
      <c r="BP737" s="84"/>
      <c r="BQ737" s="84"/>
      <c r="BR737" s="84"/>
    </row>
    <row r="738" spans="1:70" ht="15.75" customHeight="1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  <c r="AL738" s="84"/>
      <c r="AM738" s="84"/>
      <c r="AN738" s="84"/>
      <c r="AO738" s="84"/>
      <c r="AP738" s="84"/>
      <c r="AQ738" s="84"/>
      <c r="AR738" s="84"/>
      <c r="AS738" s="84"/>
      <c r="AT738" s="84"/>
      <c r="AU738" s="84"/>
      <c r="AV738" s="84"/>
      <c r="AW738" s="84"/>
      <c r="AX738" s="84"/>
      <c r="AY738" s="84"/>
      <c r="AZ738" s="84"/>
      <c r="BA738" s="84"/>
      <c r="BB738" s="84"/>
      <c r="BC738" s="84"/>
      <c r="BD738" s="84"/>
      <c r="BE738" s="84"/>
      <c r="BF738" s="84"/>
      <c r="BG738" s="84"/>
      <c r="BH738" s="84"/>
      <c r="BI738" s="84"/>
      <c r="BJ738" s="84"/>
      <c r="BK738" s="84"/>
      <c r="BL738" s="84"/>
      <c r="BM738" s="84"/>
      <c r="BN738" s="84"/>
      <c r="BO738" s="84"/>
      <c r="BP738" s="84"/>
      <c r="BQ738" s="84"/>
      <c r="BR738" s="84"/>
    </row>
    <row r="739" spans="1:70" ht="15.75" customHeight="1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  <c r="AL739" s="84"/>
      <c r="AM739" s="84"/>
      <c r="AN739" s="84"/>
      <c r="AO739" s="84"/>
      <c r="AP739" s="84"/>
      <c r="AQ739" s="84"/>
      <c r="AR739" s="84"/>
      <c r="AS739" s="84"/>
      <c r="AT739" s="84"/>
      <c r="AU739" s="84"/>
      <c r="AV739" s="84"/>
      <c r="AW739" s="84"/>
      <c r="AX739" s="84"/>
      <c r="AY739" s="84"/>
      <c r="AZ739" s="84"/>
      <c r="BA739" s="84"/>
      <c r="BB739" s="84"/>
      <c r="BC739" s="84"/>
      <c r="BD739" s="84"/>
      <c r="BE739" s="84"/>
      <c r="BF739" s="84"/>
      <c r="BG739" s="84"/>
      <c r="BH739" s="84"/>
      <c r="BI739" s="84"/>
      <c r="BJ739" s="84"/>
      <c r="BK739" s="84"/>
      <c r="BL739" s="84"/>
      <c r="BM739" s="84"/>
      <c r="BN739" s="84"/>
      <c r="BO739" s="84"/>
      <c r="BP739" s="84"/>
      <c r="BQ739" s="84"/>
      <c r="BR739" s="84"/>
    </row>
    <row r="740" spans="1:70" ht="15.75" customHeight="1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  <c r="AL740" s="84"/>
      <c r="AM740" s="84"/>
      <c r="AN740" s="84"/>
      <c r="AO740" s="84"/>
      <c r="AP740" s="84"/>
      <c r="AQ740" s="84"/>
      <c r="AR740" s="84"/>
      <c r="AS740" s="84"/>
      <c r="AT740" s="84"/>
      <c r="AU740" s="84"/>
      <c r="AV740" s="84"/>
      <c r="AW740" s="84"/>
      <c r="AX740" s="84"/>
      <c r="AY740" s="84"/>
      <c r="AZ740" s="84"/>
      <c r="BA740" s="84"/>
      <c r="BB740" s="84"/>
      <c r="BC740" s="84"/>
      <c r="BD740" s="84"/>
      <c r="BE740" s="84"/>
      <c r="BF740" s="84"/>
      <c r="BG740" s="84"/>
      <c r="BH740" s="84"/>
      <c r="BI740" s="84"/>
      <c r="BJ740" s="84"/>
      <c r="BK740" s="84"/>
      <c r="BL740" s="84"/>
      <c r="BM740" s="84"/>
      <c r="BN740" s="84"/>
      <c r="BO740" s="84"/>
      <c r="BP740" s="84"/>
      <c r="BQ740" s="84"/>
      <c r="BR740" s="84"/>
    </row>
    <row r="741" spans="1:70" ht="15.75" customHeight="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  <c r="AL741" s="84"/>
      <c r="AM741" s="84"/>
      <c r="AN741" s="84"/>
      <c r="AO741" s="84"/>
      <c r="AP741" s="84"/>
      <c r="AQ741" s="84"/>
      <c r="AR741" s="84"/>
      <c r="AS741" s="84"/>
      <c r="AT741" s="84"/>
      <c r="AU741" s="84"/>
      <c r="AV741" s="84"/>
      <c r="AW741" s="84"/>
      <c r="AX741" s="84"/>
      <c r="AY741" s="84"/>
      <c r="AZ741" s="84"/>
      <c r="BA741" s="84"/>
      <c r="BB741" s="84"/>
      <c r="BC741" s="84"/>
      <c r="BD741" s="84"/>
      <c r="BE741" s="84"/>
      <c r="BF741" s="84"/>
      <c r="BG741" s="84"/>
      <c r="BH741" s="84"/>
      <c r="BI741" s="84"/>
      <c r="BJ741" s="84"/>
      <c r="BK741" s="84"/>
      <c r="BL741" s="84"/>
      <c r="BM741" s="84"/>
      <c r="BN741" s="84"/>
      <c r="BO741" s="84"/>
      <c r="BP741" s="84"/>
      <c r="BQ741" s="84"/>
      <c r="BR741" s="84"/>
    </row>
    <row r="742" spans="1:70" ht="15.75" customHeight="1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  <c r="AL742" s="84"/>
      <c r="AM742" s="84"/>
      <c r="AN742" s="84"/>
      <c r="AO742" s="84"/>
      <c r="AP742" s="84"/>
      <c r="AQ742" s="84"/>
      <c r="AR742" s="84"/>
      <c r="AS742" s="84"/>
      <c r="AT742" s="84"/>
      <c r="AU742" s="84"/>
      <c r="AV742" s="84"/>
      <c r="AW742" s="84"/>
      <c r="AX742" s="84"/>
      <c r="AY742" s="84"/>
      <c r="AZ742" s="84"/>
      <c r="BA742" s="84"/>
      <c r="BB742" s="84"/>
      <c r="BC742" s="84"/>
      <c r="BD742" s="84"/>
      <c r="BE742" s="84"/>
      <c r="BF742" s="84"/>
      <c r="BG742" s="84"/>
      <c r="BH742" s="84"/>
      <c r="BI742" s="84"/>
      <c r="BJ742" s="84"/>
      <c r="BK742" s="84"/>
      <c r="BL742" s="84"/>
      <c r="BM742" s="84"/>
      <c r="BN742" s="84"/>
      <c r="BO742" s="84"/>
      <c r="BP742" s="84"/>
      <c r="BQ742" s="84"/>
      <c r="BR742" s="84"/>
    </row>
    <row r="743" spans="1:70" ht="15.75" customHeight="1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  <c r="AL743" s="84"/>
      <c r="AM743" s="84"/>
      <c r="AN743" s="84"/>
      <c r="AO743" s="84"/>
      <c r="AP743" s="84"/>
      <c r="AQ743" s="84"/>
      <c r="AR743" s="84"/>
      <c r="AS743" s="84"/>
      <c r="AT743" s="84"/>
      <c r="AU743" s="84"/>
      <c r="AV743" s="84"/>
      <c r="AW743" s="84"/>
      <c r="AX743" s="84"/>
      <c r="AY743" s="84"/>
      <c r="AZ743" s="84"/>
      <c r="BA743" s="84"/>
      <c r="BB743" s="84"/>
      <c r="BC743" s="84"/>
      <c r="BD743" s="84"/>
      <c r="BE743" s="84"/>
      <c r="BF743" s="84"/>
      <c r="BG743" s="84"/>
      <c r="BH743" s="84"/>
      <c r="BI743" s="84"/>
      <c r="BJ743" s="84"/>
      <c r="BK743" s="84"/>
      <c r="BL743" s="84"/>
      <c r="BM743" s="84"/>
      <c r="BN743" s="84"/>
      <c r="BO743" s="84"/>
      <c r="BP743" s="84"/>
      <c r="BQ743" s="84"/>
      <c r="BR743" s="84"/>
    </row>
    <row r="744" spans="1:70" ht="15.75" customHeight="1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  <c r="AL744" s="84"/>
      <c r="AM744" s="84"/>
      <c r="AN744" s="84"/>
      <c r="AO744" s="84"/>
      <c r="AP744" s="84"/>
      <c r="AQ744" s="84"/>
      <c r="AR744" s="84"/>
      <c r="AS744" s="84"/>
      <c r="AT744" s="84"/>
      <c r="AU744" s="84"/>
      <c r="AV744" s="84"/>
      <c r="AW744" s="84"/>
      <c r="AX744" s="84"/>
      <c r="AY744" s="84"/>
      <c r="AZ744" s="84"/>
      <c r="BA744" s="84"/>
      <c r="BB744" s="84"/>
      <c r="BC744" s="84"/>
      <c r="BD744" s="84"/>
      <c r="BE744" s="84"/>
      <c r="BF744" s="84"/>
      <c r="BG744" s="84"/>
      <c r="BH744" s="84"/>
      <c r="BI744" s="84"/>
      <c r="BJ744" s="84"/>
      <c r="BK744" s="84"/>
      <c r="BL744" s="84"/>
      <c r="BM744" s="84"/>
      <c r="BN744" s="84"/>
      <c r="BO744" s="84"/>
      <c r="BP744" s="84"/>
      <c r="BQ744" s="84"/>
      <c r="BR744" s="84"/>
    </row>
    <row r="745" spans="1:70" ht="15.75" customHeight="1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  <c r="AL745" s="84"/>
      <c r="AM745" s="84"/>
      <c r="AN745" s="84"/>
      <c r="AO745" s="84"/>
      <c r="AP745" s="84"/>
      <c r="AQ745" s="84"/>
      <c r="AR745" s="84"/>
      <c r="AS745" s="84"/>
      <c r="AT745" s="84"/>
      <c r="AU745" s="84"/>
      <c r="AV745" s="84"/>
      <c r="AW745" s="84"/>
      <c r="AX745" s="84"/>
      <c r="AY745" s="84"/>
      <c r="AZ745" s="84"/>
      <c r="BA745" s="84"/>
      <c r="BB745" s="84"/>
      <c r="BC745" s="84"/>
      <c r="BD745" s="84"/>
      <c r="BE745" s="84"/>
      <c r="BF745" s="84"/>
      <c r="BG745" s="84"/>
      <c r="BH745" s="84"/>
      <c r="BI745" s="84"/>
      <c r="BJ745" s="84"/>
      <c r="BK745" s="84"/>
      <c r="BL745" s="84"/>
      <c r="BM745" s="84"/>
      <c r="BN745" s="84"/>
      <c r="BO745" s="84"/>
      <c r="BP745" s="84"/>
      <c r="BQ745" s="84"/>
      <c r="BR745" s="84"/>
    </row>
    <row r="746" spans="1:70" ht="15.75" customHeight="1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  <c r="AL746" s="84"/>
      <c r="AM746" s="84"/>
      <c r="AN746" s="84"/>
      <c r="AO746" s="84"/>
      <c r="AP746" s="84"/>
      <c r="AQ746" s="84"/>
      <c r="AR746" s="84"/>
      <c r="AS746" s="84"/>
      <c r="AT746" s="84"/>
      <c r="AU746" s="84"/>
      <c r="AV746" s="84"/>
      <c r="AW746" s="84"/>
      <c r="AX746" s="84"/>
      <c r="AY746" s="84"/>
      <c r="AZ746" s="84"/>
      <c r="BA746" s="84"/>
      <c r="BB746" s="84"/>
      <c r="BC746" s="84"/>
      <c r="BD746" s="84"/>
      <c r="BE746" s="84"/>
      <c r="BF746" s="84"/>
      <c r="BG746" s="84"/>
      <c r="BH746" s="84"/>
      <c r="BI746" s="84"/>
      <c r="BJ746" s="84"/>
      <c r="BK746" s="84"/>
      <c r="BL746" s="84"/>
      <c r="BM746" s="84"/>
      <c r="BN746" s="84"/>
      <c r="BO746" s="84"/>
      <c r="BP746" s="84"/>
      <c r="BQ746" s="84"/>
      <c r="BR746" s="84"/>
    </row>
    <row r="747" spans="1:70" ht="15.75" customHeight="1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  <c r="AL747" s="84"/>
      <c r="AM747" s="84"/>
      <c r="AN747" s="84"/>
      <c r="AO747" s="84"/>
      <c r="AP747" s="84"/>
      <c r="AQ747" s="84"/>
      <c r="AR747" s="84"/>
      <c r="AS747" s="84"/>
      <c r="AT747" s="84"/>
      <c r="AU747" s="84"/>
      <c r="AV747" s="84"/>
      <c r="AW747" s="84"/>
      <c r="AX747" s="84"/>
      <c r="AY747" s="84"/>
      <c r="AZ747" s="84"/>
      <c r="BA747" s="84"/>
      <c r="BB747" s="84"/>
      <c r="BC747" s="84"/>
      <c r="BD747" s="84"/>
      <c r="BE747" s="84"/>
      <c r="BF747" s="84"/>
      <c r="BG747" s="84"/>
      <c r="BH747" s="84"/>
      <c r="BI747" s="84"/>
      <c r="BJ747" s="84"/>
      <c r="BK747" s="84"/>
      <c r="BL747" s="84"/>
      <c r="BM747" s="84"/>
      <c r="BN747" s="84"/>
      <c r="BO747" s="84"/>
      <c r="BP747" s="84"/>
      <c r="BQ747" s="84"/>
      <c r="BR747" s="84"/>
    </row>
    <row r="748" spans="1:70" ht="15.75" customHeight="1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  <c r="AL748" s="84"/>
      <c r="AM748" s="84"/>
      <c r="AN748" s="84"/>
      <c r="AO748" s="84"/>
      <c r="AP748" s="84"/>
      <c r="AQ748" s="84"/>
      <c r="AR748" s="84"/>
      <c r="AS748" s="84"/>
      <c r="AT748" s="84"/>
      <c r="AU748" s="84"/>
      <c r="AV748" s="84"/>
      <c r="AW748" s="84"/>
      <c r="AX748" s="84"/>
      <c r="AY748" s="84"/>
      <c r="AZ748" s="84"/>
      <c r="BA748" s="84"/>
      <c r="BB748" s="84"/>
      <c r="BC748" s="84"/>
      <c r="BD748" s="84"/>
      <c r="BE748" s="84"/>
      <c r="BF748" s="84"/>
      <c r="BG748" s="84"/>
      <c r="BH748" s="84"/>
      <c r="BI748" s="84"/>
      <c r="BJ748" s="84"/>
      <c r="BK748" s="84"/>
      <c r="BL748" s="84"/>
      <c r="BM748" s="84"/>
      <c r="BN748" s="84"/>
      <c r="BO748" s="84"/>
      <c r="BP748" s="84"/>
      <c r="BQ748" s="84"/>
      <c r="BR748" s="84"/>
    </row>
    <row r="749" spans="1:70" ht="15.75" customHeight="1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  <c r="AL749" s="84"/>
      <c r="AM749" s="84"/>
      <c r="AN749" s="84"/>
      <c r="AO749" s="84"/>
      <c r="AP749" s="84"/>
      <c r="AQ749" s="84"/>
      <c r="AR749" s="84"/>
      <c r="AS749" s="84"/>
      <c r="AT749" s="84"/>
      <c r="AU749" s="84"/>
      <c r="AV749" s="84"/>
      <c r="AW749" s="84"/>
      <c r="AX749" s="84"/>
      <c r="AY749" s="84"/>
      <c r="AZ749" s="84"/>
      <c r="BA749" s="84"/>
      <c r="BB749" s="84"/>
      <c r="BC749" s="84"/>
      <c r="BD749" s="84"/>
      <c r="BE749" s="84"/>
      <c r="BF749" s="84"/>
      <c r="BG749" s="84"/>
      <c r="BH749" s="84"/>
      <c r="BI749" s="84"/>
      <c r="BJ749" s="84"/>
      <c r="BK749" s="84"/>
      <c r="BL749" s="84"/>
      <c r="BM749" s="84"/>
      <c r="BN749" s="84"/>
      <c r="BO749" s="84"/>
      <c r="BP749" s="84"/>
      <c r="BQ749" s="84"/>
      <c r="BR749" s="84"/>
    </row>
    <row r="750" spans="1:70" ht="15.75" customHeight="1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  <c r="AL750" s="84"/>
      <c r="AM750" s="84"/>
      <c r="AN750" s="84"/>
      <c r="AO750" s="84"/>
      <c r="AP750" s="84"/>
      <c r="AQ750" s="84"/>
      <c r="AR750" s="84"/>
      <c r="AS750" s="84"/>
      <c r="AT750" s="84"/>
      <c r="AU750" s="84"/>
      <c r="AV750" s="84"/>
      <c r="AW750" s="84"/>
      <c r="AX750" s="84"/>
      <c r="AY750" s="84"/>
      <c r="AZ750" s="84"/>
      <c r="BA750" s="84"/>
      <c r="BB750" s="84"/>
      <c r="BC750" s="84"/>
      <c r="BD750" s="84"/>
      <c r="BE750" s="84"/>
      <c r="BF750" s="84"/>
      <c r="BG750" s="84"/>
      <c r="BH750" s="84"/>
      <c r="BI750" s="84"/>
      <c r="BJ750" s="84"/>
      <c r="BK750" s="84"/>
      <c r="BL750" s="84"/>
      <c r="BM750" s="84"/>
      <c r="BN750" s="84"/>
      <c r="BO750" s="84"/>
      <c r="BP750" s="84"/>
      <c r="BQ750" s="84"/>
      <c r="BR750" s="84"/>
    </row>
    <row r="751" spans="1:70" ht="15.75" customHeight="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  <c r="AL751" s="84"/>
      <c r="AM751" s="84"/>
      <c r="AN751" s="84"/>
      <c r="AO751" s="84"/>
      <c r="AP751" s="84"/>
      <c r="AQ751" s="84"/>
      <c r="AR751" s="84"/>
      <c r="AS751" s="84"/>
      <c r="AT751" s="84"/>
      <c r="AU751" s="84"/>
      <c r="AV751" s="84"/>
      <c r="AW751" s="84"/>
      <c r="AX751" s="84"/>
      <c r="AY751" s="84"/>
      <c r="AZ751" s="84"/>
      <c r="BA751" s="84"/>
      <c r="BB751" s="84"/>
      <c r="BC751" s="84"/>
      <c r="BD751" s="84"/>
      <c r="BE751" s="84"/>
      <c r="BF751" s="84"/>
      <c r="BG751" s="84"/>
      <c r="BH751" s="84"/>
      <c r="BI751" s="84"/>
      <c r="BJ751" s="84"/>
      <c r="BK751" s="84"/>
      <c r="BL751" s="84"/>
      <c r="BM751" s="84"/>
      <c r="BN751" s="84"/>
      <c r="BO751" s="84"/>
      <c r="BP751" s="84"/>
      <c r="BQ751" s="84"/>
      <c r="BR751" s="84"/>
    </row>
    <row r="752" spans="1:70" ht="15.75" customHeight="1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  <c r="AL752" s="84"/>
      <c r="AM752" s="84"/>
      <c r="AN752" s="84"/>
      <c r="AO752" s="84"/>
      <c r="AP752" s="84"/>
      <c r="AQ752" s="84"/>
      <c r="AR752" s="84"/>
      <c r="AS752" s="84"/>
      <c r="AT752" s="84"/>
      <c r="AU752" s="84"/>
      <c r="AV752" s="84"/>
      <c r="AW752" s="84"/>
      <c r="AX752" s="84"/>
      <c r="AY752" s="84"/>
      <c r="AZ752" s="84"/>
      <c r="BA752" s="84"/>
      <c r="BB752" s="84"/>
      <c r="BC752" s="84"/>
      <c r="BD752" s="84"/>
      <c r="BE752" s="84"/>
      <c r="BF752" s="84"/>
      <c r="BG752" s="84"/>
      <c r="BH752" s="84"/>
      <c r="BI752" s="84"/>
      <c r="BJ752" s="84"/>
      <c r="BK752" s="84"/>
      <c r="BL752" s="84"/>
      <c r="BM752" s="84"/>
      <c r="BN752" s="84"/>
      <c r="BO752" s="84"/>
      <c r="BP752" s="84"/>
      <c r="BQ752" s="84"/>
      <c r="BR752" s="84"/>
    </row>
    <row r="753" spans="1:70" ht="15.75" customHeight="1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  <c r="AL753" s="84"/>
      <c r="AM753" s="84"/>
      <c r="AN753" s="84"/>
      <c r="AO753" s="84"/>
      <c r="AP753" s="84"/>
      <c r="AQ753" s="84"/>
      <c r="AR753" s="84"/>
      <c r="AS753" s="84"/>
      <c r="AT753" s="84"/>
      <c r="AU753" s="84"/>
      <c r="AV753" s="84"/>
      <c r="AW753" s="84"/>
      <c r="AX753" s="84"/>
      <c r="AY753" s="84"/>
      <c r="AZ753" s="84"/>
      <c r="BA753" s="84"/>
      <c r="BB753" s="84"/>
      <c r="BC753" s="84"/>
      <c r="BD753" s="84"/>
      <c r="BE753" s="84"/>
      <c r="BF753" s="84"/>
      <c r="BG753" s="84"/>
      <c r="BH753" s="84"/>
      <c r="BI753" s="84"/>
      <c r="BJ753" s="84"/>
      <c r="BK753" s="84"/>
      <c r="BL753" s="84"/>
      <c r="BM753" s="84"/>
      <c r="BN753" s="84"/>
      <c r="BO753" s="84"/>
      <c r="BP753" s="84"/>
      <c r="BQ753" s="84"/>
      <c r="BR753" s="84"/>
    </row>
    <row r="754" spans="1:70" ht="15.75" customHeight="1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  <c r="AL754" s="84"/>
      <c r="AM754" s="84"/>
      <c r="AN754" s="84"/>
      <c r="AO754" s="84"/>
      <c r="AP754" s="84"/>
      <c r="AQ754" s="84"/>
      <c r="AR754" s="84"/>
      <c r="AS754" s="84"/>
      <c r="AT754" s="84"/>
      <c r="AU754" s="84"/>
      <c r="AV754" s="84"/>
      <c r="AW754" s="84"/>
      <c r="AX754" s="84"/>
      <c r="AY754" s="84"/>
      <c r="AZ754" s="84"/>
      <c r="BA754" s="84"/>
      <c r="BB754" s="84"/>
      <c r="BC754" s="84"/>
      <c r="BD754" s="84"/>
      <c r="BE754" s="84"/>
      <c r="BF754" s="84"/>
      <c r="BG754" s="84"/>
      <c r="BH754" s="84"/>
      <c r="BI754" s="84"/>
      <c r="BJ754" s="84"/>
      <c r="BK754" s="84"/>
      <c r="BL754" s="84"/>
      <c r="BM754" s="84"/>
      <c r="BN754" s="84"/>
      <c r="BO754" s="84"/>
      <c r="BP754" s="84"/>
      <c r="BQ754" s="84"/>
      <c r="BR754" s="84"/>
    </row>
    <row r="755" spans="1:70" ht="15.75" customHeight="1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  <c r="AL755" s="84"/>
      <c r="AM755" s="84"/>
      <c r="AN755" s="84"/>
      <c r="AO755" s="84"/>
      <c r="AP755" s="84"/>
      <c r="AQ755" s="84"/>
      <c r="AR755" s="84"/>
      <c r="AS755" s="84"/>
      <c r="AT755" s="84"/>
      <c r="AU755" s="84"/>
      <c r="AV755" s="84"/>
      <c r="AW755" s="84"/>
      <c r="AX755" s="84"/>
      <c r="AY755" s="84"/>
      <c r="AZ755" s="84"/>
      <c r="BA755" s="84"/>
      <c r="BB755" s="84"/>
      <c r="BC755" s="84"/>
      <c r="BD755" s="84"/>
      <c r="BE755" s="84"/>
      <c r="BF755" s="84"/>
      <c r="BG755" s="84"/>
      <c r="BH755" s="84"/>
      <c r="BI755" s="84"/>
      <c r="BJ755" s="84"/>
      <c r="BK755" s="84"/>
      <c r="BL755" s="84"/>
      <c r="BM755" s="84"/>
      <c r="BN755" s="84"/>
      <c r="BO755" s="84"/>
      <c r="BP755" s="84"/>
      <c r="BQ755" s="84"/>
      <c r="BR755" s="84"/>
    </row>
    <row r="756" spans="1:70" ht="15.75" customHeight="1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  <c r="AL756" s="84"/>
      <c r="AM756" s="84"/>
      <c r="AN756" s="84"/>
      <c r="AO756" s="84"/>
      <c r="AP756" s="84"/>
      <c r="AQ756" s="84"/>
      <c r="AR756" s="84"/>
      <c r="AS756" s="84"/>
      <c r="AT756" s="84"/>
      <c r="AU756" s="84"/>
      <c r="AV756" s="84"/>
      <c r="AW756" s="84"/>
      <c r="AX756" s="84"/>
      <c r="AY756" s="84"/>
      <c r="AZ756" s="84"/>
      <c r="BA756" s="84"/>
      <c r="BB756" s="84"/>
      <c r="BC756" s="84"/>
      <c r="BD756" s="84"/>
      <c r="BE756" s="84"/>
      <c r="BF756" s="84"/>
      <c r="BG756" s="84"/>
      <c r="BH756" s="84"/>
      <c r="BI756" s="84"/>
      <c r="BJ756" s="84"/>
      <c r="BK756" s="84"/>
      <c r="BL756" s="84"/>
      <c r="BM756" s="84"/>
      <c r="BN756" s="84"/>
      <c r="BO756" s="84"/>
      <c r="BP756" s="84"/>
      <c r="BQ756" s="84"/>
      <c r="BR756" s="84"/>
    </row>
    <row r="757" spans="1:70" ht="15.75" customHeight="1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  <c r="AL757" s="84"/>
      <c r="AM757" s="84"/>
      <c r="AN757" s="84"/>
      <c r="AO757" s="84"/>
      <c r="AP757" s="84"/>
      <c r="AQ757" s="84"/>
      <c r="AR757" s="84"/>
      <c r="AS757" s="84"/>
      <c r="AT757" s="84"/>
      <c r="AU757" s="84"/>
      <c r="AV757" s="84"/>
      <c r="AW757" s="84"/>
      <c r="AX757" s="84"/>
      <c r="AY757" s="84"/>
      <c r="AZ757" s="84"/>
      <c r="BA757" s="84"/>
      <c r="BB757" s="84"/>
      <c r="BC757" s="84"/>
      <c r="BD757" s="84"/>
      <c r="BE757" s="84"/>
      <c r="BF757" s="84"/>
      <c r="BG757" s="84"/>
      <c r="BH757" s="84"/>
      <c r="BI757" s="84"/>
      <c r="BJ757" s="84"/>
      <c r="BK757" s="84"/>
      <c r="BL757" s="84"/>
      <c r="BM757" s="84"/>
      <c r="BN757" s="84"/>
      <c r="BO757" s="84"/>
      <c r="BP757" s="84"/>
      <c r="BQ757" s="84"/>
      <c r="BR757" s="84"/>
    </row>
    <row r="758" spans="1:70" ht="15.75" customHeight="1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  <c r="AL758" s="84"/>
      <c r="AM758" s="84"/>
      <c r="AN758" s="84"/>
      <c r="AO758" s="84"/>
      <c r="AP758" s="84"/>
      <c r="AQ758" s="84"/>
      <c r="AR758" s="84"/>
      <c r="AS758" s="84"/>
      <c r="AT758" s="84"/>
      <c r="AU758" s="84"/>
      <c r="AV758" s="84"/>
      <c r="AW758" s="84"/>
      <c r="AX758" s="84"/>
      <c r="AY758" s="84"/>
      <c r="AZ758" s="84"/>
      <c r="BA758" s="84"/>
      <c r="BB758" s="84"/>
      <c r="BC758" s="84"/>
      <c r="BD758" s="84"/>
      <c r="BE758" s="84"/>
      <c r="BF758" s="84"/>
      <c r="BG758" s="84"/>
      <c r="BH758" s="84"/>
      <c r="BI758" s="84"/>
      <c r="BJ758" s="84"/>
      <c r="BK758" s="84"/>
      <c r="BL758" s="84"/>
      <c r="BM758" s="84"/>
      <c r="BN758" s="84"/>
      <c r="BO758" s="84"/>
      <c r="BP758" s="84"/>
      <c r="BQ758" s="84"/>
      <c r="BR758" s="84"/>
    </row>
    <row r="759" spans="1:70" ht="15.75" customHeight="1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  <c r="AL759" s="84"/>
      <c r="AM759" s="84"/>
      <c r="AN759" s="84"/>
      <c r="AO759" s="84"/>
      <c r="AP759" s="84"/>
      <c r="AQ759" s="84"/>
      <c r="AR759" s="84"/>
      <c r="AS759" s="84"/>
      <c r="AT759" s="84"/>
      <c r="AU759" s="84"/>
      <c r="AV759" s="84"/>
      <c r="AW759" s="84"/>
      <c r="AX759" s="84"/>
      <c r="AY759" s="84"/>
      <c r="AZ759" s="84"/>
      <c r="BA759" s="84"/>
      <c r="BB759" s="84"/>
      <c r="BC759" s="84"/>
      <c r="BD759" s="84"/>
      <c r="BE759" s="84"/>
      <c r="BF759" s="84"/>
      <c r="BG759" s="84"/>
      <c r="BH759" s="84"/>
      <c r="BI759" s="84"/>
      <c r="BJ759" s="84"/>
      <c r="BK759" s="84"/>
      <c r="BL759" s="84"/>
      <c r="BM759" s="84"/>
      <c r="BN759" s="84"/>
      <c r="BO759" s="84"/>
      <c r="BP759" s="84"/>
      <c r="BQ759" s="84"/>
      <c r="BR759" s="84"/>
    </row>
    <row r="760" spans="1:70" ht="15.75" customHeight="1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  <c r="AL760" s="84"/>
      <c r="AM760" s="84"/>
      <c r="AN760" s="84"/>
      <c r="AO760" s="84"/>
      <c r="AP760" s="84"/>
      <c r="AQ760" s="84"/>
      <c r="AR760" s="84"/>
      <c r="AS760" s="84"/>
      <c r="AT760" s="84"/>
      <c r="AU760" s="84"/>
      <c r="AV760" s="84"/>
      <c r="AW760" s="84"/>
      <c r="AX760" s="84"/>
      <c r="AY760" s="84"/>
      <c r="AZ760" s="84"/>
      <c r="BA760" s="84"/>
      <c r="BB760" s="84"/>
      <c r="BC760" s="84"/>
      <c r="BD760" s="84"/>
      <c r="BE760" s="84"/>
      <c r="BF760" s="84"/>
      <c r="BG760" s="84"/>
      <c r="BH760" s="84"/>
      <c r="BI760" s="84"/>
      <c r="BJ760" s="84"/>
      <c r="BK760" s="84"/>
      <c r="BL760" s="84"/>
      <c r="BM760" s="84"/>
      <c r="BN760" s="84"/>
      <c r="BO760" s="84"/>
      <c r="BP760" s="84"/>
      <c r="BQ760" s="84"/>
      <c r="BR760" s="84"/>
    </row>
    <row r="761" spans="1:70" ht="15.75" customHeight="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  <c r="AL761" s="84"/>
      <c r="AM761" s="84"/>
      <c r="AN761" s="84"/>
      <c r="AO761" s="84"/>
      <c r="AP761" s="84"/>
      <c r="AQ761" s="84"/>
      <c r="AR761" s="84"/>
      <c r="AS761" s="84"/>
      <c r="AT761" s="84"/>
      <c r="AU761" s="84"/>
      <c r="AV761" s="84"/>
      <c r="AW761" s="84"/>
      <c r="AX761" s="84"/>
      <c r="AY761" s="84"/>
      <c r="AZ761" s="84"/>
      <c r="BA761" s="84"/>
      <c r="BB761" s="84"/>
      <c r="BC761" s="84"/>
      <c r="BD761" s="84"/>
      <c r="BE761" s="84"/>
      <c r="BF761" s="84"/>
      <c r="BG761" s="84"/>
      <c r="BH761" s="84"/>
      <c r="BI761" s="84"/>
      <c r="BJ761" s="84"/>
      <c r="BK761" s="84"/>
      <c r="BL761" s="84"/>
      <c r="BM761" s="84"/>
      <c r="BN761" s="84"/>
      <c r="BO761" s="84"/>
      <c r="BP761" s="84"/>
      <c r="BQ761" s="84"/>
      <c r="BR761" s="84"/>
    </row>
    <row r="762" spans="1:70" ht="15.75" customHeight="1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  <c r="AL762" s="84"/>
      <c r="AM762" s="84"/>
      <c r="AN762" s="84"/>
      <c r="AO762" s="84"/>
      <c r="AP762" s="84"/>
      <c r="AQ762" s="84"/>
      <c r="AR762" s="84"/>
      <c r="AS762" s="84"/>
      <c r="AT762" s="84"/>
      <c r="AU762" s="84"/>
      <c r="AV762" s="84"/>
      <c r="AW762" s="84"/>
      <c r="AX762" s="84"/>
      <c r="AY762" s="84"/>
      <c r="AZ762" s="84"/>
      <c r="BA762" s="84"/>
      <c r="BB762" s="84"/>
      <c r="BC762" s="84"/>
      <c r="BD762" s="84"/>
      <c r="BE762" s="84"/>
      <c r="BF762" s="84"/>
      <c r="BG762" s="84"/>
      <c r="BH762" s="84"/>
      <c r="BI762" s="84"/>
      <c r="BJ762" s="84"/>
      <c r="BK762" s="84"/>
      <c r="BL762" s="84"/>
      <c r="BM762" s="84"/>
      <c r="BN762" s="84"/>
      <c r="BO762" s="84"/>
      <c r="BP762" s="84"/>
      <c r="BQ762" s="84"/>
      <c r="BR762" s="84"/>
    </row>
    <row r="763" spans="1:70" ht="15.75" customHeight="1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  <c r="AL763" s="84"/>
      <c r="AM763" s="84"/>
      <c r="AN763" s="84"/>
      <c r="AO763" s="84"/>
      <c r="AP763" s="84"/>
      <c r="AQ763" s="84"/>
      <c r="AR763" s="84"/>
      <c r="AS763" s="84"/>
      <c r="AT763" s="84"/>
      <c r="AU763" s="84"/>
      <c r="AV763" s="84"/>
      <c r="AW763" s="84"/>
      <c r="AX763" s="84"/>
      <c r="AY763" s="84"/>
      <c r="AZ763" s="84"/>
      <c r="BA763" s="84"/>
      <c r="BB763" s="84"/>
      <c r="BC763" s="84"/>
      <c r="BD763" s="84"/>
      <c r="BE763" s="84"/>
      <c r="BF763" s="84"/>
      <c r="BG763" s="84"/>
      <c r="BH763" s="84"/>
      <c r="BI763" s="84"/>
      <c r="BJ763" s="84"/>
      <c r="BK763" s="84"/>
      <c r="BL763" s="84"/>
      <c r="BM763" s="84"/>
      <c r="BN763" s="84"/>
      <c r="BO763" s="84"/>
      <c r="BP763" s="84"/>
      <c r="BQ763" s="84"/>
      <c r="BR763" s="84"/>
    </row>
    <row r="764" spans="1:70" ht="15.75" customHeight="1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  <c r="AL764" s="84"/>
      <c r="AM764" s="84"/>
      <c r="AN764" s="84"/>
      <c r="AO764" s="84"/>
      <c r="AP764" s="84"/>
      <c r="AQ764" s="84"/>
      <c r="AR764" s="84"/>
      <c r="AS764" s="84"/>
      <c r="AT764" s="84"/>
      <c r="AU764" s="84"/>
      <c r="AV764" s="84"/>
      <c r="AW764" s="84"/>
      <c r="AX764" s="84"/>
      <c r="AY764" s="84"/>
      <c r="AZ764" s="84"/>
      <c r="BA764" s="84"/>
      <c r="BB764" s="84"/>
      <c r="BC764" s="84"/>
      <c r="BD764" s="84"/>
      <c r="BE764" s="84"/>
      <c r="BF764" s="84"/>
      <c r="BG764" s="84"/>
      <c r="BH764" s="84"/>
      <c r="BI764" s="84"/>
      <c r="BJ764" s="84"/>
      <c r="BK764" s="84"/>
      <c r="BL764" s="84"/>
      <c r="BM764" s="84"/>
      <c r="BN764" s="84"/>
      <c r="BO764" s="84"/>
      <c r="BP764" s="84"/>
      <c r="BQ764" s="84"/>
      <c r="BR764" s="84"/>
    </row>
    <row r="765" spans="1:70" ht="15.75" customHeight="1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  <c r="AL765" s="84"/>
      <c r="AM765" s="84"/>
      <c r="AN765" s="84"/>
      <c r="AO765" s="84"/>
      <c r="AP765" s="84"/>
      <c r="AQ765" s="84"/>
      <c r="AR765" s="84"/>
      <c r="AS765" s="84"/>
      <c r="AT765" s="84"/>
      <c r="AU765" s="84"/>
      <c r="AV765" s="84"/>
      <c r="AW765" s="84"/>
      <c r="AX765" s="84"/>
      <c r="AY765" s="84"/>
      <c r="AZ765" s="84"/>
      <c r="BA765" s="84"/>
      <c r="BB765" s="84"/>
      <c r="BC765" s="84"/>
      <c r="BD765" s="84"/>
      <c r="BE765" s="84"/>
      <c r="BF765" s="84"/>
      <c r="BG765" s="84"/>
      <c r="BH765" s="84"/>
      <c r="BI765" s="84"/>
      <c r="BJ765" s="84"/>
      <c r="BK765" s="84"/>
      <c r="BL765" s="84"/>
      <c r="BM765" s="84"/>
      <c r="BN765" s="84"/>
      <c r="BO765" s="84"/>
      <c r="BP765" s="84"/>
      <c r="BQ765" s="84"/>
      <c r="BR765" s="84"/>
    </row>
    <row r="766" spans="1:70" ht="15.75" customHeight="1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  <c r="AL766" s="84"/>
      <c r="AM766" s="84"/>
      <c r="AN766" s="84"/>
      <c r="AO766" s="84"/>
      <c r="AP766" s="84"/>
      <c r="AQ766" s="84"/>
      <c r="AR766" s="84"/>
      <c r="AS766" s="84"/>
      <c r="AT766" s="84"/>
      <c r="AU766" s="84"/>
      <c r="AV766" s="84"/>
      <c r="AW766" s="84"/>
      <c r="AX766" s="84"/>
      <c r="AY766" s="84"/>
      <c r="AZ766" s="84"/>
      <c r="BA766" s="84"/>
      <c r="BB766" s="84"/>
      <c r="BC766" s="84"/>
      <c r="BD766" s="84"/>
      <c r="BE766" s="84"/>
      <c r="BF766" s="84"/>
      <c r="BG766" s="84"/>
      <c r="BH766" s="84"/>
      <c r="BI766" s="84"/>
      <c r="BJ766" s="84"/>
      <c r="BK766" s="84"/>
      <c r="BL766" s="84"/>
      <c r="BM766" s="84"/>
      <c r="BN766" s="84"/>
      <c r="BO766" s="84"/>
      <c r="BP766" s="84"/>
      <c r="BQ766" s="84"/>
      <c r="BR766" s="84"/>
    </row>
    <row r="767" spans="1:70" ht="15.75" customHeight="1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  <c r="AL767" s="84"/>
      <c r="AM767" s="84"/>
      <c r="AN767" s="84"/>
      <c r="AO767" s="84"/>
      <c r="AP767" s="84"/>
      <c r="AQ767" s="84"/>
      <c r="AR767" s="84"/>
      <c r="AS767" s="84"/>
      <c r="AT767" s="84"/>
      <c r="AU767" s="84"/>
      <c r="AV767" s="84"/>
      <c r="AW767" s="84"/>
      <c r="AX767" s="84"/>
      <c r="AY767" s="84"/>
      <c r="AZ767" s="84"/>
      <c r="BA767" s="84"/>
      <c r="BB767" s="84"/>
      <c r="BC767" s="84"/>
      <c r="BD767" s="84"/>
      <c r="BE767" s="84"/>
      <c r="BF767" s="84"/>
      <c r="BG767" s="84"/>
      <c r="BH767" s="84"/>
      <c r="BI767" s="84"/>
      <c r="BJ767" s="84"/>
      <c r="BK767" s="84"/>
      <c r="BL767" s="84"/>
      <c r="BM767" s="84"/>
      <c r="BN767" s="84"/>
      <c r="BO767" s="84"/>
      <c r="BP767" s="84"/>
      <c r="BQ767" s="84"/>
      <c r="BR767" s="84"/>
    </row>
    <row r="768" spans="1:70" ht="15.75" customHeight="1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  <c r="AL768" s="84"/>
      <c r="AM768" s="84"/>
      <c r="AN768" s="84"/>
      <c r="AO768" s="84"/>
      <c r="AP768" s="84"/>
      <c r="AQ768" s="84"/>
      <c r="AR768" s="84"/>
      <c r="AS768" s="84"/>
      <c r="AT768" s="84"/>
      <c r="AU768" s="84"/>
      <c r="AV768" s="84"/>
      <c r="AW768" s="84"/>
      <c r="AX768" s="84"/>
      <c r="AY768" s="84"/>
      <c r="AZ768" s="84"/>
      <c r="BA768" s="84"/>
      <c r="BB768" s="84"/>
      <c r="BC768" s="84"/>
      <c r="BD768" s="84"/>
      <c r="BE768" s="84"/>
      <c r="BF768" s="84"/>
      <c r="BG768" s="84"/>
      <c r="BH768" s="84"/>
      <c r="BI768" s="84"/>
      <c r="BJ768" s="84"/>
      <c r="BK768" s="84"/>
      <c r="BL768" s="84"/>
      <c r="BM768" s="84"/>
      <c r="BN768" s="84"/>
      <c r="BO768" s="84"/>
      <c r="BP768" s="84"/>
      <c r="BQ768" s="84"/>
      <c r="BR768" s="84"/>
    </row>
    <row r="769" spans="1:70" ht="15.75" customHeight="1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  <c r="AL769" s="84"/>
      <c r="AM769" s="84"/>
      <c r="AN769" s="84"/>
      <c r="AO769" s="84"/>
      <c r="AP769" s="84"/>
      <c r="AQ769" s="84"/>
      <c r="AR769" s="84"/>
      <c r="AS769" s="84"/>
      <c r="AT769" s="84"/>
      <c r="AU769" s="84"/>
      <c r="AV769" s="84"/>
      <c r="AW769" s="84"/>
      <c r="AX769" s="84"/>
      <c r="AY769" s="84"/>
      <c r="AZ769" s="84"/>
      <c r="BA769" s="84"/>
      <c r="BB769" s="84"/>
      <c r="BC769" s="84"/>
      <c r="BD769" s="84"/>
      <c r="BE769" s="84"/>
      <c r="BF769" s="84"/>
      <c r="BG769" s="84"/>
      <c r="BH769" s="84"/>
      <c r="BI769" s="84"/>
      <c r="BJ769" s="84"/>
      <c r="BK769" s="84"/>
      <c r="BL769" s="84"/>
      <c r="BM769" s="84"/>
      <c r="BN769" s="84"/>
      <c r="BO769" s="84"/>
      <c r="BP769" s="84"/>
      <c r="BQ769" s="84"/>
      <c r="BR769" s="84"/>
    </row>
    <row r="770" spans="1:70" ht="15.75" customHeight="1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  <c r="AL770" s="84"/>
      <c r="AM770" s="84"/>
      <c r="AN770" s="84"/>
      <c r="AO770" s="84"/>
      <c r="AP770" s="84"/>
      <c r="AQ770" s="84"/>
      <c r="AR770" s="84"/>
      <c r="AS770" s="84"/>
      <c r="AT770" s="84"/>
      <c r="AU770" s="84"/>
      <c r="AV770" s="84"/>
      <c r="AW770" s="84"/>
      <c r="AX770" s="84"/>
      <c r="AY770" s="84"/>
      <c r="AZ770" s="84"/>
      <c r="BA770" s="84"/>
      <c r="BB770" s="84"/>
      <c r="BC770" s="84"/>
      <c r="BD770" s="84"/>
      <c r="BE770" s="84"/>
      <c r="BF770" s="84"/>
      <c r="BG770" s="84"/>
      <c r="BH770" s="84"/>
      <c r="BI770" s="84"/>
      <c r="BJ770" s="84"/>
      <c r="BK770" s="84"/>
      <c r="BL770" s="84"/>
      <c r="BM770" s="84"/>
      <c r="BN770" s="84"/>
      <c r="BO770" s="84"/>
      <c r="BP770" s="84"/>
      <c r="BQ770" s="84"/>
      <c r="BR770" s="84"/>
    </row>
    <row r="771" spans="1:70" ht="15.75" customHeight="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  <c r="AL771" s="84"/>
      <c r="AM771" s="84"/>
      <c r="AN771" s="84"/>
      <c r="AO771" s="84"/>
      <c r="AP771" s="84"/>
      <c r="AQ771" s="84"/>
      <c r="AR771" s="84"/>
      <c r="AS771" s="84"/>
      <c r="AT771" s="84"/>
      <c r="AU771" s="84"/>
      <c r="AV771" s="84"/>
      <c r="AW771" s="84"/>
      <c r="AX771" s="84"/>
      <c r="AY771" s="84"/>
      <c r="AZ771" s="84"/>
      <c r="BA771" s="84"/>
      <c r="BB771" s="84"/>
      <c r="BC771" s="84"/>
      <c r="BD771" s="84"/>
      <c r="BE771" s="84"/>
      <c r="BF771" s="84"/>
      <c r="BG771" s="84"/>
      <c r="BH771" s="84"/>
      <c r="BI771" s="84"/>
      <c r="BJ771" s="84"/>
      <c r="BK771" s="84"/>
      <c r="BL771" s="84"/>
      <c r="BM771" s="84"/>
      <c r="BN771" s="84"/>
      <c r="BO771" s="84"/>
      <c r="BP771" s="84"/>
      <c r="BQ771" s="84"/>
      <c r="BR771" s="84"/>
    </row>
    <row r="772" spans="1:70" ht="15.75" customHeight="1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  <c r="AL772" s="84"/>
      <c r="AM772" s="84"/>
      <c r="AN772" s="84"/>
      <c r="AO772" s="84"/>
      <c r="AP772" s="84"/>
      <c r="AQ772" s="84"/>
      <c r="AR772" s="84"/>
      <c r="AS772" s="84"/>
      <c r="AT772" s="84"/>
      <c r="AU772" s="84"/>
      <c r="AV772" s="84"/>
      <c r="AW772" s="84"/>
      <c r="AX772" s="84"/>
      <c r="AY772" s="84"/>
      <c r="AZ772" s="84"/>
      <c r="BA772" s="84"/>
      <c r="BB772" s="84"/>
      <c r="BC772" s="84"/>
      <c r="BD772" s="84"/>
      <c r="BE772" s="84"/>
      <c r="BF772" s="84"/>
      <c r="BG772" s="84"/>
      <c r="BH772" s="84"/>
      <c r="BI772" s="84"/>
      <c r="BJ772" s="84"/>
      <c r="BK772" s="84"/>
      <c r="BL772" s="84"/>
      <c r="BM772" s="84"/>
      <c r="BN772" s="84"/>
      <c r="BO772" s="84"/>
      <c r="BP772" s="84"/>
      <c r="BQ772" s="84"/>
      <c r="BR772" s="84"/>
    </row>
    <row r="773" spans="1:70" ht="15.75" customHeight="1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  <c r="AL773" s="84"/>
      <c r="AM773" s="84"/>
      <c r="AN773" s="84"/>
      <c r="AO773" s="84"/>
      <c r="AP773" s="84"/>
      <c r="AQ773" s="84"/>
      <c r="AR773" s="84"/>
      <c r="AS773" s="84"/>
      <c r="AT773" s="84"/>
      <c r="AU773" s="84"/>
      <c r="AV773" s="84"/>
      <c r="AW773" s="84"/>
      <c r="AX773" s="84"/>
      <c r="AY773" s="84"/>
      <c r="AZ773" s="84"/>
      <c r="BA773" s="84"/>
      <c r="BB773" s="84"/>
      <c r="BC773" s="84"/>
      <c r="BD773" s="84"/>
      <c r="BE773" s="84"/>
      <c r="BF773" s="84"/>
      <c r="BG773" s="84"/>
      <c r="BH773" s="84"/>
      <c r="BI773" s="84"/>
      <c r="BJ773" s="84"/>
      <c r="BK773" s="84"/>
      <c r="BL773" s="84"/>
      <c r="BM773" s="84"/>
      <c r="BN773" s="84"/>
      <c r="BO773" s="84"/>
      <c r="BP773" s="84"/>
      <c r="BQ773" s="84"/>
      <c r="BR773" s="84"/>
    </row>
    <row r="774" spans="1:70" ht="15.75" customHeight="1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  <c r="AL774" s="84"/>
      <c r="AM774" s="84"/>
      <c r="AN774" s="84"/>
      <c r="AO774" s="84"/>
      <c r="AP774" s="84"/>
      <c r="AQ774" s="84"/>
      <c r="AR774" s="84"/>
      <c r="AS774" s="84"/>
      <c r="AT774" s="84"/>
      <c r="AU774" s="84"/>
      <c r="AV774" s="84"/>
      <c r="AW774" s="84"/>
      <c r="AX774" s="84"/>
      <c r="AY774" s="84"/>
      <c r="AZ774" s="84"/>
      <c r="BA774" s="84"/>
      <c r="BB774" s="84"/>
      <c r="BC774" s="84"/>
      <c r="BD774" s="84"/>
      <c r="BE774" s="84"/>
      <c r="BF774" s="84"/>
      <c r="BG774" s="84"/>
      <c r="BH774" s="84"/>
      <c r="BI774" s="84"/>
      <c r="BJ774" s="84"/>
      <c r="BK774" s="84"/>
      <c r="BL774" s="84"/>
      <c r="BM774" s="84"/>
      <c r="BN774" s="84"/>
      <c r="BO774" s="84"/>
      <c r="BP774" s="84"/>
      <c r="BQ774" s="84"/>
      <c r="BR774" s="84"/>
    </row>
    <row r="775" spans="1:70" ht="15.75" customHeight="1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  <c r="AL775" s="84"/>
      <c r="AM775" s="84"/>
      <c r="AN775" s="84"/>
      <c r="AO775" s="84"/>
      <c r="AP775" s="84"/>
      <c r="AQ775" s="84"/>
      <c r="AR775" s="84"/>
      <c r="AS775" s="84"/>
      <c r="AT775" s="84"/>
      <c r="AU775" s="84"/>
      <c r="AV775" s="84"/>
      <c r="AW775" s="84"/>
      <c r="AX775" s="84"/>
      <c r="AY775" s="84"/>
      <c r="AZ775" s="84"/>
      <c r="BA775" s="84"/>
      <c r="BB775" s="84"/>
      <c r="BC775" s="84"/>
      <c r="BD775" s="84"/>
      <c r="BE775" s="84"/>
      <c r="BF775" s="84"/>
      <c r="BG775" s="84"/>
      <c r="BH775" s="84"/>
      <c r="BI775" s="84"/>
      <c r="BJ775" s="84"/>
      <c r="BK775" s="84"/>
      <c r="BL775" s="84"/>
      <c r="BM775" s="84"/>
      <c r="BN775" s="84"/>
      <c r="BO775" s="84"/>
      <c r="BP775" s="84"/>
      <c r="BQ775" s="84"/>
      <c r="BR775" s="84"/>
    </row>
    <row r="776" spans="1:70" ht="15.75" customHeight="1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  <c r="AL776" s="84"/>
      <c r="AM776" s="84"/>
      <c r="AN776" s="84"/>
      <c r="AO776" s="84"/>
      <c r="AP776" s="84"/>
      <c r="AQ776" s="84"/>
      <c r="AR776" s="84"/>
      <c r="AS776" s="84"/>
      <c r="AT776" s="84"/>
      <c r="AU776" s="84"/>
      <c r="AV776" s="84"/>
      <c r="AW776" s="84"/>
      <c r="AX776" s="84"/>
      <c r="AY776" s="84"/>
      <c r="AZ776" s="84"/>
      <c r="BA776" s="84"/>
      <c r="BB776" s="84"/>
      <c r="BC776" s="84"/>
      <c r="BD776" s="84"/>
      <c r="BE776" s="84"/>
      <c r="BF776" s="84"/>
      <c r="BG776" s="84"/>
      <c r="BH776" s="84"/>
      <c r="BI776" s="84"/>
      <c r="BJ776" s="84"/>
      <c r="BK776" s="84"/>
      <c r="BL776" s="84"/>
      <c r="BM776" s="84"/>
      <c r="BN776" s="84"/>
      <c r="BO776" s="84"/>
      <c r="BP776" s="84"/>
      <c r="BQ776" s="84"/>
      <c r="BR776" s="84"/>
    </row>
    <row r="777" spans="1:70" ht="15.75" customHeight="1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  <c r="AL777" s="84"/>
      <c r="AM777" s="84"/>
      <c r="AN777" s="84"/>
      <c r="AO777" s="84"/>
      <c r="AP777" s="84"/>
      <c r="AQ777" s="84"/>
      <c r="AR777" s="84"/>
      <c r="AS777" s="84"/>
      <c r="AT777" s="84"/>
      <c r="AU777" s="84"/>
      <c r="AV777" s="84"/>
      <c r="AW777" s="84"/>
      <c r="AX777" s="84"/>
      <c r="AY777" s="84"/>
      <c r="AZ777" s="84"/>
      <c r="BA777" s="84"/>
      <c r="BB777" s="84"/>
      <c r="BC777" s="84"/>
      <c r="BD777" s="84"/>
      <c r="BE777" s="84"/>
      <c r="BF777" s="84"/>
      <c r="BG777" s="84"/>
      <c r="BH777" s="84"/>
      <c r="BI777" s="84"/>
      <c r="BJ777" s="84"/>
      <c r="BK777" s="84"/>
      <c r="BL777" s="84"/>
      <c r="BM777" s="84"/>
      <c r="BN777" s="84"/>
      <c r="BO777" s="84"/>
      <c r="BP777" s="84"/>
      <c r="BQ777" s="84"/>
      <c r="BR777" s="84"/>
    </row>
    <row r="778" spans="1:70" ht="15.75" customHeight="1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  <c r="AL778" s="84"/>
      <c r="AM778" s="84"/>
      <c r="AN778" s="84"/>
      <c r="AO778" s="84"/>
      <c r="AP778" s="84"/>
      <c r="AQ778" s="84"/>
      <c r="AR778" s="84"/>
      <c r="AS778" s="84"/>
      <c r="AT778" s="84"/>
      <c r="AU778" s="84"/>
      <c r="AV778" s="84"/>
      <c r="AW778" s="84"/>
      <c r="AX778" s="84"/>
      <c r="AY778" s="84"/>
      <c r="AZ778" s="84"/>
      <c r="BA778" s="84"/>
      <c r="BB778" s="84"/>
      <c r="BC778" s="84"/>
      <c r="BD778" s="84"/>
      <c r="BE778" s="84"/>
      <c r="BF778" s="84"/>
      <c r="BG778" s="84"/>
      <c r="BH778" s="84"/>
      <c r="BI778" s="84"/>
      <c r="BJ778" s="84"/>
      <c r="BK778" s="84"/>
      <c r="BL778" s="84"/>
      <c r="BM778" s="84"/>
      <c r="BN778" s="84"/>
      <c r="BO778" s="84"/>
      <c r="BP778" s="84"/>
      <c r="BQ778" s="84"/>
      <c r="BR778" s="84"/>
    </row>
    <row r="779" spans="1:70" ht="15.75" customHeight="1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  <c r="AL779" s="84"/>
      <c r="AM779" s="84"/>
      <c r="AN779" s="84"/>
      <c r="AO779" s="84"/>
      <c r="AP779" s="84"/>
      <c r="AQ779" s="84"/>
      <c r="AR779" s="84"/>
      <c r="AS779" s="84"/>
      <c r="AT779" s="84"/>
      <c r="AU779" s="84"/>
      <c r="AV779" s="84"/>
      <c r="AW779" s="84"/>
      <c r="AX779" s="84"/>
      <c r="AY779" s="84"/>
      <c r="AZ779" s="84"/>
      <c r="BA779" s="84"/>
      <c r="BB779" s="84"/>
      <c r="BC779" s="84"/>
      <c r="BD779" s="84"/>
      <c r="BE779" s="84"/>
      <c r="BF779" s="84"/>
      <c r="BG779" s="84"/>
      <c r="BH779" s="84"/>
      <c r="BI779" s="84"/>
      <c r="BJ779" s="84"/>
      <c r="BK779" s="84"/>
      <c r="BL779" s="84"/>
      <c r="BM779" s="84"/>
      <c r="BN779" s="84"/>
      <c r="BO779" s="84"/>
      <c r="BP779" s="84"/>
      <c r="BQ779" s="84"/>
      <c r="BR779" s="84"/>
    </row>
    <row r="780" spans="1:70" ht="15.75" customHeight="1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  <c r="AL780" s="84"/>
      <c r="AM780" s="84"/>
      <c r="AN780" s="84"/>
      <c r="AO780" s="84"/>
      <c r="AP780" s="84"/>
      <c r="AQ780" s="84"/>
      <c r="AR780" s="84"/>
      <c r="AS780" s="84"/>
      <c r="AT780" s="84"/>
      <c r="AU780" s="84"/>
      <c r="AV780" s="84"/>
      <c r="AW780" s="84"/>
      <c r="AX780" s="84"/>
      <c r="AY780" s="84"/>
      <c r="AZ780" s="84"/>
      <c r="BA780" s="84"/>
      <c r="BB780" s="84"/>
      <c r="BC780" s="84"/>
      <c r="BD780" s="84"/>
      <c r="BE780" s="84"/>
      <c r="BF780" s="84"/>
      <c r="BG780" s="84"/>
      <c r="BH780" s="84"/>
      <c r="BI780" s="84"/>
      <c r="BJ780" s="84"/>
      <c r="BK780" s="84"/>
      <c r="BL780" s="84"/>
      <c r="BM780" s="84"/>
      <c r="BN780" s="84"/>
      <c r="BO780" s="84"/>
      <c r="BP780" s="84"/>
      <c r="BQ780" s="84"/>
      <c r="BR780" s="84"/>
    </row>
    <row r="781" spans="1:70" ht="15.75" customHeight="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  <c r="AL781" s="84"/>
      <c r="AM781" s="84"/>
      <c r="AN781" s="84"/>
      <c r="AO781" s="84"/>
      <c r="AP781" s="84"/>
      <c r="AQ781" s="84"/>
      <c r="AR781" s="84"/>
      <c r="AS781" s="84"/>
      <c r="AT781" s="84"/>
      <c r="AU781" s="84"/>
      <c r="AV781" s="84"/>
      <c r="AW781" s="84"/>
      <c r="AX781" s="84"/>
      <c r="AY781" s="84"/>
      <c r="AZ781" s="84"/>
      <c r="BA781" s="84"/>
      <c r="BB781" s="84"/>
      <c r="BC781" s="84"/>
      <c r="BD781" s="84"/>
      <c r="BE781" s="84"/>
      <c r="BF781" s="84"/>
      <c r="BG781" s="84"/>
      <c r="BH781" s="84"/>
      <c r="BI781" s="84"/>
      <c r="BJ781" s="84"/>
      <c r="BK781" s="84"/>
      <c r="BL781" s="84"/>
      <c r="BM781" s="84"/>
      <c r="BN781" s="84"/>
      <c r="BO781" s="84"/>
      <c r="BP781" s="84"/>
      <c r="BQ781" s="84"/>
      <c r="BR781" s="84"/>
    </row>
    <row r="782" spans="1:70" ht="15.75" customHeight="1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  <c r="AL782" s="84"/>
      <c r="AM782" s="84"/>
      <c r="AN782" s="84"/>
      <c r="AO782" s="84"/>
      <c r="AP782" s="84"/>
      <c r="AQ782" s="84"/>
      <c r="AR782" s="84"/>
      <c r="AS782" s="84"/>
      <c r="AT782" s="84"/>
      <c r="AU782" s="84"/>
      <c r="AV782" s="84"/>
      <c r="AW782" s="84"/>
      <c r="AX782" s="84"/>
      <c r="AY782" s="84"/>
      <c r="AZ782" s="84"/>
      <c r="BA782" s="84"/>
      <c r="BB782" s="84"/>
      <c r="BC782" s="84"/>
      <c r="BD782" s="84"/>
      <c r="BE782" s="84"/>
      <c r="BF782" s="84"/>
      <c r="BG782" s="84"/>
      <c r="BH782" s="84"/>
      <c r="BI782" s="84"/>
      <c r="BJ782" s="84"/>
      <c r="BK782" s="84"/>
      <c r="BL782" s="84"/>
      <c r="BM782" s="84"/>
      <c r="BN782" s="84"/>
      <c r="BO782" s="84"/>
      <c r="BP782" s="84"/>
      <c r="BQ782" s="84"/>
      <c r="BR782" s="84"/>
    </row>
    <row r="783" spans="1:70" ht="15.75" customHeight="1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  <c r="AL783" s="84"/>
      <c r="AM783" s="84"/>
      <c r="AN783" s="84"/>
      <c r="AO783" s="84"/>
      <c r="AP783" s="84"/>
      <c r="AQ783" s="84"/>
      <c r="AR783" s="84"/>
      <c r="AS783" s="84"/>
      <c r="AT783" s="84"/>
      <c r="AU783" s="84"/>
      <c r="AV783" s="84"/>
      <c r="AW783" s="84"/>
      <c r="AX783" s="84"/>
      <c r="AY783" s="84"/>
      <c r="AZ783" s="84"/>
      <c r="BA783" s="84"/>
      <c r="BB783" s="84"/>
      <c r="BC783" s="84"/>
      <c r="BD783" s="84"/>
      <c r="BE783" s="84"/>
      <c r="BF783" s="84"/>
      <c r="BG783" s="84"/>
      <c r="BH783" s="84"/>
      <c r="BI783" s="84"/>
      <c r="BJ783" s="84"/>
      <c r="BK783" s="84"/>
      <c r="BL783" s="84"/>
      <c r="BM783" s="84"/>
      <c r="BN783" s="84"/>
      <c r="BO783" s="84"/>
      <c r="BP783" s="84"/>
      <c r="BQ783" s="84"/>
      <c r="BR783" s="84"/>
    </row>
    <row r="784" spans="1:70" ht="15.75" customHeight="1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  <c r="AL784" s="84"/>
      <c r="AM784" s="84"/>
      <c r="AN784" s="84"/>
      <c r="AO784" s="84"/>
      <c r="AP784" s="84"/>
      <c r="AQ784" s="84"/>
      <c r="AR784" s="84"/>
      <c r="AS784" s="84"/>
      <c r="AT784" s="84"/>
      <c r="AU784" s="84"/>
      <c r="AV784" s="84"/>
      <c r="AW784" s="84"/>
      <c r="AX784" s="84"/>
      <c r="AY784" s="84"/>
      <c r="AZ784" s="84"/>
      <c r="BA784" s="84"/>
      <c r="BB784" s="84"/>
      <c r="BC784" s="84"/>
      <c r="BD784" s="84"/>
      <c r="BE784" s="84"/>
      <c r="BF784" s="84"/>
      <c r="BG784" s="84"/>
      <c r="BH784" s="84"/>
      <c r="BI784" s="84"/>
      <c r="BJ784" s="84"/>
      <c r="BK784" s="84"/>
      <c r="BL784" s="84"/>
      <c r="BM784" s="84"/>
      <c r="BN784" s="84"/>
      <c r="BO784" s="84"/>
      <c r="BP784" s="84"/>
      <c r="BQ784" s="84"/>
      <c r="BR784" s="84"/>
    </row>
    <row r="785" spans="1:70" ht="15.75" customHeight="1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  <c r="AL785" s="84"/>
      <c r="AM785" s="84"/>
      <c r="AN785" s="84"/>
      <c r="AO785" s="84"/>
      <c r="AP785" s="84"/>
      <c r="AQ785" s="84"/>
      <c r="AR785" s="84"/>
      <c r="AS785" s="84"/>
      <c r="AT785" s="84"/>
      <c r="AU785" s="84"/>
      <c r="AV785" s="84"/>
      <c r="AW785" s="84"/>
      <c r="AX785" s="84"/>
      <c r="AY785" s="84"/>
      <c r="AZ785" s="84"/>
      <c r="BA785" s="84"/>
      <c r="BB785" s="84"/>
      <c r="BC785" s="84"/>
      <c r="BD785" s="84"/>
      <c r="BE785" s="84"/>
      <c r="BF785" s="84"/>
      <c r="BG785" s="84"/>
      <c r="BH785" s="84"/>
      <c r="BI785" s="84"/>
      <c r="BJ785" s="84"/>
      <c r="BK785" s="84"/>
      <c r="BL785" s="84"/>
      <c r="BM785" s="84"/>
      <c r="BN785" s="84"/>
      <c r="BO785" s="84"/>
      <c r="BP785" s="84"/>
      <c r="BQ785" s="84"/>
      <c r="BR785" s="84"/>
    </row>
    <row r="786" spans="1:70" ht="15.75" customHeight="1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  <c r="AL786" s="84"/>
      <c r="AM786" s="84"/>
      <c r="AN786" s="84"/>
      <c r="AO786" s="84"/>
      <c r="AP786" s="84"/>
      <c r="AQ786" s="84"/>
      <c r="AR786" s="84"/>
      <c r="AS786" s="84"/>
      <c r="AT786" s="84"/>
      <c r="AU786" s="84"/>
      <c r="AV786" s="84"/>
      <c r="AW786" s="84"/>
      <c r="AX786" s="84"/>
      <c r="AY786" s="84"/>
      <c r="AZ786" s="84"/>
      <c r="BA786" s="84"/>
      <c r="BB786" s="84"/>
      <c r="BC786" s="84"/>
      <c r="BD786" s="84"/>
      <c r="BE786" s="84"/>
      <c r="BF786" s="84"/>
      <c r="BG786" s="84"/>
      <c r="BH786" s="84"/>
      <c r="BI786" s="84"/>
      <c r="BJ786" s="84"/>
      <c r="BK786" s="84"/>
      <c r="BL786" s="84"/>
      <c r="BM786" s="84"/>
      <c r="BN786" s="84"/>
      <c r="BO786" s="84"/>
      <c r="BP786" s="84"/>
      <c r="BQ786" s="84"/>
      <c r="BR786" s="84"/>
    </row>
    <row r="787" spans="1:70" ht="15.75" customHeight="1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  <c r="AL787" s="84"/>
      <c r="AM787" s="84"/>
      <c r="AN787" s="84"/>
      <c r="AO787" s="84"/>
      <c r="AP787" s="84"/>
      <c r="AQ787" s="84"/>
      <c r="AR787" s="84"/>
      <c r="AS787" s="84"/>
      <c r="AT787" s="84"/>
      <c r="AU787" s="84"/>
      <c r="AV787" s="84"/>
      <c r="AW787" s="84"/>
      <c r="AX787" s="84"/>
      <c r="AY787" s="84"/>
      <c r="AZ787" s="84"/>
      <c r="BA787" s="84"/>
      <c r="BB787" s="84"/>
      <c r="BC787" s="84"/>
      <c r="BD787" s="84"/>
      <c r="BE787" s="84"/>
      <c r="BF787" s="84"/>
      <c r="BG787" s="84"/>
      <c r="BH787" s="84"/>
      <c r="BI787" s="84"/>
      <c r="BJ787" s="84"/>
      <c r="BK787" s="84"/>
      <c r="BL787" s="84"/>
      <c r="BM787" s="84"/>
      <c r="BN787" s="84"/>
      <c r="BO787" s="84"/>
      <c r="BP787" s="84"/>
      <c r="BQ787" s="84"/>
      <c r="BR787" s="84"/>
    </row>
    <row r="788" spans="1:70" ht="15.75" customHeight="1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  <c r="AL788" s="84"/>
      <c r="AM788" s="84"/>
      <c r="AN788" s="84"/>
      <c r="AO788" s="84"/>
      <c r="AP788" s="84"/>
      <c r="AQ788" s="84"/>
      <c r="AR788" s="84"/>
      <c r="AS788" s="84"/>
      <c r="AT788" s="84"/>
      <c r="AU788" s="84"/>
      <c r="AV788" s="84"/>
      <c r="AW788" s="84"/>
      <c r="AX788" s="84"/>
      <c r="AY788" s="84"/>
      <c r="AZ788" s="84"/>
      <c r="BA788" s="84"/>
      <c r="BB788" s="84"/>
      <c r="BC788" s="84"/>
      <c r="BD788" s="84"/>
      <c r="BE788" s="84"/>
      <c r="BF788" s="84"/>
      <c r="BG788" s="84"/>
      <c r="BH788" s="84"/>
      <c r="BI788" s="84"/>
      <c r="BJ788" s="84"/>
      <c r="BK788" s="84"/>
      <c r="BL788" s="84"/>
      <c r="BM788" s="84"/>
      <c r="BN788" s="84"/>
      <c r="BO788" s="84"/>
      <c r="BP788" s="84"/>
      <c r="BQ788" s="84"/>
      <c r="BR788" s="84"/>
    </row>
    <row r="789" spans="1:70" ht="15.75" customHeight="1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  <c r="AL789" s="84"/>
      <c r="AM789" s="84"/>
      <c r="AN789" s="84"/>
      <c r="AO789" s="84"/>
      <c r="AP789" s="84"/>
      <c r="AQ789" s="84"/>
      <c r="AR789" s="84"/>
      <c r="AS789" s="84"/>
      <c r="AT789" s="84"/>
      <c r="AU789" s="84"/>
      <c r="AV789" s="84"/>
      <c r="AW789" s="84"/>
      <c r="AX789" s="84"/>
      <c r="AY789" s="84"/>
      <c r="AZ789" s="84"/>
      <c r="BA789" s="84"/>
      <c r="BB789" s="84"/>
      <c r="BC789" s="84"/>
      <c r="BD789" s="84"/>
      <c r="BE789" s="84"/>
      <c r="BF789" s="84"/>
      <c r="BG789" s="84"/>
      <c r="BH789" s="84"/>
      <c r="BI789" s="84"/>
      <c r="BJ789" s="84"/>
      <c r="BK789" s="84"/>
      <c r="BL789" s="84"/>
      <c r="BM789" s="84"/>
      <c r="BN789" s="84"/>
      <c r="BO789" s="84"/>
      <c r="BP789" s="84"/>
      <c r="BQ789" s="84"/>
      <c r="BR789" s="84"/>
    </row>
    <row r="790" spans="1:70" ht="15.75" customHeight="1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  <c r="AL790" s="84"/>
      <c r="AM790" s="84"/>
      <c r="AN790" s="84"/>
      <c r="AO790" s="84"/>
      <c r="AP790" s="84"/>
      <c r="AQ790" s="84"/>
      <c r="AR790" s="84"/>
      <c r="AS790" s="84"/>
      <c r="AT790" s="84"/>
      <c r="AU790" s="84"/>
      <c r="AV790" s="84"/>
      <c r="AW790" s="84"/>
      <c r="AX790" s="84"/>
      <c r="AY790" s="84"/>
      <c r="AZ790" s="84"/>
      <c r="BA790" s="84"/>
      <c r="BB790" s="84"/>
      <c r="BC790" s="84"/>
      <c r="BD790" s="84"/>
      <c r="BE790" s="84"/>
      <c r="BF790" s="84"/>
      <c r="BG790" s="84"/>
      <c r="BH790" s="84"/>
      <c r="BI790" s="84"/>
      <c r="BJ790" s="84"/>
      <c r="BK790" s="84"/>
      <c r="BL790" s="84"/>
      <c r="BM790" s="84"/>
      <c r="BN790" s="84"/>
      <c r="BO790" s="84"/>
      <c r="BP790" s="84"/>
      <c r="BQ790" s="84"/>
      <c r="BR790" s="84"/>
    </row>
    <row r="791" spans="1:70" ht="15.75" customHeight="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  <c r="AL791" s="84"/>
      <c r="AM791" s="84"/>
      <c r="AN791" s="84"/>
      <c r="AO791" s="84"/>
      <c r="AP791" s="84"/>
      <c r="AQ791" s="84"/>
      <c r="AR791" s="84"/>
      <c r="AS791" s="84"/>
      <c r="AT791" s="84"/>
      <c r="AU791" s="84"/>
      <c r="AV791" s="84"/>
      <c r="AW791" s="84"/>
      <c r="AX791" s="84"/>
      <c r="AY791" s="84"/>
      <c r="AZ791" s="84"/>
      <c r="BA791" s="84"/>
      <c r="BB791" s="84"/>
      <c r="BC791" s="84"/>
      <c r="BD791" s="84"/>
      <c r="BE791" s="84"/>
      <c r="BF791" s="84"/>
      <c r="BG791" s="84"/>
      <c r="BH791" s="84"/>
      <c r="BI791" s="84"/>
      <c r="BJ791" s="84"/>
      <c r="BK791" s="84"/>
      <c r="BL791" s="84"/>
      <c r="BM791" s="84"/>
      <c r="BN791" s="84"/>
      <c r="BO791" s="84"/>
      <c r="BP791" s="84"/>
      <c r="BQ791" s="84"/>
      <c r="BR791" s="84"/>
    </row>
    <row r="792" spans="1:70" ht="15.75" customHeight="1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  <c r="AL792" s="84"/>
      <c r="AM792" s="84"/>
      <c r="AN792" s="84"/>
      <c r="AO792" s="84"/>
      <c r="AP792" s="84"/>
      <c r="AQ792" s="84"/>
      <c r="AR792" s="84"/>
      <c r="AS792" s="84"/>
      <c r="AT792" s="84"/>
      <c r="AU792" s="84"/>
      <c r="AV792" s="84"/>
      <c r="AW792" s="84"/>
      <c r="AX792" s="84"/>
      <c r="AY792" s="84"/>
      <c r="AZ792" s="84"/>
      <c r="BA792" s="84"/>
      <c r="BB792" s="84"/>
      <c r="BC792" s="84"/>
      <c r="BD792" s="84"/>
      <c r="BE792" s="84"/>
      <c r="BF792" s="84"/>
      <c r="BG792" s="84"/>
      <c r="BH792" s="84"/>
      <c r="BI792" s="84"/>
      <c r="BJ792" s="84"/>
      <c r="BK792" s="84"/>
      <c r="BL792" s="84"/>
      <c r="BM792" s="84"/>
      <c r="BN792" s="84"/>
      <c r="BO792" s="84"/>
      <c r="BP792" s="84"/>
      <c r="BQ792" s="84"/>
      <c r="BR792" s="84"/>
    </row>
    <row r="793" spans="1:70" ht="15.75" customHeight="1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  <c r="AL793" s="84"/>
      <c r="AM793" s="84"/>
      <c r="AN793" s="84"/>
      <c r="AO793" s="84"/>
      <c r="AP793" s="84"/>
      <c r="AQ793" s="84"/>
      <c r="AR793" s="84"/>
      <c r="AS793" s="84"/>
      <c r="AT793" s="84"/>
      <c r="AU793" s="84"/>
      <c r="AV793" s="84"/>
      <c r="AW793" s="84"/>
      <c r="AX793" s="84"/>
      <c r="AY793" s="84"/>
      <c r="AZ793" s="84"/>
      <c r="BA793" s="84"/>
      <c r="BB793" s="84"/>
      <c r="BC793" s="84"/>
      <c r="BD793" s="84"/>
      <c r="BE793" s="84"/>
      <c r="BF793" s="84"/>
      <c r="BG793" s="84"/>
      <c r="BH793" s="84"/>
      <c r="BI793" s="84"/>
      <c r="BJ793" s="84"/>
      <c r="BK793" s="84"/>
      <c r="BL793" s="84"/>
      <c r="BM793" s="84"/>
      <c r="BN793" s="84"/>
      <c r="BO793" s="84"/>
      <c r="BP793" s="84"/>
      <c r="BQ793" s="84"/>
      <c r="BR793" s="84"/>
    </row>
    <row r="794" spans="1:70" ht="15.75" customHeight="1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  <c r="AL794" s="84"/>
      <c r="AM794" s="84"/>
      <c r="AN794" s="84"/>
      <c r="AO794" s="84"/>
      <c r="AP794" s="84"/>
      <c r="AQ794" s="84"/>
      <c r="AR794" s="84"/>
      <c r="AS794" s="84"/>
      <c r="AT794" s="84"/>
      <c r="AU794" s="84"/>
      <c r="AV794" s="84"/>
      <c r="AW794" s="84"/>
      <c r="AX794" s="84"/>
      <c r="AY794" s="84"/>
      <c r="AZ794" s="84"/>
      <c r="BA794" s="84"/>
      <c r="BB794" s="84"/>
      <c r="BC794" s="84"/>
      <c r="BD794" s="84"/>
      <c r="BE794" s="84"/>
      <c r="BF794" s="84"/>
      <c r="BG794" s="84"/>
      <c r="BH794" s="84"/>
      <c r="BI794" s="84"/>
      <c r="BJ794" s="84"/>
      <c r="BK794" s="84"/>
      <c r="BL794" s="84"/>
      <c r="BM794" s="84"/>
      <c r="BN794" s="84"/>
      <c r="BO794" s="84"/>
      <c r="BP794" s="84"/>
      <c r="BQ794" s="84"/>
      <c r="BR794" s="84"/>
    </row>
    <row r="795" spans="1:70" ht="15.75" customHeight="1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  <c r="AL795" s="84"/>
      <c r="AM795" s="84"/>
      <c r="AN795" s="84"/>
      <c r="AO795" s="84"/>
      <c r="AP795" s="84"/>
      <c r="AQ795" s="84"/>
      <c r="AR795" s="84"/>
      <c r="AS795" s="84"/>
      <c r="AT795" s="84"/>
      <c r="AU795" s="84"/>
      <c r="AV795" s="84"/>
      <c r="AW795" s="84"/>
      <c r="AX795" s="84"/>
      <c r="AY795" s="84"/>
      <c r="AZ795" s="84"/>
      <c r="BA795" s="84"/>
      <c r="BB795" s="84"/>
      <c r="BC795" s="84"/>
      <c r="BD795" s="84"/>
      <c r="BE795" s="84"/>
      <c r="BF795" s="84"/>
      <c r="BG795" s="84"/>
      <c r="BH795" s="84"/>
      <c r="BI795" s="84"/>
      <c r="BJ795" s="84"/>
      <c r="BK795" s="84"/>
      <c r="BL795" s="84"/>
      <c r="BM795" s="84"/>
      <c r="BN795" s="84"/>
      <c r="BO795" s="84"/>
      <c r="BP795" s="84"/>
      <c r="BQ795" s="84"/>
      <c r="BR795" s="84"/>
    </row>
    <row r="796" spans="1:70" ht="15.75" customHeight="1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  <c r="AL796" s="84"/>
      <c r="AM796" s="84"/>
      <c r="AN796" s="84"/>
      <c r="AO796" s="84"/>
      <c r="AP796" s="84"/>
      <c r="AQ796" s="84"/>
      <c r="AR796" s="84"/>
      <c r="AS796" s="84"/>
      <c r="AT796" s="84"/>
      <c r="AU796" s="84"/>
      <c r="AV796" s="84"/>
      <c r="AW796" s="84"/>
      <c r="AX796" s="84"/>
      <c r="AY796" s="84"/>
      <c r="AZ796" s="84"/>
      <c r="BA796" s="84"/>
      <c r="BB796" s="84"/>
      <c r="BC796" s="84"/>
      <c r="BD796" s="84"/>
      <c r="BE796" s="84"/>
      <c r="BF796" s="84"/>
      <c r="BG796" s="84"/>
      <c r="BH796" s="84"/>
      <c r="BI796" s="84"/>
      <c r="BJ796" s="84"/>
      <c r="BK796" s="84"/>
      <c r="BL796" s="84"/>
      <c r="BM796" s="84"/>
      <c r="BN796" s="84"/>
      <c r="BO796" s="84"/>
      <c r="BP796" s="84"/>
      <c r="BQ796" s="84"/>
      <c r="BR796" s="84"/>
    </row>
    <row r="797" spans="1:70" ht="15.75" customHeight="1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  <c r="AL797" s="84"/>
      <c r="AM797" s="84"/>
      <c r="AN797" s="84"/>
      <c r="AO797" s="84"/>
      <c r="AP797" s="84"/>
      <c r="AQ797" s="84"/>
      <c r="AR797" s="84"/>
      <c r="AS797" s="84"/>
      <c r="AT797" s="84"/>
      <c r="AU797" s="84"/>
      <c r="AV797" s="84"/>
      <c r="AW797" s="84"/>
      <c r="AX797" s="84"/>
      <c r="AY797" s="84"/>
      <c r="AZ797" s="84"/>
      <c r="BA797" s="84"/>
      <c r="BB797" s="84"/>
      <c r="BC797" s="84"/>
      <c r="BD797" s="84"/>
      <c r="BE797" s="84"/>
      <c r="BF797" s="84"/>
      <c r="BG797" s="84"/>
      <c r="BH797" s="84"/>
      <c r="BI797" s="84"/>
      <c r="BJ797" s="84"/>
      <c r="BK797" s="84"/>
      <c r="BL797" s="84"/>
      <c r="BM797" s="84"/>
      <c r="BN797" s="84"/>
      <c r="BO797" s="84"/>
      <c r="BP797" s="84"/>
      <c r="BQ797" s="84"/>
      <c r="BR797" s="84"/>
    </row>
    <row r="798" spans="1:70" ht="15.75" customHeight="1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  <c r="AL798" s="84"/>
      <c r="AM798" s="84"/>
      <c r="AN798" s="84"/>
      <c r="AO798" s="84"/>
      <c r="AP798" s="84"/>
      <c r="AQ798" s="84"/>
      <c r="AR798" s="84"/>
      <c r="AS798" s="84"/>
      <c r="AT798" s="84"/>
      <c r="AU798" s="84"/>
      <c r="AV798" s="84"/>
      <c r="AW798" s="84"/>
      <c r="AX798" s="84"/>
      <c r="AY798" s="84"/>
      <c r="AZ798" s="84"/>
      <c r="BA798" s="84"/>
      <c r="BB798" s="84"/>
      <c r="BC798" s="84"/>
      <c r="BD798" s="84"/>
      <c r="BE798" s="84"/>
      <c r="BF798" s="84"/>
      <c r="BG798" s="84"/>
      <c r="BH798" s="84"/>
      <c r="BI798" s="84"/>
      <c r="BJ798" s="84"/>
      <c r="BK798" s="84"/>
      <c r="BL798" s="84"/>
      <c r="BM798" s="84"/>
      <c r="BN798" s="84"/>
      <c r="BO798" s="84"/>
      <c r="BP798" s="84"/>
      <c r="BQ798" s="84"/>
      <c r="BR798" s="84"/>
    </row>
    <row r="799" spans="1:70" ht="15.75" customHeight="1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  <c r="AL799" s="84"/>
      <c r="AM799" s="84"/>
      <c r="AN799" s="84"/>
      <c r="AO799" s="84"/>
      <c r="AP799" s="84"/>
      <c r="AQ799" s="84"/>
      <c r="AR799" s="84"/>
      <c r="AS799" s="84"/>
      <c r="AT799" s="84"/>
      <c r="AU799" s="84"/>
      <c r="AV799" s="84"/>
      <c r="AW799" s="84"/>
      <c r="AX799" s="84"/>
      <c r="AY799" s="84"/>
      <c r="AZ799" s="84"/>
      <c r="BA799" s="84"/>
      <c r="BB799" s="84"/>
      <c r="BC799" s="84"/>
      <c r="BD799" s="84"/>
      <c r="BE799" s="84"/>
      <c r="BF799" s="84"/>
      <c r="BG799" s="84"/>
      <c r="BH799" s="84"/>
      <c r="BI799" s="84"/>
      <c r="BJ799" s="84"/>
      <c r="BK799" s="84"/>
      <c r="BL799" s="84"/>
      <c r="BM799" s="84"/>
      <c r="BN799" s="84"/>
      <c r="BO799" s="84"/>
      <c r="BP799" s="84"/>
      <c r="BQ799" s="84"/>
      <c r="BR799" s="84"/>
    </row>
    <row r="800" spans="1:70" ht="15.75" customHeight="1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  <c r="AL800" s="84"/>
      <c r="AM800" s="84"/>
      <c r="AN800" s="84"/>
      <c r="AO800" s="84"/>
      <c r="AP800" s="84"/>
      <c r="AQ800" s="84"/>
      <c r="AR800" s="84"/>
      <c r="AS800" s="84"/>
      <c r="AT800" s="84"/>
      <c r="AU800" s="84"/>
      <c r="AV800" s="84"/>
      <c r="AW800" s="84"/>
      <c r="AX800" s="84"/>
      <c r="AY800" s="84"/>
      <c r="AZ800" s="84"/>
      <c r="BA800" s="84"/>
      <c r="BB800" s="84"/>
      <c r="BC800" s="84"/>
      <c r="BD800" s="84"/>
      <c r="BE800" s="84"/>
      <c r="BF800" s="84"/>
      <c r="BG800" s="84"/>
      <c r="BH800" s="84"/>
      <c r="BI800" s="84"/>
      <c r="BJ800" s="84"/>
      <c r="BK800" s="84"/>
      <c r="BL800" s="84"/>
      <c r="BM800" s="84"/>
      <c r="BN800" s="84"/>
      <c r="BO800" s="84"/>
      <c r="BP800" s="84"/>
      <c r="BQ800" s="84"/>
      <c r="BR800" s="84"/>
    </row>
    <row r="801" spans="1:70" ht="15.75" customHeight="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  <c r="AL801" s="84"/>
      <c r="AM801" s="84"/>
      <c r="AN801" s="84"/>
      <c r="AO801" s="84"/>
      <c r="AP801" s="84"/>
      <c r="AQ801" s="84"/>
      <c r="AR801" s="84"/>
      <c r="AS801" s="84"/>
      <c r="AT801" s="84"/>
      <c r="AU801" s="84"/>
      <c r="AV801" s="84"/>
      <c r="AW801" s="84"/>
      <c r="AX801" s="84"/>
      <c r="AY801" s="84"/>
      <c r="AZ801" s="84"/>
      <c r="BA801" s="84"/>
      <c r="BB801" s="84"/>
      <c r="BC801" s="84"/>
      <c r="BD801" s="84"/>
      <c r="BE801" s="84"/>
      <c r="BF801" s="84"/>
      <c r="BG801" s="84"/>
      <c r="BH801" s="84"/>
      <c r="BI801" s="84"/>
      <c r="BJ801" s="84"/>
      <c r="BK801" s="84"/>
      <c r="BL801" s="84"/>
      <c r="BM801" s="84"/>
      <c r="BN801" s="84"/>
      <c r="BO801" s="84"/>
      <c r="BP801" s="84"/>
      <c r="BQ801" s="84"/>
      <c r="BR801" s="84"/>
    </row>
    <row r="802" spans="1:70" ht="15.75" customHeight="1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  <c r="AL802" s="84"/>
      <c r="AM802" s="84"/>
      <c r="AN802" s="84"/>
      <c r="AO802" s="84"/>
      <c r="AP802" s="84"/>
      <c r="AQ802" s="84"/>
      <c r="AR802" s="84"/>
      <c r="AS802" s="84"/>
      <c r="AT802" s="84"/>
      <c r="AU802" s="84"/>
      <c r="AV802" s="84"/>
      <c r="AW802" s="84"/>
      <c r="AX802" s="84"/>
      <c r="AY802" s="84"/>
      <c r="AZ802" s="84"/>
      <c r="BA802" s="84"/>
      <c r="BB802" s="84"/>
      <c r="BC802" s="84"/>
      <c r="BD802" s="84"/>
      <c r="BE802" s="84"/>
      <c r="BF802" s="84"/>
      <c r="BG802" s="84"/>
      <c r="BH802" s="84"/>
      <c r="BI802" s="84"/>
      <c r="BJ802" s="84"/>
      <c r="BK802" s="84"/>
      <c r="BL802" s="84"/>
      <c r="BM802" s="84"/>
      <c r="BN802" s="84"/>
      <c r="BO802" s="84"/>
      <c r="BP802" s="84"/>
      <c r="BQ802" s="84"/>
      <c r="BR802" s="84"/>
    </row>
    <row r="803" spans="1:70" ht="15.75" customHeight="1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  <c r="AL803" s="84"/>
      <c r="AM803" s="84"/>
      <c r="AN803" s="84"/>
      <c r="AO803" s="84"/>
      <c r="AP803" s="84"/>
      <c r="AQ803" s="84"/>
      <c r="AR803" s="84"/>
      <c r="AS803" s="84"/>
      <c r="AT803" s="84"/>
      <c r="AU803" s="84"/>
      <c r="AV803" s="84"/>
      <c r="AW803" s="84"/>
      <c r="AX803" s="84"/>
      <c r="AY803" s="84"/>
      <c r="AZ803" s="84"/>
      <c r="BA803" s="84"/>
      <c r="BB803" s="84"/>
      <c r="BC803" s="84"/>
      <c r="BD803" s="84"/>
      <c r="BE803" s="84"/>
      <c r="BF803" s="84"/>
      <c r="BG803" s="84"/>
      <c r="BH803" s="84"/>
      <c r="BI803" s="84"/>
      <c r="BJ803" s="84"/>
      <c r="BK803" s="84"/>
      <c r="BL803" s="84"/>
      <c r="BM803" s="84"/>
      <c r="BN803" s="84"/>
      <c r="BO803" s="84"/>
      <c r="BP803" s="84"/>
      <c r="BQ803" s="84"/>
      <c r="BR803" s="84"/>
    </row>
    <row r="804" spans="1:70" ht="15.75" customHeight="1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  <c r="AL804" s="84"/>
      <c r="AM804" s="84"/>
      <c r="AN804" s="84"/>
      <c r="AO804" s="84"/>
      <c r="AP804" s="84"/>
      <c r="AQ804" s="84"/>
      <c r="AR804" s="84"/>
      <c r="AS804" s="84"/>
      <c r="AT804" s="84"/>
      <c r="AU804" s="84"/>
      <c r="AV804" s="84"/>
      <c r="AW804" s="84"/>
      <c r="AX804" s="84"/>
      <c r="AY804" s="84"/>
      <c r="AZ804" s="84"/>
      <c r="BA804" s="84"/>
      <c r="BB804" s="84"/>
      <c r="BC804" s="84"/>
      <c r="BD804" s="84"/>
      <c r="BE804" s="84"/>
      <c r="BF804" s="84"/>
      <c r="BG804" s="84"/>
      <c r="BH804" s="84"/>
      <c r="BI804" s="84"/>
      <c r="BJ804" s="84"/>
      <c r="BK804" s="84"/>
      <c r="BL804" s="84"/>
      <c r="BM804" s="84"/>
      <c r="BN804" s="84"/>
      <c r="BO804" s="84"/>
      <c r="BP804" s="84"/>
      <c r="BQ804" s="84"/>
      <c r="BR804" s="84"/>
    </row>
    <row r="805" spans="1:70" ht="15.75" customHeight="1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  <c r="AL805" s="84"/>
      <c r="AM805" s="84"/>
      <c r="AN805" s="84"/>
      <c r="AO805" s="84"/>
      <c r="AP805" s="84"/>
      <c r="AQ805" s="84"/>
      <c r="AR805" s="84"/>
      <c r="AS805" s="84"/>
      <c r="AT805" s="84"/>
      <c r="AU805" s="84"/>
      <c r="AV805" s="84"/>
      <c r="AW805" s="84"/>
      <c r="AX805" s="84"/>
      <c r="AY805" s="84"/>
      <c r="AZ805" s="84"/>
      <c r="BA805" s="84"/>
      <c r="BB805" s="84"/>
      <c r="BC805" s="84"/>
      <c r="BD805" s="84"/>
      <c r="BE805" s="84"/>
      <c r="BF805" s="84"/>
      <c r="BG805" s="84"/>
      <c r="BH805" s="84"/>
      <c r="BI805" s="84"/>
      <c r="BJ805" s="84"/>
      <c r="BK805" s="84"/>
      <c r="BL805" s="84"/>
      <c r="BM805" s="84"/>
      <c r="BN805" s="84"/>
      <c r="BO805" s="84"/>
      <c r="BP805" s="84"/>
      <c r="BQ805" s="84"/>
      <c r="BR805" s="84"/>
    </row>
    <row r="806" spans="1:70" ht="15.75" customHeight="1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  <c r="AL806" s="84"/>
      <c r="AM806" s="84"/>
      <c r="AN806" s="84"/>
      <c r="AO806" s="84"/>
      <c r="AP806" s="84"/>
      <c r="AQ806" s="84"/>
      <c r="AR806" s="84"/>
      <c r="AS806" s="84"/>
      <c r="AT806" s="84"/>
      <c r="AU806" s="84"/>
      <c r="AV806" s="84"/>
      <c r="AW806" s="84"/>
      <c r="AX806" s="84"/>
      <c r="AY806" s="84"/>
      <c r="AZ806" s="84"/>
      <c r="BA806" s="84"/>
      <c r="BB806" s="84"/>
      <c r="BC806" s="84"/>
      <c r="BD806" s="84"/>
      <c r="BE806" s="84"/>
      <c r="BF806" s="84"/>
      <c r="BG806" s="84"/>
      <c r="BH806" s="84"/>
      <c r="BI806" s="84"/>
      <c r="BJ806" s="84"/>
      <c r="BK806" s="84"/>
      <c r="BL806" s="84"/>
      <c r="BM806" s="84"/>
      <c r="BN806" s="84"/>
      <c r="BO806" s="84"/>
      <c r="BP806" s="84"/>
      <c r="BQ806" s="84"/>
      <c r="BR806" s="84"/>
    </row>
    <row r="807" spans="1:70" ht="15.75" customHeight="1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  <c r="AL807" s="84"/>
      <c r="AM807" s="84"/>
      <c r="AN807" s="84"/>
      <c r="AO807" s="84"/>
      <c r="AP807" s="84"/>
      <c r="AQ807" s="84"/>
      <c r="AR807" s="84"/>
      <c r="AS807" s="84"/>
      <c r="AT807" s="84"/>
      <c r="AU807" s="84"/>
      <c r="AV807" s="84"/>
      <c r="AW807" s="84"/>
      <c r="AX807" s="84"/>
      <c r="AY807" s="84"/>
      <c r="AZ807" s="84"/>
      <c r="BA807" s="84"/>
      <c r="BB807" s="84"/>
      <c r="BC807" s="84"/>
      <c r="BD807" s="84"/>
      <c r="BE807" s="84"/>
      <c r="BF807" s="84"/>
      <c r="BG807" s="84"/>
      <c r="BH807" s="84"/>
      <c r="BI807" s="84"/>
      <c r="BJ807" s="84"/>
      <c r="BK807" s="84"/>
      <c r="BL807" s="84"/>
      <c r="BM807" s="84"/>
      <c r="BN807" s="84"/>
      <c r="BO807" s="84"/>
      <c r="BP807" s="84"/>
      <c r="BQ807" s="84"/>
      <c r="BR807" s="84"/>
    </row>
    <row r="808" spans="1:70" ht="15.75" customHeight="1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  <c r="AL808" s="84"/>
      <c r="AM808" s="84"/>
      <c r="AN808" s="84"/>
      <c r="AO808" s="84"/>
      <c r="AP808" s="84"/>
      <c r="AQ808" s="84"/>
      <c r="AR808" s="84"/>
      <c r="AS808" s="84"/>
      <c r="AT808" s="84"/>
      <c r="AU808" s="84"/>
      <c r="AV808" s="84"/>
      <c r="AW808" s="84"/>
      <c r="AX808" s="84"/>
      <c r="AY808" s="84"/>
      <c r="AZ808" s="84"/>
      <c r="BA808" s="84"/>
      <c r="BB808" s="84"/>
      <c r="BC808" s="84"/>
      <c r="BD808" s="84"/>
      <c r="BE808" s="84"/>
      <c r="BF808" s="84"/>
      <c r="BG808" s="84"/>
      <c r="BH808" s="84"/>
      <c r="BI808" s="84"/>
      <c r="BJ808" s="84"/>
      <c r="BK808" s="84"/>
      <c r="BL808" s="84"/>
      <c r="BM808" s="84"/>
      <c r="BN808" s="84"/>
      <c r="BO808" s="84"/>
      <c r="BP808" s="84"/>
      <c r="BQ808" s="84"/>
      <c r="BR808" s="84"/>
    </row>
    <row r="809" spans="1:70" ht="15.75" customHeight="1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  <c r="AL809" s="84"/>
      <c r="AM809" s="84"/>
      <c r="AN809" s="84"/>
      <c r="AO809" s="84"/>
      <c r="AP809" s="84"/>
      <c r="AQ809" s="84"/>
      <c r="AR809" s="84"/>
      <c r="AS809" s="84"/>
      <c r="AT809" s="84"/>
      <c r="AU809" s="84"/>
      <c r="AV809" s="84"/>
      <c r="AW809" s="84"/>
      <c r="AX809" s="84"/>
      <c r="AY809" s="84"/>
      <c r="AZ809" s="84"/>
      <c r="BA809" s="84"/>
      <c r="BB809" s="84"/>
      <c r="BC809" s="84"/>
      <c r="BD809" s="84"/>
      <c r="BE809" s="84"/>
      <c r="BF809" s="84"/>
      <c r="BG809" s="84"/>
      <c r="BH809" s="84"/>
      <c r="BI809" s="84"/>
      <c r="BJ809" s="84"/>
      <c r="BK809" s="84"/>
      <c r="BL809" s="84"/>
      <c r="BM809" s="84"/>
      <c r="BN809" s="84"/>
      <c r="BO809" s="84"/>
      <c r="BP809" s="84"/>
      <c r="BQ809" s="84"/>
      <c r="BR809" s="84"/>
    </row>
    <row r="810" spans="1:70" ht="15.75" customHeight="1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  <c r="AL810" s="84"/>
      <c r="AM810" s="84"/>
      <c r="AN810" s="84"/>
      <c r="AO810" s="84"/>
      <c r="AP810" s="84"/>
      <c r="AQ810" s="84"/>
      <c r="AR810" s="84"/>
      <c r="AS810" s="84"/>
      <c r="AT810" s="84"/>
      <c r="AU810" s="84"/>
      <c r="AV810" s="84"/>
      <c r="AW810" s="84"/>
      <c r="AX810" s="84"/>
      <c r="AY810" s="84"/>
      <c r="AZ810" s="84"/>
      <c r="BA810" s="84"/>
      <c r="BB810" s="84"/>
      <c r="BC810" s="84"/>
      <c r="BD810" s="84"/>
      <c r="BE810" s="84"/>
      <c r="BF810" s="84"/>
      <c r="BG810" s="84"/>
      <c r="BH810" s="84"/>
      <c r="BI810" s="84"/>
      <c r="BJ810" s="84"/>
      <c r="BK810" s="84"/>
      <c r="BL810" s="84"/>
      <c r="BM810" s="84"/>
      <c r="BN810" s="84"/>
      <c r="BO810" s="84"/>
      <c r="BP810" s="84"/>
      <c r="BQ810" s="84"/>
      <c r="BR810" s="84"/>
    </row>
    <row r="811" spans="1:70" ht="15.75" customHeight="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  <c r="AL811" s="84"/>
      <c r="AM811" s="84"/>
      <c r="AN811" s="84"/>
      <c r="AO811" s="84"/>
      <c r="AP811" s="84"/>
      <c r="AQ811" s="84"/>
      <c r="AR811" s="84"/>
      <c r="AS811" s="84"/>
      <c r="AT811" s="84"/>
      <c r="AU811" s="84"/>
      <c r="AV811" s="84"/>
      <c r="AW811" s="84"/>
      <c r="AX811" s="84"/>
      <c r="AY811" s="84"/>
      <c r="AZ811" s="84"/>
      <c r="BA811" s="84"/>
      <c r="BB811" s="84"/>
      <c r="BC811" s="84"/>
      <c r="BD811" s="84"/>
      <c r="BE811" s="84"/>
      <c r="BF811" s="84"/>
      <c r="BG811" s="84"/>
      <c r="BH811" s="84"/>
      <c r="BI811" s="84"/>
      <c r="BJ811" s="84"/>
      <c r="BK811" s="84"/>
      <c r="BL811" s="84"/>
      <c r="BM811" s="84"/>
      <c r="BN811" s="84"/>
      <c r="BO811" s="84"/>
      <c r="BP811" s="84"/>
      <c r="BQ811" s="84"/>
      <c r="BR811" s="84"/>
    </row>
    <row r="812" spans="1:70" ht="15.75" customHeight="1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  <c r="AL812" s="84"/>
      <c r="AM812" s="84"/>
      <c r="AN812" s="84"/>
      <c r="AO812" s="84"/>
      <c r="AP812" s="84"/>
      <c r="AQ812" s="84"/>
      <c r="AR812" s="84"/>
      <c r="AS812" s="84"/>
      <c r="AT812" s="84"/>
      <c r="AU812" s="84"/>
      <c r="AV812" s="84"/>
      <c r="AW812" s="84"/>
      <c r="AX812" s="84"/>
      <c r="AY812" s="84"/>
      <c r="AZ812" s="84"/>
      <c r="BA812" s="84"/>
      <c r="BB812" s="84"/>
      <c r="BC812" s="84"/>
      <c r="BD812" s="84"/>
      <c r="BE812" s="84"/>
      <c r="BF812" s="84"/>
      <c r="BG812" s="84"/>
      <c r="BH812" s="84"/>
      <c r="BI812" s="84"/>
      <c r="BJ812" s="84"/>
      <c r="BK812" s="84"/>
      <c r="BL812" s="84"/>
      <c r="BM812" s="84"/>
      <c r="BN812" s="84"/>
      <c r="BO812" s="84"/>
      <c r="BP812" s="84"/>
      <c r="BQ812" s="84"/>
      <c r="BR812" s="84"/>
    </row>
    <row r="813" spans="1:70" ht="15.75" customHeight="1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  <c r="AL813" s="84"/>
      <c r="AM813" s="84"/>
      <c r="AN813" s="84"/>
      <c r="AO813" s="84"/>
      <c r="AP813" s="84"/>
      <c r="AQ813" s="84"/>
      <c r="AR813" s="84"/>
      <c r="AS813" s="84"/>
      <c r="AT813" s="84"/>
      <c r="AU813" s="84"/>
      <c r="AV813" s="84"/>
      <c r="AW813" s="84"/>
      <c r="AX813" s="84"/>
      <c r="AY813" s="84"/>
      <c r="AZ813" s="84"/>
      <c r="BA813" s="84"/>
      <c r="BB813" s="84"/>
      <c r="BC813" s="84"/>
      <c r="BD813" s="84"/>
      <c r="BE813" s="84"/>
      <c r="BF813" s="84"/>
      <c r="BG813" s="84"/>
      <c r="BH813" s="84"/>
      <c r="BI813" s="84"/>
      <c r="BJ813" s="84"/>
      <c r="BK813" s="84"/>
      <c r="BL813" s="84"/>
      <c r="BM813" s="84"/>
      <c r="BN813" s="84"/>
      <c r="BO813" s="84"/>
      <c r="BP813" s="84"/>
      <c r="BQ813" s="84"/>
      <c r="BR813" s="84"/>
    </row>
    <row r="814" spans="1:70" ht="15.75" customHeight="1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  <c r="AL814" s="84"/>
      <c r="AM814" s="84"/>
      <c r="AN814" s="84"/>
      <c r="AO814" s="84"/>
      <c r="AP814" s="84"/>
      <c r="AQ814" s="84"/>
      <c r="AR814" s="84"/>
      <c r="AS814" s="84"/>
      <c r="AT814" s="84"/>
      <c r="AU814" s="84"/>
      <c r="AV814" s="84"/>
      <c r="AW814" s="84"/>
      <c r="AX814" s="84"/>
      <c r="AY814" s="84"/>
      <c r="AZ814" s="84"/>
      <c r="BA814" s="84"/>
      <c r="BB814" s="84"/>
      <c r="BC814" s="84"/>
      <c r="BD814" s="84"/>
      <c r="BE814" s="84"/>
      <c r="BF814" s="84"/>
      <c r="BG814" s="84"/>
      <c r="BH814" s="84"/>
      <c r="BI814" s="84"/>
      <c r="BJ814" s="84"/>
      <c r="BK814" s="84"/>
      <c r="BL814" s="84"/>
      <c r="BM814" s="84"/>
      <c r="BN814" s="84"/>
      <c r="BO814" s="84"/>
      <c r="BP814" s="84"/>
      <c r="BQ814" s="84"/>
      <c r="BR814" s="84"/>
    </row>
    <row r="815" spans="1:70" ht="15.75" customHeight="1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  <c r="AL815" s="84"/>
      <c r="AM815" s="84"/>
      <c r="AN815" s="84"/>
      <c r="AO815" s="84"/>
      <c r="AP815" s="84"/>
      <c r="AQ815" s="84"/>
      <c r="AR815" s="84"/>
      <c r="AS815" s="84"/>
      <c r="AT815" s="84"/>
      <c r="AU815" s="84"/>
      <c r="AV815" s="84"/>
      <c r="AW815" s="84"/>
      <c r="AX815" s="84"/>
      <c r="AY815" s="84"/>
      <c r="AZ815" s="84"/>
      <c r="BA815" s="84"/>
      <c r="BB815" s="84"/>
      <c r="BC815" s="84"/>
      <c r="BD815" s="84"/>
      <c r="BE815" s="84"/>
      <c r="BF815" s="84"/>
      <c r="BG815" s="84"/>
      <c r="BH815" s="84"/>
      <c r="BI815" s="84"/>
      <c r="BJ815" s="84"/>
      <c r="BK815" s="84"/>
      <c r="BL815" s="84"/>
      <c r="BM815" s="84"/>
      <c r="BN815" s="84"/>
      <c r="BO815" s="84"/>
      <c r="BP815" s="84"/>
      <c r="BQ815" s="84"/>
      <c r="BR815" s="84"/>
    </row>
    <row r="816" spans="1:70" ht="15.75" customHeight="1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  <c r="AL816" s="84"/>
      <c r="AM816" s="84"/>
      <c r="AN816" s="84"/>
      <c r="AO816" s="84"/>
      <c r="AP816" s="84"/>
      <c r="AQ816" s="84"/>
      <c r="AR816" s="84"/>
      <c r="AS816" s="84"/>
      <c r="AT816" s="84"/>
      <c r="AU816" s="84"/>
      <c r="AV816" s="84"/>
      <c r="AW816" s="84"/>
      <c r="AX816" s="84"/>
      <c r="AY816" s="84"/>
      <c r="AZ816" s="84"/>
      <c r="BA816" s="84"/>
      <c r="BB816" s="84"/>
      <c r="BC816" s="84"/>
      <c r="BD816" s="84"/>
      <c r="BE816" s="84"/>
      <c r="BF816" s="84"/>
      <c r="BG816" s="84"/>
      <c r="BH816" s="84"/>
      <c r="BI816" s="84"/>
      <c r="BJ816" s="84"/>
      <c r="BK816" s="84"/>
      <c r="BL816" s="84"/>
      <c r="BM816" s="84"/>
      <c r="BN816" s="84"/>
      <c r="BO816" s="84"/>
      <c r="BP816" s="84"/>
      <c r="BQ816" s="84"/>
      <c r="BR816" s="84"/>
    </row>
    <row r="817" spans="1:70" ht="15.75" customHeight="1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  <c r="AL817" s="84"/>
      <c r="AM817" s="84"/>
      <c r="AN817" s="84"/>
      <c r="AO817" s="84"/>
      <c r="AP817" s="84"/>
      <c r="AQ817" s="84"/>
      <c r="AR817" s="84"/>
      <c r="AS817" s="84"/>
      <c r="AT817" s="84"/>
      <c r="AU817" s="84"/>
      <c r="AV817" s="84"/>
      <c r="AW817" s="84"/>
      <c r="AX817" s="84"/>
      <c r="AY817" s="84"/>
      <c r="AZ817" s="84"/>
      <c r="BA817" s="84"/>
      <c r="BB817" s="84"/>
      <c r="BC817" s="84"/>
      <c r="BD817" s="84"/>
      <c r="BE817" s="84"/>
      <c r="BF817" s="84"/>
      <c r="BG817" s="84"/>
      <c r="BH817" s="84"/>
      <c r="BI817" s="84"/>
      <c r="BJ817" s="84"/>
      <c r="BK817" s="84"/>
      <c r="BL817" s="84"/>
      <c r="BM817" s="84"/>
      <c r="BN817" s="84"/>
      <c r="BO817" s="84"/>
      <c r="BP817" s="84"/>
      <c r="BQ817" s="84"/>
      <c r="BR817" s="84"/>
    </row>
    <row r="818" spans="1:70" ht="15.75" customHeight="1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  <c r="AL818" s="84"/>
      <c r="AM818" s="84"/>
      <c r="AN818" s="84"/>
      <c r="AO818" s="84"/>
      <c r="AP818" s="84"/>
      <c r="AQ818" s="84"/>
      <c r="AR818" s="84"/>
      <c r="AS818" s="84"/>
      <c r="AT818" s="84"/>
      <c r="AU818" s="84"/>
      <c r="AV818" s="84"/>
      <c r="AW818" s="84"/>
      <c r="AX818" s="84"/>
      <c r="AY818" s="84"/>
      <c r="AZ818" s="84"/>
      <c r="BA818" s="84"/>
      <c r="BB818" s="84"/>
      <c r="BC818" s="84"/>
      <c r="BD818" s="84"/>
      <c r="BE818" s="84"/>
      <c r="BF818" s="84"/>
      <c r="BG818" s="84"/>
      <c r="BH818" s="84"/>
      <c r="BI818" s="84"/>
      <c r="BJ818" s="84"/>
      <c r="BK818" s="84"/>
      <c r="BL818" s="84"/>
      <c r="BM818" s="84"/>
      <c r="BN818" s="84"/>
      <c r="BO818" s="84"/>
      <c r="BP818" s="84"/>
      <c r="BQ818" s="84"/>
      <c r="BR818" s="84"/>
    </row>
    <row r="819" spans="1:70" ht="15.75" customHeight="1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  <c r="AL819" s="84"/>
      <c r="AM819" s="84"/>
      <c r="AN819" s="84"/>
      <c r="AO819" s="84"/>
      <c r="AP819" s="84"/>
      <c r="AQ819" s="84"/>
      <c r="AR819" s="84"/>
      <c r="AS819" s="84"/>
      <c r="AT819" s="84"/>
      <c r="AU819" s="84"/>
      <c r="AV819" s="84"/>
      <c r="AW819" s="84"/>
      <c r="AX819" s="84"/>
      <c r="AY819" s="84"/>
      <c r="AZ819" s="84"/>
      <c r="BA819" s="84"/>
      <c r="BB819" s="84"/>
      <c r="BC819" s="84"/>
      <c r="BD819" s="84"/>
      <c r="BE819" s="84"/>
      <c r="BF819" s="84"/>
      <c r="BG819" s="84"/>
      <c r="BH819" s="84"/>
      <c r="BI819" s="84"/>
      <c r="BJ819" s="84"/>
      <c r="BK819" s="84"/>
      <c r="BL819" s="84"/>
      <c r="BM819" s="84"/>
      <c r="BN819" s="84"/>
      <c r="BO819" s="84"/>
      <c r="BP819" s="84"/>
      <c r="BQ819" s="84"/>
      <c r="BR819" s="84"/>
    </row>
    <row r="820" spans="1:70" ht="15.75" customHeight="1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  <c r="AL820" s="84"/>
      <c r="AM820" s="84"/>
      <c r="AN820" s="84"/>
      <c r="AO820" s="84"/>
      <c r="AP820" s="84"/>
      <c r="AQ820" s="84"/>
      <c r="AR820" s="84"/>
      <c r="AS820" s="84"/>
      <c r="AT820" s="84"/>
      <c r="AU820" s="84"/>
      <c r="AV820" s="84"/>
      <c r="AW820" s="84"/>
      <c r="AX820" s="84"/>
      <c r="AY820" s="84"/>
      <c r="AZ820" s="84"/>
      <c r="BA820" s="84"/>
      <c r="BB820" s="84"/>
      <c r="BC820" s="84"/>
      <c r="BD820" s="84"/>
      <c r="BE820" s="84"/>
      <c r="BF820" s="84"/>
      <c r="BG820" s="84"/>
      <c r="BH820" s="84"/>
      <c r="BI820" s="84"/>
      <c r="BJ820" s="84"/>
      <c r="BK820" s="84"/>
      <c r="BL820" s="84"/>
      <c r="BM820" s="84"/>
      <c r="BN820" s="84"/>
      <c r="BO820" s="84"/>
      <c r="BP820" s="84"/>
      <c r="BQ820" s="84"/>
      <c r="BR820" s="84"/>
    </row>
    <row r="821" spans="1:70" ht="15.75" customHeight="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  <c r="AL821" s="84"/>
      <c r="AM821" s="84"/>
      <c r="AN821" s="84"/>
      <c r="AO821" s="84"/>
      <c r="AP821" s="84"/>
      <c r="AQ821" s="84"/>
      <c r="AR821" s="84"/>
      <c r="AS821" s="84"/>
      <c r="AT821" s="84"/>
      <c r="AU821" s="84"/>
      <c r="AV821" s="84"/>
      <c r="AW821" s="84"/>
      <c r="AX821" s="84"/>
      <c r="AY821" s="84"/>
      <c r="AZ821" s="84"/>
      <c r="BA821" s="84"/>
      <c r="BB821" s="84"/>
      <c r="BC821" s="84"/>
      <c r="BD821" s="84"/>
      <c r="BE821" s="84"/>
      <c r="BF821" s="84"/>
      <c r="BG821" s="84"/>
      <c r="BH821" s="84"/>
      <c r="BI821" s="84"/>
      <c r="BJ821" s="84"/>
      <c r="BK821" s="84"/>
      <c r="BL821" s="84"/>
      <c r="BM821" s="84"/>
      <c r="BN821" s="84"/>
      <c r="BO821" s="84"/>
      <c r="BP821" s="84"/>
      <c r="BQ821" s="84"/>
      <c r="BR821" s="84"/>
    </row>
    <row r="822" spans="1:70" ht="15.75" customHeight="1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  <c r="AL822" s="84"/>
      <c r="AM822" s="84"/>
      <c r="AN822" s="84"/>
      <c r="AO822" s="84"/>
      <c r="AP822" s="84"/>
      <c r="AQ822" s="84"/>
      <c r="AR822" s="84"/>
      <c r="AS822" s="84"/>
      <c r="AT822" s="84"/>
      <c r="AU822" s="84"/>
      <c r="AV822" s="84"/>
      <c r="AW822" s="84"/>
      <c r="AX822" s="84"/>
      <c r="AY822" s="84"/>
      <c r="AZ822" s="84"/>
      <c r="BA822" s="84"/>
      <c r="BB822" s="84"/>
      <c r="BC822" s="84"/>
      <c r="BD822" s="84"/>
      <c r="BE822" s="84"/>
      <c r="BF822" s="84"/>
      <c r="BG822" s="84"/>
      <c r="BH822" s="84"/>
      <c r="BI822" s="84"/>
      <c r="BJ822" s="84"/>
      <c r="BK822" s="84"/>
      <c r="BL822" s="84"/>
      <c r="BM822" s="84"/>
      <c r="BN822" s="84"/>
      <c r="BO822" s="84"/>
      <c r="BP822" s="84"/>
      <c r="BQ822" s="84"/>
      <c r="BR822" s="84"/>
    </row>
    <row r="823" spans="1:70" ht="15.75" customHeight="1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  <c r="AL823" s="84"/>
      <c r="AM823" s="84"/>
      <c r="AN823" s="84"/>
      <c r="AO823" s="84"/>
      <c r="AP823" s="84"/>
      <c r="AQ823" s="84"/>
      <c r="AR823" s="84"/>
      <c r="AS823" s="84"/>
      <c r="AT823" s="84"/>
      <c r="AU823" s="84"/>
      <c r="AV823" s="84"/>
      <c r="AW823" s="84"/>
      <c r="AX823" s="84"/>
      <c r="AY823" s="84"/>
      <c r="AZ823" s="84"/>
      <c r="BA823" s="84"/>
      <c r="BB823" s="84"/>
      <c r="BC823" s="84"/>
      <c r="BD823" s="84"/>
      <c r="BE823" s="84"/>
      <c r="BF823" s="84"/>
      <c r="BG823" s="84"/>
      <c r="BH823" s="84"/>
      <c r="BI823" s="84"/>
      <c r="BJ823" s="84"/>
      <c r="BK823" s="84"/>
      <c r="BL823" s="84"/>
      <c r="BM823" s="84"/>
      <c r="BN823" s="84"/>
      <c r="BO823" s="84"/>
      <c r="BP823" s="84"/>
      <c r="BQ823" s="84"/>
      <c r="BR823" s="84"/>
    </row>
    <row r="824" spans="1:70" ht="15.75" customHeight="1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  <c r="AL824" s="84"/>
      <c r="AM824" s="84"/>
      <c r="AN824" s="84"/>
      <c r="AO824" s="84"/>
      <c r="AP824" s="84"/>
      <c r="AQ824" s="84"/>
      <c r="AR824" s="84"/>
      <c r="AS824" s="84"/>
      <c r="AT824" s="84"/>
      <c r="AU824" s="84"/>
      <c r="AV824" s="84"/>
      <c r="AW824" s="84"/>
      <c r="AX824" s="84"/>
      <c r="AY824" s="84"/>
      <c r="AZ824" s="84"/>
      <c r="BA824" s="84"/>
      <c r="BB824" s="84"/>
      <c r="BC824" s="84"/>
      <c r="BD824" s="84"/>
      <c r="BE824" s="84"/>
      <c r="BF824" s="84"/>
      <c r="BG824" s="84"/>
      <c r="BH824" s="84"/>
      <c r="BI824" s="84"/>
      <c r="BJ824" s="84"/>
      <c r="BK824" s="84"/>
      <c r="BL824" s="84"/>
      <c r="BM824" s="84"/>
      <c r="BN824" s="84"/>
      <c r="BO824" s="84"/>
      <c r="BP824" s="84"/>
      <c r="BQ824" s="84"/>
      <c r="BR824" s="84"/>
    </row>
    <row r="825" spans="1:70" ht="15.75" customHeight="1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  <c r="AL825" s="84"/>
      <c r="AM825" s="84"/>
      <c r="AN825" s="84"/>
      <c r="AO825" s="84"/>
      <c r="AP825" s="84"/>
      <c r="AQ825" s="84"/>
      <c r="AR825" s="84"/>
      <c r="AS825" s="84"/>
      <c r="AT825" s="84"/>
      <c r="AU825" s="84"/>
      <c r="AV825" s="84"/>
      <c r="AW825" s="84"/>
      <c r="AX825" s="84"/>
      <c r="AY825" s="84"/>
      <c r="AZ825" s="84"/>
      <c r="BA825" s="84"/>
      <c r="BB825" s="84"/>
      <c r="BC825" s="84"/>
      <c r="BD825" s="84"/>
      <c r="BE825" s="84"/>
      <c r="BF825" s="84"/>
      <c r="BG825" s="84"/>
      <c r="BH825" s="84"/>
      <c r="BI825" s="84"/>
      <c r="BJ825" s="84"/>
      <c r="BK825" s="84"/>
      <c r="BL825" s="84"/>
      <c r="BM825" s="84"/>
      <c r="BN825" s="84"/>
      <c r="BO825" s="84"/>
      <c r="BP825" s="84"/>
      <c r="BQ825" s="84"/>
      <c r="BR825" s="84"/>
    </row>
    <row r="826" spans="1:70" ht="15.75" customHeight="1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  <c r="AL826" s="84"/>
      <c r="AM826" s="84"/>
      <c r="AN826" s="84"/>
      <c r="AO826" s="84"/>
      <c r="AP826" s="84"/>
      <c r="AQ826" s="84"/>
      <c r="AR826" s="84"/>
      <c r="AS826" s="84"/>
      <c r="AT826" s="84"/>
      <c r="AU826" s="84"/>
      <c r="AV826" s="84"/>
      <c r="AW826" s="84"/>
      <c r="AX826" s="84"/>
      <c r="AY826" s="84"/>
      <c r="AZ826" s="84"/>
      <c r="BA826" s="84"/>
      <c r="BB826" s="84"/>
      <c r="BC826" s="84"/>
      <c r="BD826" s="84"/>
      <c r="BE826" s="84"/>
      <c r="BF826" s="84"/>
      <c r="BG826" s="84"/>
      <c r="BH826" s="84"/>
      <c r="BI826" s="84"/>
      <c r="BJ826" s="84"/>
      <c r="BK826" s="84"/>
      <c r="BL826" s="84"/>
      <c r="BM826" s="84"/>
      <c r="BN826" s="84"/>
      <c r="BO826" s="84"/>
      <c r="BP826" s="84"/>
      <c r="BQ826" s="84"/>
      <c r="BR826" s="84"/>
    </row>
    <row r="827" spans="1:70" ht="15.75" customHeight="1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  <c r="AL827" s="84"/>
      <c r="AM827" s="84"/>
      <c r="AN827" s="84"/>
      <c r="AO827" s="84"/>
      <c r="AP827" s="84"/>
      <c r="AQ827" s="84"/>
      <c r="AR827" s="84"/>
      <c r="AS827" s="84"/>
      <c r="AT827" s="84"/>
      <c r="AU827" s="84"/>
      <c r="AV827" s="84"/>
      <c r="AW827" s="84"/>
      <c r="AX827" s="84"/>
      <c r="AY827" s="84"/>
      <c r="AZ827" s="84"/>
      <c r="BA827" s="84"/>
      <c r="BB827" s="84"/>
      <c r="BC827" s="84"/>
      <c r="BD827" s="84"/>
      <c r="BE827" s="84"/>
      <c r="BF827" s="84"/>
      <c r="BG827" s="84"/>
      <c r="BH827" s="84"/>
      <c r="BI827" s="84"/>
      <c r="BJ827" s="84"/>
      <c r="BK827" s="84"/>
      <c r="BL827" s="84"/>
      <c r="BM827" s="84"/>
      <c r="BN827" s="84"/>
      <c r="BO827" s="84"/>
      <c r="BP827" s="84"/>
      <c r="BQ827" s="84"/>
      <c r="BR827" s="84"/>
    </row>
    <row r="828" spans="1:70" ht="15.75" customHeight="1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  <c r="AL828" s="84"/>
      <c r="AM828" s="84"/>
      <c r="AN828" s="84"/>
      <c r="AO828" s="84"/>
      <c r="AP828" s="84"/>
      <c r="AQ828" s="84"/>
      <c r="AR828" s="84"/>
      <c r="AS828" s="84"/>
      <c r="AT828" s="84"/>
      <c r="AU828" s="84"/>
      <c r="AV828" s="84"/>
      <c r="AW828" s="84"/>
      <c r="AX828" s="84"/>
      <c r="AY828" s="84"/>
      <c r="AZ828" s="84"/>
      <c r="BA828" s="84"/>
      <c r="BB828" s="84"/>
      <c r="BC828" s="84"/>
      <c r="BD828" s="84"/>
      <c r="BE828" s="84"/>
      <c r="BF828" s="84"/>
      <c r="BG828" s="84"/>
      <c r="BH828" s="84"/>
      <c r="BI828" s="84"/>
      <c r="BJ828" s="84"/>
      <c r="BK828" s="84"/>
      <c r="BL828" s="84"/>
      <c r="BM828" s="84"/>
      <c r="BN828" s="84"/>
      <c r="BO828" s="84"/>
      <c r="BP828" s="84"/>
      <c r="BQ828" s="84"/>
      <c r="BR828" s="84"/>
    </row>
    <row r="829" spans="1:70" ht="15.75" customHeight="1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  <c r="AL829" s="84"/>
      <c r="AM829" s="84"/>
      <c r="AN829" s="84"/>
      <c r="AO829" s="84"/>
      <c r="AP829" s="84"/>
      <c r="AQ829" s="84"/>
      <c r="AR829" s="84"/>
      <c r="AS829" s="84"/>
      <c r="AT829" s="84"/>
      <c r="AU829" s="84"/>
      <c r="AV829" s="84"/>
      <c r="AW829" s="84"/>
      <c r="AX829" s="84"/>
      <c r="AY829" s="84"/>
      <c r="AZ829" s="84"/>
      <c r="BA829" s="84"/>
      <c r="BB829" s="84"/>
      <c r="BC829" s="84"/>
      <c r="BD829" s="84"/>
      <c r="BE829" s="84"/>
      <c r="BF829" s="84"/>
      <c r="BG829" s="84"/>
      <c r="BH829" s="84"/>
      <c r="BI829" s="84"/>
      <c r="BJ829" s="84"/>
      <c r="BK829" s="84"/>
      <c r="BL829" s="84"/>
      <c r="BM829" s="84"/>
      <c r="BN829" s="84"/>
      <c r="BO829" s="84"/>
      <c r="BP829" s="84"/>
      <c r="BQ829" s="84"/>
      <c r="BR829" s="84"/>
    </row>
    <row r="830" spans="1:70" ht="15.75" customHeight="1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  <c r="AL830" s="84"/>
      <c r="AM830" s="84"/>
      <c r="AN830" s="84"/>
      <c r="AO830" s="84"/>
      <c r="AP830" s="84"/>
      <c r="AQ830" s="84"/>
      <c r="AR830" s="84"/>
      <c r="AS830" s="84"/>
      <c r="AT830" s="84"/>
      <c r="AU830" s="84"/>
      <c r="AV830" s="84"/>
      <c r="AW830" s="84"/>
      <c r="AX830" s="84"/>
      <c r="AY830" s="84"/>
      <c r="AZ830" s="84"/>
      <c r="BA830" s="84"/>
      <c r="BB830" s="84"/>
      <c r="BC830" s="84"/>
      <c r="BD830" s="84"/>
      <c r="BE830" s="84"/>
      <c r="BF830" s="84"/>
      <c r="BG830" s="84"/>
      <c r="BH830" s="84"/>
      <c r="BI830" s="84"/>
      <c r="BJ830" s="84"/>
      <c r="BK830" s="84"/>
      <c r="BL830" s="84"/>
      <c r="BM830" s="84"/>
      <c r="BN830" s="84"/>
      <c r="BO830" s="84"/>
      <c r="BP830" s="84"/>
      <c r="BQ830" s="84"/>
      <c r="BR830" s="84"/>
    </row>
    <row r="831" spans="1:70" ht="15.75" customHeight="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  <c r="AL831" s="84"/>
      <c r="AM831" s="84"/>
      <c r="AN831" s="84"/>
      <c r="AO831" s="84"/>
      <c r="AP831" s="84"/>
      <c r="AQ831" s="84"/>
      <c r="AR831" s="84"/>
      <c r="AS831" s="84"/>
      <c r="AT831" s="84"/>
      <c r="AU831" s="84"/>
      <c r="AV831" s="84"/>
      <c r="AW831" s="84"/>
      <c r="AX831" s="84"/>
      <c r="AY831" s="84"/>
      <c r="AZ831" s="84"/>
      <c r="BA831" s="84"/>
      <c r="BB831" s="84"/>
      <c r="BC831" s="84"/>
      <c r="BD831" s="84"/>
      <c r="BE831" s="84"/>
      <c r="BF831" s="84"/>
      <c r="BG831" s="84"/>
      <c r="BH831" s="84"/>
      <c r="BI831" s="84"/>
      <c r="BJ831" s="84"/>
      <c r="BK831" s="84"/>
      <c r="BL831" s="84"/>
      <c r="BM831" s="84"/>
      <c r="BN831" s="84"/>
      <c r="BO831" s="84"/>
      <c r="BP831" s="84"/>
      <c r="BQ831" s="84"/>
      <c r="BR831" s="84"/>
    </row>
    <row r="832" spans="1:70" ht="15.75" customHeight="1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  <c r="AL832" s="84"/>
      <c r="AM832" s="84"/>
      <c r="AN832" s="84"/>
      <c r="AO832" s="84"/>
      <c r="AP832" s="84"/>
      <c r="AQ832" s="84"/>
      <c r="AR832" s="84"/>
      <c r="AS832" s="84"/>
      <c r="AT832" s="84"/>
      <c r="AU832" s="84"/>
      <c r="AV832" s="84"/>
      <c r="AW832" s="84"/>
      <c r="AX832" s="84"/>
      <c r="AY832" s="84"/>
      <c r="AZ832" s="84"/>
      <c r="BA832" s="84"/>
      <c r="BB832" s="84"/>
      <c r="BC832" s="84"/>
      <c r="BD832" s="84"/>
      <c r="BE832" s="84"/>
      <c r="BF832" s="84"/>
      <c r="BG832" s="84"/>
      <c r="BH832" s="84"/>
      <c r="BI832" s="84"/>
      <c r="BJ832" s="84"/>
      <c r="BK832" s="84"/>
      <c r="BL832" s="84"/>
      <c r="BM832" s="84"/>
      <c r="BN832" s="84"/>
      <c r="BO832" s="84"/>
      <c r="BP832" s="84"/>
      <c r="BQ832" s="84"/>
      <c r="BR832" s="84"/>
    </row>
    <row r="833" spans="1:70" ht="15.75" customHeight="1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  <c r="AL833" s="84"/>
      <c r="AM833" s="84"/>
      <c r="AN833" s="84"/>
      <c r="AO833" s="84"/>
      <c r="AP833" s="84"/>
      <c r="AQ833" s="84"/>
      <c r="AR833" s="84"/>
      <c r="AS833" s="84"/>
      <c r="AT833" s="84"/>
      <c r="AU833" s="84"/>
      <c r="AV833" s="84"/>
      <c r="AW833" s="84"/>
      <c r="AX833" s="84"/>
      <c r="AY833" s="84"/>
      <c r="AZ833" s="84"/>
      <c r="BA833" s="84"/>
      <c r="BB833" s="84"/>
      <c r="BC833" s="84"/>
      <c r="BD833" s="84"/>
      <c r="BE833" s="84"/>
      <c r="BF833" s="84"/>
      <c r="BG833" s="84"/>
      <c r="BH833" s="84"/>
      <c r="BI833" s="84"/>
      <c r="BJ833" s="84"/>
      <c r="BK833" s="84"/>
      <c r="BL833" s="84"/>
      <c r="BM833" s="84"/>
      <c r="BN833" s="84"/>
      <c r="BO833" s="84"/>
      <c r="BP833" s="84"/>
      <c r="BQ833" s="84"/>
      <c r="BR833" s="84"/>
    </row>
    <row r="834" spans="1:70" ht="15.75" customHeight="1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  <c r="AL834" s="84"/>
      <c r="AM834" s="84"/>
      <c r="AN834" s="84"/>
      <c r="AO834" s="84"/>
      <c r="AP834" s="84"/>
      <c r="AQ834" s="84"/>
      <c r="AR834" s="84"/>
      <c r="AS834" s="84"/>
      <c r="AT834" s="84"/>
      <c r="AU834" s="84"/>
      <c r="AV834" s="84"/>
      <c r="AW834" s="84"/>
      <c r="AX834" s="84"/>
      <c r="AY834" s="84"/>
      <c r="AZ834" s="84"/>
      <c r="BA834" s="84"/>
      <c r="BB834" s="84"/>
      <c r="BC834" s="84"/>
      <c r="BD834" s="84"/>
      <c r="BE834" s="84"/>
      <c r="BF834" s="84"/>
      <c r="BG834" s="84"/>
      <c r="BH834" s="84"/>
      <c r="BI834" s="84"/>
      <c r="BJ834" s="84"/>
      <c r="BK834" s="84"/>
      <c r="BL834" s="84"/>
      <c r="BM834" s="84"/>
      <c r="BN834" s="84"/>
      <c r="BO834" s="84"/>
      <c r="BP834" s="84"/>
      <c r="BQ834" s="84"/>
      <c r="BR834" s="84"/>
    </row>
    <row r="835" spans="1:70" ht="15.75" customHeight="1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  <c r="AL835" s="84"/>
      <c r="AM835" s="84"/>
      <c r="AN835" s="84"/>
      <c r="AO835" s="84"/>
      <c r="AP835" s="84"/>
      <c r="AQ835" s="84"/>
      <c r="AR835" s="84"/>
      <c r="AS835" s="84"/>
      <c r="AT835" s="84"/>
      <c r="AU835" s="84"/>
      <c r="AV835" s="84"/>
      <c r="AW835" s="84"/>
      <c r="AX835" s="84"/>
      <c r="AY835" s="84"/>
      <c r="AZ835" s="84"/>
      <c r="BA835" s="84"/>
      <c r="BB835" s="84"/>
      <c r="BC835" s="84"/>
      <c r="BD835" s="84"/>
      <c r="BE835" s="84"/>
      <c r="BF835" s="84"/>
      <c r="BG835" s="84"/>
      <c r="BH835" s="84"/>
      <c r="BI835" s="84"/>
      <c r="BJ835" s="84"/>
      <c r="BK835" s="84"/>
      <c r="BL835" s="84"/>
      <c r="BM835" s="84"/>
      <c r="BN835" s="84"/>
      <c r="BO835" s="84"/>
      <c r="BP835" s="84"/>
      <c r="BQ835" s="84"/>
      <c r="BR835" s="84"/>
    </row>
    <row r="836" spans="1:70" ht="15.75" customHeight="1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  <c r="AL836" s="84"/>
      <c r="AM836" s="84"/>
      <c r="AN836" s="84"/>
      <c r="AO836" s="84"/>
      <c r="AP836" s="84"/>
      <c r="AQ836" s="84"/>
      <c r="AR836" s="84"/>
      <c r="AS836" s="84"/>
      <c r="AT836" s="84"/>
      <c r="AU836" s="84"/>
      <c r="AV836" s="84"/>
      <c r="AW836" s="84"/>
      <c r="AX836" s="84"/>
      <c r="AY836" s="84"/>
      <c r="AZ836" s="84"/>
      <c r="BA836" s="84"/>
      <c r="BB836" s="84"/>
      <c r="BC836" s="84"/>
      <c r="BD836" s="84"/>
      <c r="BE836" s="84"/>
      <c r="BF836" s="84"/>
      <c r="BG836" s="84"/>
      <c r="BH836" s="84"/>
      <c r="BI836" s="84"/>
      <c r="BJ836" s="84"/>
      <c r="BK836" s="84"/>
      <c r="BL836" s="84"/>
      <c r="BM836" s="84"/>
      <c r="BN836" s="84"/>
      <c r="BO836" s="84"/>
      <c r="BP836" s="84"/>
      <c r="BQ836" s="84"/>
      <c r="BR836" s="84"/>
    </row>
    <row r="837" spans="1:70" ht="15.75" customHeight="1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  <c r="AL837" s="84"/>
      <c r="AM837" s="84"/>
      <c r="AN837" s="84"/>
      <c r="AO837" s="84"/>
      <c r="AP837" s="84"/>
      <c r="AQ837" s="84"/>
      <c r="AR837" s="84"/>
      <c r="AS837" s="84"/>
      <c r="AT837" s="84"/>
      <c r="AU837" s="84"/>
      <c r="AV837" s="84"/>
      <c r="AW837" s="84"/>
      <c r="AX837" s="84"/>
      <c r="AY837" s="84"/>
      <c r="AZ837" s="84"/>
      <c r="BA837" s="84"/>
      <c r="BB837" s="84"/>
      <c r="BC837" s="84"/>
      <c r="BD837" s="84"/>
      <c r="BE837" s="84"/>
      <c r="BF837" s="84"/>
      <c r="BG837" s="84"/>
      <c r="BH837" s="84"/>
      <c r="BI837" s="84"/>
      <c r="BJ837" s="84"/>
      <c r="BK837" s="84"/>
      <c r="BL837" s="84"/>
      <c r="BM837" s="84"/>
      <c r="BN837" s="84"/>
      <c r="BO837" s="84"/>
      <c r="BP837" s="84"/>
      <c r="BQ837" s="84"/>
      <c r="BR837" s="84"/>
    </row>
    <row r="838" spans="1:70" ht="15.75" customHeight="1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  <c r="AL838" s="84"/>
      <c r="AM838" s="84"/>
      <c r="AN838" s="84"/>
      <c r="AO838" s="84"/>
      <c r="AP838" s="84"/>
      <c r="AQ838" s="84"/>
      <c r="AR838" s="84"/>
      <c r="AS838" s="84"/>
      <c r="AT838" s="84"/>
      <c r="AU838" s="84"/>
      <c r="AV838" s="84"/>
      <c r="AW838" s="84"/>
      <c r="AX838" s="84"/>
      <c r="AY838" s="84"/>
      <c r="AZ838" s="84"/>
      <c r="BA838" s="84"/>
      <c r="BB838" s="84"/>
      <c r="BC838" s="84"/>
      <c r="BD838" s="84"/>
      <c r="BE838" s="84"/>
      <c r="BF838" s="84"/>
      <c r="BG838" s="84"/>
      <c r="BH838" s="84"/>
      <c r="BI838" s="84"/>
      <c r="BJ838" s="84"/>
      <c r="BK838" s="84"/>
      <c r="BL838" s="84"/>
      <c r="BM838" s="84"/>
      <c r="BN838" s="84"/>
      <c r="BO838" s="84"/>
      <c r="BP838" s="84"/>
      <c r="BQ838" s="84"/>
      <c r="BR838" s="84"/>
    </row>
    <row r="839" spans="1:70" ht="15.75" customHeight="1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  <c r="AL839" s="84"/>
      <c r="AM839" s="84"/>
      <c r="AN839" s="84"/>
      <c r="AO839" s="84"/>
      <c r="AP839" s="84"/>
      <c r="AQ839" s="84"/>
      <c r="AR839" s="84"/>
      <c r="AS839" s="84"/>
      <c r="AT839" s="84"/>
      <c r="AU839" s="84"/>
      <c r="AV839" s="84"/>
      <c r="AW839" s="84"/>
      <c r="AX839" s="84"/>
      <c r="AY839" s="84"/>
      <c r="AZ839" s="84"/>
      <c r="BA839" s="84"/>
      <c r="BB839" s="84"/>
      <c r="BC839" s="84"/>
      <c r="BD839" s="84"/>
      <c r="BE839" s="84"/>
      <c r="BF839" s="84"/>
      <c r="BG839" s="84"/>
      <c r="BH839" s="84"/>
      <c r="BI839" s="84"/>
      <c r="BJ839" s="84"/>
      <c r="BK839" s="84"/>
      <c r="BL839" s="84"/>
      <c r="BM839" s="84"/>
      <c r="BN839" s="84"/>
      <c r="BO839" s="84"/>
      <c r="BP839" s="84"/>
      <c r="BQ839" s="84"/>
      <c r="BR839" s="84"/>
    </row>
    <row r="840" spans="1:70" ht="15.75" customHeight="1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  <c r="AL840" s="84"/>
      <c r="AM840" s="84"/>
      <c r="AN840" s="84"/>
      <c r="AO840" s="84"/>
      <c r="AP840" s="84"/>
      <c r="AQ840" s="84"/>
      <c r="AR840" s="84"/>
      <c r="AS840" s="84"/>
      <c r="AT840" s="84"/>
      <c r="AU840" s="84"/>
      <c r="AV840" s="84"/>
      <c r="AW840" s="84"/>
      <c r="AX840" s="84"/>
      <c r="AY840" s="84"/>
      <c r="AZ840" s="84"/>
      <c r="BA840" s="84"/>
      <c r="BB840" s="84"/>
      <c r="BC840" s="84"/>
      <c r="BD840" s="84"/>
      <c r="BE840" s="84"/>
      <c r="BF840" s="84"/>
      <c r="BG840" s="84"/>
      <c r="BH840" s="84"/>
      <c r="BI840" s="84"/>
      <c r="BJ840" s="84"/>
      <c r="BK840" s="84"/>
      <c r="BL840" s="84"/>
      <c r="BM840" s="84"/>
      <c r="BN840" s="84"/>
      <c r="BO840" s="84"/>
      <c r="BP840" s="84"/>
      <c r="BQ840" s="84"/>
      <c r="BR840" s="84"/>
    </row>
    <row r="841" spans="1:70" ht="15.75" customHeight="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  <c r="AL841" s="84"/>
      <c r="AM841" s="84"/>
      <c r="AN841" s="84"/>
      <c r="AO841" s="84"/>
      <c r="AP841" s="84"/>
      <c r="AQ841" s="84"/>
      <c r="AR841" s="84"/>
      <c r="AS841" s="84"/>
      <c r="AT841" s="84"/>
      <c r="AU841" s="84"/>
      <c r="AV841" s="84"/>
      <c r="AW841" s="84"/>
      <c r="AX841" s="84"/>
      <c r="AY841" s="84"/>
      <c r="AZ841" s="84"/>
      <c r="BA841" s="84"/>
      <c r="BB841" s="84"/>
      <c r="BC841" s="84"/>
      <c r="BD841" s="84"/>
      <c r="BE841" s="84"/>
      <c r="BF841" s="84"/>
      <c r="BG841" s="84"/>
      <c r="BH841" s="84"/>
      <c r="BI841" s="84"/>
      <c r="BJ841" s="84"/>
      <c r="BK841" s="84"/>
      <c r="BL841" s="84"/>
      <c r="BM841" s="84"/>
      <c r="BN841" s="84"/>
      <c r="BO841" s="84"/>
      <c r="BP841" s="84"/>
      <c r="BQ841" s="84"/>
      <c r="BR841" s="84"/>
    </row>
    <row r="842" spans="1:70" ht="15.75" customHeight="1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  <c r="AL842" s="84"/>
      <c r="AM842" s="84"/>
      <c r="AN842" s="84"/>
      <c r="AO842" s="84"/>
      <c r="AP842" s="84"/>
      <c r="AQ842" s="84"/>
      <c r="AR842" s="84"/>
      <c r="AS842" s="84"/>
      <c r="AT842" s="84"/>
      <c r="AU842" s="84"/>
      <c r="AV842" s="84"/>
      <c r="AW842" s="84"/>
      <c r="AX842" s="84"/>
      <c r="AY842" s="84"/>
      <c r="AZ842" s="84"/>
      <c r="BA842" s="84"/>
      <c r="BB842" s="84"/>
      <c r="BC842" s="84"/>
      <c r="BD842" s="84"/>
      <c r="BE842" s="84"/>
      <c r="BF842" s="84"/>
      <c r="BG842" s="84"/>
      <c r="BH842" s="84"/>
      <c r="BI842" s="84"/>
      <c r="BJ842" s="84"/>
      <c r="BK842" s="84"/>
      <c r="BL842" s="84"/>
      <c r="BM842" s="84"/>
      <c r="BN842" s="84"/>
      <c r="BO842" s="84"/>
      <c r="BP842" s="84"/>
      <c r="BQ842" s="84"/>
      <c r="BR842" s="84"/>
    </row>
    <row r="843" spans="1:70" ht="15.75" customHeight="1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  <c r="AL843" s="84"/>
      <c r="AM843" s="84"/>
      <c r="AN843" s="84"/>
      <c r="AO843" s="84"/>
      <c r="AP843" s="84"/>
      <c r="AQ843" s="84"/>
      <c r="AR843" s="84"/>
      <c r="AS843" s="84"/>
      <c r="AT843" s="84"/>
      <c r="AU843" s="84"/>
      <c r="AV843" s="84"/>
      <c r="AW843" s="84"/>
      <c r="AX843" s="84"/>
      <c r="AY843" s="84"/>
      <c r="AZ843" s="84"/>
      <c r="BA843" s="84"/>
      <c r="BB843" s="84"/>
      <c r="BC843" s="84"/>
      <c r="BD843" s="84"/>
      <c r="BE843" s="84"/>
      <c r="BF843" s="84"/>
      <c r="BG843" s="84"/>
      <c r="BH843" s="84"/>
      <c r="BI843" s="84"/>
      <c r="BJ843" s="84"/>
      <c r="BK843" s="84"/>
      <c r="BL843" s="84"/>
      <c r="BM843" s="84"/>
      <c r="BN843" s="84"/>
      <c r="BO843" s="84"/>
      <c r="BP843" s="84"/>
      <c r="BQ843" s="84"/>
      <c r="BR843" s="84"/>
    </row>
    <row r="844" spans="1:70" ht="15.75" customHeight="1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  <c r="AL844" s="84"/>
      <c r="AM844" s="84"/>
      <c r="AN844" s="84"/>
      <c r="AO844" s="84"/>
      <c r="AP844" s="84"/>
      <c r="AQ844" s="84"/>
      <c r="AR844" s="84"/>
      <c r="AS844" s="84"/>
      <c r="AT844" s="84"/>
      <c r="AU844" s="84"/>
      <c r="AV844" s="84"/>
      <c r="AW844" s="84"/>
      <c r="AX844" s="84"/>
      <c r="AY844" s="84"/>
      <c r="AZ844" s="84"/>
      <c r="BA844" s="84"/>
      <c r="BB844" s="84"/>
      <c r="BC844" s="84"/>
      <c r="BD844" s="84"/>
      <c r="BE844" s="84"/>
      <c r="BF844" s="84"/>
      <c r="BG844" s="84"/>
      <c r="BH844" s="84"/>
      <c r="BI844" s="84"/>
      <c r="BJ844" s="84"/>
      <c r="BK844" s="84"/>
      <c r="BL844" s="84"/>
      <c r="BM844" s="84"/>
      <c r="BN844" s="84"/>
      <c r="BO844" s="84"/>
      <c r="BP844" s="84"/>
      <c r="BQ844" s="84"/>
      <c r="BR844" s="84"/>
    </row>
    <row r="845" spans="1:70" ht="15.75" customHeight="1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  <c r="AL845" s="84"/>
      <c r="AM845" s="84"/>
      <c r="AN845" s="84"/>
      <c r="AO845" s="84"/>
      <c r="AP845" s="84"/>
      <c r="AQ845" s="84"/>
      <c r="AR845" s="84"/>
      <c r="AS845" s="84"/>
      <c r="AT845" s="84"/>
      <c r="AU845" s="84"/>
      <c r="AV845" s="84"/>
      <c r="AW845" s="84"/>
      <c r="AX845" s="84"/>
      <c r="AY845" s="84"/>
      <c r="AZ845" s="84"/>
      <c r="BA845" s="84"/>
      <c r="BB845" s="84"/>
      <c r="BC845" s="84"/>
      <c r="BD845" s="84"/>
      <c r="BE845" s="84"/>
      <c r="BF845" s="84"/>
      <c r="BG845" s="84"/>
      <c r="BH845" s="84"/>
      <c r="BI845" s="84"/>
      <c r="BJ845" s="84"/>
      <c r="BK845" s="84"/>
      <c r="BL845" s="84"/>
      <c r="BM845" s="84"/>
      <c r="BN845" s="84"/>
      <c r="BO845" s="84"/>
      <c r="BP845" s="84"/>
      <c r="BQ845" s="84"/>
      <c r="BR845" s="84"/>
    </row>
    <row r="846" spans="1:70" ht="15.75" customHeight="1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  <c r="AL846" s="84"/>
      <c r="AM846" s="84"/>
      <c r="AN846" s="84"/>
      <c r="AO846" s="84"/>
      <c r="AP846" s="84"/>
      <c r="AQ846" s="84"/>
      <c r="AR846" s="84"/>
      <c r="AS846" s="84"/>
      <c r="AT846" s="84"/>
      <c r="AU846" s="84"/>
      <c r="AV846" s="84"/>
      <c r="AW846" s="84"/>
      <c r="AX846" s="84"/>
      <c r="AY846" s="84"/>
      <c r="AZ846" s="84"/>
      <c r="BA846" s="84"/>
      <c r="BB846" s="84"/>
      <c r="BC846" s="84"/>
      <c r="BD846" s="84"/>
      <c r="BE846" s="84"/>
      <c r="BF846" s="84"/>
      <c r="BG846" s="84"/>
      <c r="BH846" s="84"/>
      <c r="BI846" s="84"/>
      <c r="BJ846" s="84"/>
      <c r="BK846" s="84"/>
      <c r="BL846" s="84"/>
      <c r="BM846" s="84"/>
      <c r="BN846" s="84"/>
      <c r="BO846" s="84"/>
      <c r="BP846" s="84"/>
      <c r="BQ846" s="84"/>
      <c r="BR846" s="84"/>
    </row>
    <row r="847" spans="1:70" ht="15.75" customHeight="1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  <c r="AL847" s="84"/>
      <c r="AM847" s="84"/>
      <c r="AN847" s="84"/>
      <c r="AO847" s="84"/>
      <c r="AP847" s="84"/>
      <c r="AQ847" s="84"/>
      <c r="AR847" s="84"/>
      <c r="AS847" s="84"/>
      <c r="AT847" s="84"/>
      <c r="AU847" s="84"/>
      <c r="AV847" s="84"/>
      <c r="AW847" s="84"/>
      <c r="AX847" s="84"/>
      <c r="AY847" s="84"/>
      <c r="AZ847" s="84"/>
      <c r="BA847" s="84"/>
      <c r="BB847" s="84"/>
      <c r="BC847" s="84"/>
      <c r="BD847" s="84"/>
      <c r="BE847" s="84"/>
      <c r="BF847" s="84"/>
      <c r="BG847" s="84"/>
      <c r="BH847" s="84"/>
      <c r="BI847" s="84"/>
      <c r="BJ847" s="84"/>
      <c r="BK847" s="84"/>
      <c r="BL847" s="84"/>
      <c r="BM847" s="84"/>
      <c r="BN847" s="84"/>
      <c r="BO847" s="84"/>
      <c r="BP847" s="84"/>
      <c r="BQ847" s="84"/>
      <c r="BR847" s="84"/>
    </row>
    <row r="848" spans="1:70" ht="15.75" customHeight="1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  <c r="AL848" s="84"/>
      <c r="AM848" s="84"/>
      <c r="AN848" s="84"/>
      <c r="AO848" s="84"/>
      <c r="AP848" s="84"/>
      <c r="AQ848" s="84"/>
      <c r="AR848" s="84"/>
      <c r="AS848" s="84"/>
      <c r="AT848" s="84"/>
      <c r="AU848" s="84"/>
      <c r="AV848" s="84"/>
      <c r="AW848" s="84"/>
      <c r="AX848" s="84"/>
      <c r="AY848" s="84"/>
      <c r="AZ848" s="84"/>
      <c r="BA848" s="84"/>
      <c r="BB848" s="84"/>
      <c r="BC848" s="84"/>
      <c r="BD848" s="84"/>
      <c r="BE848" s="84"/>
      <c r="BF848" s="84"/>
      <c r="BG848" s="84"/>
      <c r="BH848" s="84"/>
      <c r="BI848" s="84"/>
      <c r="BJ848" s="84"/>
      <c r="BK848" s="84"/>
      <c r="BL848" s="84"/>
      <c r="BM848" s="84"/>
      <c r="BN848" s="84"/>
      <c r="BO848" s="84"/>
      <c r="BP848" s="84"/>
      <c r="BQ848" s="84"/>
      <c r="BR848" s="84"/>
    </row>
    <row r="849" spans="1:70" ht="15.75" customHeight="1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  <c r="AL849" s="84"/>
      <c r="AM849" s="84"/>
      <c r="AN849" s="84"/>
      <c r="AO849" s="84"/>
      <c r="AP849" s="84"/>
      <c r="AQ849" s="84"/>
      <c r="AR849" s="84"/>
      <c r="AS849" s="84"/>
      <c r="AT849" s="84"/>
      <c r="AU849" s="84"/>
      <c r="AV849" s="84"/>
      <c r="AW849" s="84"/>
      <c r="AX849" s="84"/>
      <c r="AY849" s="84"/>
      <c r="AZ849" s="84"/>
      <c r="BA849" s="84"/>
      <c r="BB849" s="84"/>
      <c r="BC849" s="84"/>
      <c r="BD849" s="84"/>
      <c r="BE849" s="84"/>
      <c r="BF849" s="84"/>
      <c r="BG849" s="84"/>
      <c r="BH849" s="84"/>
      <c r="BI849" s="84"/>
      <c r="BJ849" s="84"/>
      <c r="BK849" s="84"/>
      <c r="BL849" s="84"/>
      <c r="BM849" s="84"/>
      <c r="BN849" s="84"/>
      <c r="BO849" s="84"/>
      <c r="BP849" s="84"/>
      <c r="BQ849" s="84"/>
      <c r="BR849" s="84"/>
    </row>
    <row r="850" spans="1:70" ht="15.75" customHeight="1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  <c r="AL850" s="84"/>
      <c r="AM850" s="84"/>
      <c r="AN850" s="84"/>
      <c r="AO850" s="84"/>
      <c r="AP850" s="84"/>
      <c r="AQ850" s="84"/>
      <c r="AR850" s="84"/>
      <c r="AS850" s="84"/>
      <c r="AT850" s="84"/>
      <c r="AU850" s="84"/>
      <c r="AV850" s="84"/>
      <c r="AW850" s="84"/>
      <c r="AX850" s="84"/>
      <c r="AY850" s="84"/>
      <c r="AZ850" s="84"/>
      <c r="BA850" s="84"/>
      <c r="BB850" s="84"/>
      <c r="BC850" s="84"/>
      <c r="BD850" s="84"/>
      <c r="BE850" s="84"/>
      <c r="BF850" s="84"/>
      <c r="BG850" s="84"/>
      <c r="BH850" s="84"/>
      <c r="BI850" s="84"/>
      <c r="BJ850" s="84"/>
      <c r="BK850" s="84"/>
      <c r="BL850" s="84"/>
      <c r="BM850" s="84"/>
      <c r="BN850" s="84"/>
      <c r="BO850" s="84"/>
      <c r="BP850" s="84"/>
      <c r="BQ850" s="84"/>
      <c r="BR850" s="84"/>
    </row>
    <row r="851" spans="1:70" ht="15.75" customHeight="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  <c r="AL851" s="84"/>
      <c r="AM851" s="84"/>
      <c r="AN851" s="84"/>
      <c r="AO851" s="84"/>
      <c r="AP851" s="84"/>
      <c r="AQ851" s="84"/>
      <c r="AR851" s="84"/>
      <c r="AS851" s="84"/>
      <c r="AT851" s="84"/>
      <c r="AU851" s="84"/>
      <c r="AV851" s="84"/>
      <c r="AW851" s="84"/>
      <c r="AX851" s="84"/>
      <c r="AY851" s="84"/>
      <c r="AZ851" s="84"/>
      <c r="BA851" s="84"/>
      <c r="BB851" s="84"/>
      <c r="BC851" s="84"/>
      <c r="BD851" s="84"/>
      <c r="BE851" s="84"/>
      <c r="BF851" s="84"/>
      <c r="BG851" s="84"/>
      <c r="BH851" s="84"/>
      <c r="BI851" s="84"/>
      <c r="BJ851" s="84"/>
      <c r="BK851" s="84"/>
      <c r="BL851" s="84"/>
      <c r="BM851" s="84"/>
      <c r="BN851" s="84"/>
      <c r="BO851" s="84"/>
      <c r="BP851" s="84"/>
      <c r="BQ851" s="84"/>
      <c r="BR851" s="84"/>
    </row>
    <row r="852" spans="1:70" ht="15.75" customHeight="1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  <c r="AL852" s="84"/>
      <c r="AM852" s="84"/>
      <c r="AN852" s="84"/>
      <c r="AO852" s="84"/>
      <c r="AP852" s="84"/>
      <c r="AQ852" s="84"/>
      <c r="AR852" s="84"/>
      <c r="AS852" s="84"/>
      <c r="AT852" s="84"/>
      <c r="AU852" s="84"/>
      <c r="AV852" s="84"/>
      <c r="AW852" s="84"/>
      <c r="AX852" s="84"/>
      <c r="AY852" s="84"/>
      <c r="AZ852" s="84"/>
      <c r="BA852" s="84"/>
      <c r="BB852" s="84"/>
      <c r="BC852" s="84"/>
      <c r="BD852" s="84"/>
      <c r="BE852" s="84"/>
      <c r="BF852" s="84"/>
      <c r="BG852" s="84"/>
      <c r="BH852" s="84"/>
      <c r="BI852" s="84"/>
      <c r="BJ852" s="84"/>
      <c r="BK852" s="84"/>
      <c r="BL852" s="84"/>
      <c r="BM852" s="84"/>
      <c r="BN852" s="84"/>
      <c r="BO852" s="84"/>
      <c r="BP852" s="84"/>
      <c r="BQ852" s="84"/>
      <c r="BR852" s="84"/>
    </row>
    <row r="853" spans="1:70" ht="15.75" customHeight="1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  <c r="AL853" s="84"/>
      <c r="AM853" s="84"/>
      <c r="AN853" s="84"/>
      <c r="AO853" s="84"/>
      <c r="AP853" s="84"/>
      <c r="AQ853" s="84"/>
      <c r="AR853" s="84"/>
      <c r="AS853" s="84"/>
      <c r="AT853" s="84"/>
      <c r="AU853" s="84"/>
      <c r="AV853" s="84"/>
      <c r="AW853" s="84"/>
      <c r="AX853" s="84"/>
      <c r="AY853" s="84"/>
      <c r="AZ853" s="84"/>
      <c r="BA853" s="84"/>
      <c r="BB853" s="84"/>
      <c r="BC853" s="84"/>
      <c r="BD853" s="84"/>
      <c r="BE853" s="84"/>
      <c r="BF853" s="84"/>
      <c r="BG853" s="84"/>
      <c r="BH853" s="84"/>
      <c r="BI853" s="84"/>
      <c r="BJ853" s="84"/>
      <c r="BK853" s="84"/>
      <c r="BL853" s="84"/>
      <c r="BM853" s="84"/>
      <c r="BN853" s="84"/>
      <c r="BO853" s="84"/>
      <c r="BP853" s="84"/>
      <c r="BQ853" s="84"/>
      <c r="BR853" s="84"/>
    </row>
    <row r="854" spans="1:70" ht="15.75" customHeight="1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  <c r="AL854" s="84"/>
      <c r="AM854" s="84"/>
      <c r="AN854" s="84"/>
      <c r="AO854" s="84"/>
      <c r="AP854" s="84"/>
      <c r="AQ854" s="84"/>
      <c r="AR854" s="84"/>
      <c r="AS854" s="84"/>
      <c r="AT854" s="84"/>
      <c r="AU854" s="84"/>
      <c r="AV854" s="84"/>
      <c r="AW854" s="84"/>
      <c r="AX854" s="84"/>
      <c r="AY854" s="84"/>
      <c r="AZ854" s="84"/>
      <c r="BA854" s="84"/>
      <c r="BB854" s="84"/>
      <c r="BC854" s="84"/>
      <c r="BD854" s="84"/>
      <c r="BE854" s="84"/>
      <c r="BF854" s="84"/>
      <c r="BG854" s="84"/>
      <c r="BH854" s="84"/>
      <c r="BI854" s="84"/>
      <c r="BJ854" s="84"/>
      <c r="BK854" s="84"/>
      <c r="BL854" s="84"/>
      <c r="BM854" s="84"/>
      <c r="BN854" s="84"/>
      <c r="BO854" s="84"/>
      <c r="BP854" s="84"/>
      <c r="BQ854" s="84"/>
      <c r="BR854" s="84"/>
    </row>
    <row r="855" spans="1:70" ht="15.75" customHeight="1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  <c r="AL855" s="84"/>
      <c r="AM855" s="84"/>
      <c r="AN855" s="84"/>
      <c r="AO855" s="84"/>
      <c r="AP855" s="84"/>
      <c r="AQ855" s="84"/>
      <c r="AR855" s="84"/>
      <c r="AS855" s="84"/>
      <c r="AT855" s="84"/>
      <c r="AU855" s="84"/>
      <c r="AV855" s="84"/>
      <c r="AW855" s="84"/>
      <c r="AX855" s="84"/>
      <c r="AY855" s="84"/>
      <c r="AZ855" s="84"/>
      <c r="BA855" s="84"/>
      <c r="BB855" s="84"/>
      <c r="BC855" s="84"/>
      <c r="BD855" s="84"/>
      <c r="BE855" s="84"/>
      <c r="BF855" s="84"/>
      <c r="BG855" s="84"/>
      <c r="BH855" s="84"/>
      <c r="BI855" s="84"/>
      <c r="BJ855" s="84"/>
      <c r="BK855" s="84"/>
      <c r="BL855" s="84"/>
      <c r="BM855" s="84"/>
      <c r="BN855" s="84"/>
      <c r="BO855" s="84"/>
      <c r="BP855" s="84"/>
      <c r="BQ855" s="84"/>
      <c r="BR855" s="84"/>
    </row>
    <row r="856" spans="1:70" ht="15.75" customHeight="1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  <c r="AL856" s="84"/>
      <c r="AM856" s="84"/>
      <c r="AN856" s="84"/>
      <c r="AO856" s="84"/>
      <c r="AP856" s="84"/>
      <c r="AQ856" s="84"/>
      <c r="AR856" s="84"/>
      <c r="AS856" s="84"/>
      <c r="AT856" s="84"/>
      <c r="AU856" s="84"/>
      <c r="AV856" s="84"/>
      <c r="AW856" s="84"/>
      <c r="AX856" s="84"/>
      <c r="AY856" s="84"/>
      <c r="AZ856" s="84"/>
      <c r="BA856" s="84"/>
      <c r="BB856" s="84"/>
      <c r="BC856" s="84"/>
      <c r="BD856" s="84"/>
      <c r="BE856" s="84"/>
      <c r="BF856" s="84"/>
      <c r="BG856" s="84"/>
      <c r="BH856" s="84"/>
      <c r="BI856" s="84"/>
      <c r="BJ856" s="84"/>
      <c r="BK856" s="84"/>
      <c r="BL856" s="84"/>
      <c r="BM856" s="84"/>
      <c r="BN856" s="84"/>
      <c r="BO856" s="84"/>
      <c r="BP856" s="84"/>
      <c r="BQ856" s="84"/>
      <c r="BR856" s="84"/>
    </row>
    <row r="857" spans="1:70" ht="15.75" customHeight="1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  <c r="AL857" s="84"/>
      <c r="AM857" s="84"/>
      <c r="AN857" s="84"/>
      <c r="AO857" s="84"/>
      <c r="AP857" s="84"/>
      <c r="AQ857" s="84"/>
      <c r="AR857" s="84"/>
      <c r="AS857" s="84"/>
      <c r="AT857" s="84"/>
      <c r="AU857" s="84"/>
      <c r="AV857" s="84"/>
      <c r="AW857" s="84"/>
      <c r="AX857" s="84"/>
      <c r="AY857" s="84"/>
      <c r="AZ857" s="84"/>
      <c r="BA857" s="84"/>
      <c r="BB857" s="84"/>
      <c r="BC857" s="84"/>
      <c r="BD857" s="84"/>
      <c r="BE857" s="84"/>
      <c r="BF857" s="84"/>
      <c r="BG857" s="84"/>
      <c r="BH857" s="84"/>
      <c r="BI857" s="84"/>
      <c r="BJ857" s="84"/>
      <c r="BK857" s="84"/>
      <c r="BL857" s="84"/>
      <c r="BM857" s="84"/>
      <c r="BN857" s="84"/>
      <c r="BO857" s="84"/>
      <c r="BP857" s="84"/>
      <c r="BQ857" s="84"/>
      <c r="BR857" s="84"/>
    </row>
    <row r="858" spans="1:70" ht="15.75" customHeight="1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  <c r="AL858" s="84"/>
      <c r="AM858" s="84"/>
      <c r="AN858" s="84"/>
      <c r="AO858" s="84"/>
      <c r="AP858" s="84"/>
      <c r="AQ858" s="84"/>
      <c r="AR858" s="84"/>
      <c r="AS858" s="84"/>
      <c r="AT858" s="84"/>
      <c r="AU858" s="84"/>
      <c r="AV858" s="84"/>
      <c r="AW858" s="84"/>
      <c r="AX858" s="84"/>
      <c r="AY858" s="84"/>
      <c r="AZ858" s="84"/>
      <c r="BA858" s="84"/>
      <c r="BB858" s="84"/>
      <c r="BC858" s="84"/>
      <c r="BD858" s="84"/>
      <c r="BE858" s="84"/>
      <c r="BF858" s="84"/>
      <c r="BG858" s="84"/>
      <c r="BH858" s="84"/>
      <c r="BI858" s="84"/>
      <c r="BJ858" s="84"/>
      <c r="BK858" s="84"/>
      <c r="BL858" s="84"/>
      <c r="BM858" s="84"/>
      <c r="BN858" s="84"/>
      <c r="BO858" s="84"/>
      <c r="BP858" s="84"/>
      <c r="BQ858" s="84"/>
      <c r="BR858" s="84"/>
    </row>
    <row r="859" spans="1:70" ht="15.75" customHeight="1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  <c r="AL859" s="84"/>
      <c r="AM859" s="84"/>
      <c r="AN859" s="84"/>
      <c r="AO859" s="84"/>
      <c r="AP859" s="84"/>
      <c r="AQ859" s="84"/>
      <c r="AR859" s="84"/>
      <c r="AS859" s="84"/>
      <c r="AT859" s="84"/>
      <c r="AU859" s="84"/>
      <c r="AV859" s="84"/>
      <c r="AW859" s="84"/>
      <c r="AX859" s="84"/>
      <c r="AY859" s="84"/>
      <c r="AZ859" s="84"/>
      <c r="BA859" s="84"/>
      <c r="BB859" s="84"/>
      <c r="BC859" s="84"/>
      <c r="BD859" s="84"/>
      <c r="BE859" s="84"/>
      <c r="BF859" s="84"/>
      <c r="BG859" s="84"/>
      <c r="BH859" s="84"/>
      <c r="BI859" s="84"/>
      <c r="BJ859" s="84"/>
      <c r="BK859" s="84"/>
      <c r="BL859" s="84"/>
      <c r="BM859" s="84"/>
      <c r="BN859" s="84"/>
      <c r="BO859" s="84"/>
      <c r="BP859" s="84"/>
      <c r="BQ859" s="84"/>
      <c r="BR859" s="84"/>
    </row>
    <row r="860" spans="1:70" ht="15.75" customHeight="1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  <c r="AL860" s="84"/>
      <c r="AM860" s="84"/>
      <c r="AN860" s="84"/>
      <c r="AO860" s="84"/>
      <c r="AP860" s="84"/>
      <c r="AQ860" s="84"/>
      <c r="AR860" s="84"/>
      <c r="AS860" s="84"/>
      <c r="AT860" s="84"/>
      <c r="AU860" s="84"/>
      <c r="AV860" s="84"/>
      <c r="AW860" s="84"/>
      <c r="AX860" s="84"/>
      <c r="AY860" s="84"/>
      <c r="AZ860" s="84"/>
      <c r="BA860" s="84"/>
      <c r="BB860" s="84"/>
      <c r="BC860" s="84"/>
      <c r="BD860" s="84"/>
      <c r="BE860" s="84"/>
      <c r="BF860" s="84"/>
      <c r="BG860" s="84"/>
      <c r="BH860" s="84"/>
      <c r="BI860" s="84"/>
      <c r="BJ860" s="84"/>
      <c r="BK860" s="84"/>
      <c r="BL860" s="84"/>
      <c r="BM860" s="84"/>
      <c r="BN860" s="84"/>
      <c r="BO860" s="84"/>
      <c r="BP860" s="84"/>
      <c r="BQ860" s="84"/>
      <c r="BR860" s="84"/>
    </row>
    <row r="861" spans="1:70" ht="15.75" customHeight="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  <c r="AL861" s="84"/>
      <c r="AM861" s="84"/>
      <c r="AN861" s="84"/>
      <c r="AO861" s="84"/>
      <c r="AP861" s="84"/>
      <c r="AQ861" s="84"/>
      <c r="AR861" s="84"/>
      <c r="AS861" s="84"/>
      <c r="AT861" s="84"/>
      <c r="AU861" s="84"/>
      <c r="AV861" s="84"/>
      <c r="AW861" s="84"/>
      <c r="AX861" s="84"/>
      <c r="AY861" s="84"/>
      <c r="AZ861" s="84"/>
      <c r="BA861" s="84"/>
      <c r="BB861" s="84"/>
      <c r="BC861" s="84"/>
      <c r="BD861" s="84"/>
      <c r="BE861" s="84"/>
      <c r="BF861" s="84"/>
      <c r="BG861" s="84"/>
      <c r="BH861" s="84"/>
      <c r="BI861" s="84"/>
      <c r="BJ861" s="84"/>
      <c r="BK861" s="84"/>
      <c r="BL861" s="84"/>
      <c r="BM861" s="84"/>
      <c r="BN861" s="84"/>
      <c r="BO861" s="84"/>
      <c r="BP861" s="84"/>
      <c r="BQ861" s="84"/>
      <c r="BR861" s="84"/>
    </row>
    <row r="862" spans="1:70" ht="15.75" customHeight="1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  <c r="AL862" s="84"/>
      <c r="AM862" s="84"/>
      <c r="AN862" s="84"/>
      <c r="AO862" s="84"/>
      <c r="AP862" s="84"/>
      <c r="AQ862" s="84"/>
      <c r="AR862" s="84"/>
      <c r="AS862" s="84"/>
      <c r="AT862" s="84"/>
      <c r="AU862" s="84"/>
      <c r="AV862" s="84"/>
      <c r="AW862" s="84"/>
      <c r="AX862" s="84"/>
      <c r="AY862" s="84"/>
      <c r="AZ862" s="84"/>
      <c r="BA862" s="84"/>
      <c r="BB862" s="84"/>
      <c r="BC862" s="84"/>
      <c r="BD862" s="84"/>
      <c r="BE862" s="84"/>
      <c r="BF862" s="84"/>
      <c r="BG862" s="84"/>
      <c r="BH862" s="84"/>
      <c r="BI862" s="84"/>
      <c r="BJ862" s="84"/>
      <c r="BK862" s="84"/>
      <c r="BL862" s="84"/>
      <c r="BM862" s="84"/>
      <c r="BN862" s="84"/>
      <c r="BO862" s="84"/>
      <c r="BP862" s="84"/>
      <c r="BQ862" s="84"/>
      <c r="BR862" s="84"/>
    </row>
    <row r="863" spans="1:70" ht="15.75" customHeight="1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  <c r="AL863" s="84"/>
      <c r="AM863" s="84"/>
      <c r="AN863" s="84"/>
      <c r="AO863" s="84"/>
      <c r="AP863" s="84"/>
      <c r="AQ863" s="84"/>
      <c r="AR863" s="84"/>
      <c r="AS863" s="84"/>
      <c r="AT863" s="84"/>
      <c r="AU863" s="84"/>
      <c r="AV863" s="84"/>
      <c r="AW863" s="84"/>
      <c r="AX863" s="84"/>
      <c r="AY863" s="84"/>
      <c r="AZ863" s="84"/>
      <c r="BA863" s="84"/>
      <c r="BB863" s="84"/>
      <c r="BC863" s="84"/>
      <c r="BD863" s="84"/>
      <c r="BE863" s="84"/>
      <c r="BF863" s="84"/>
      <c r="BG863" s="84"/>
      <c r="BH863" s="84"/>
      <c r="BI863" s="84"/>
      <c r="BJ863" s="84"/>
      <c r="BK863" s="84"/>
      <c r="BL863" s="84"/>
      <c r="BM863" s="84"/>
      <c r="BN863" s="84"/>
      <c r="BO863" s="84"/>
      <c r="BP863" s="84"/>
      <c r="BQ863" s="84"/>
      <c r="BR863" s="84"/>
    </row>
    <row r="864" spans="1:70" ht="15.75" customHeight="1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  <c r="AL864" s="84"/>
      <c r="AM864" s="84"/>
      <c r="AN864" s="84"/>
      <c r="AO864" s="84"/>
      <c r="AP864" s="84"/>
      <c r="AQ864" s="84"/>
      <c r="AR864" s="84"/>
      <c r="AS864" s="84"/>
      <c r="AT864" s="84"/>
      <c r="AU864" s="84"/>
      <c r="AV864" s="84"/>
      <c r="AW864" s="84"/>
      <c r="AX864" s="84"/>
      <c r="AY864" s="84"/>
      <c r="AZ864" s="84"/>
      <c r="BA864" s="84"/>
      <c r="BB864" s="84"/>
      <c r="BC864" s="84"/>
      <c r="BD864" s="84"/>
      <c r="BE864" s="84"/>
      <c r="BF864" s="84"/>
      <c r="BG864" s="84"/>
      <c r="BH864" s="84"/>
      <c r="BI864" s="84"/>
      <c r="BJ864" s="84"/>
      <c r="BK864" s="84"/>
      <c r="BL864" s="84"/>
      <c r="BM864" s="84"/>
      <c r="BN864" s="84"/>
      <c r="BO864" s="84"/>
      <c r="BP864" s="84"/>
      <c r="BQ864" s="84"/>
      <c r="BR864" s="84"/>
    </row>
    <row r="865" spans="1:70" ht="15.75" customHeight="1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  <c r="AL865" s="84"/>
      <c r="AM865" s="84"/>
      <c r="AN865" s="84"/>
      <c r="AO865" s="84"/>
      <c r="AP865" s="84"/>
      <c r="AQ865" s="84"/>
      <c r="AR865" s="84"/>
      <c r="AS865" s="84"/>
      <c r="AT865" s="84"/>
      <c r="AU865" s="84"/>
      <c r="AV865" s="84"/>
      <c r="AW865" s="84"/>
      <c r="AX865" s="84"/>
      <c r="AY865" s="84"/>
      <c r="AZ865" s="84"/>
      <c r="BA865" s="84"/>
      <c r="BB865" s="84"/>
      <c r="BC865" s="84"/>
      <c r="BD865" s="84"/>
      <c r="BE865" s="84"/>
      <c r="BF865" s="84"/>
      <c r="BG865" s="84"/>
      <c r="BH865" s="84"/>
      <c r="BI865" s="84"/>
      <c r="BJ865" s="84"/>
      <c r="BK865" s="84"/>
      <c r="BL865" s="84"/>
      <c r="BM865" s="84"/>
      <c r="BN865" s="84"/>
      <c r="BO865" s="84"/>
      <c r="BP865" s="84"/>
      <c r="BQ865" s="84"/>
      <c r="BR865" s="84"/>
    </row>
    <row r="866" spans="1:70" ht="15.75" customHeight="1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  <c r="AL866" s="84"/>
      <c r="AM866" s="84"/>
      <c r="AN866" s="84"/>
      <c r="AO866" s="84"/>
      <c r="AP866" s="84"/>
      <c r="AQ866" s="84"/>
      <c r="AR866" s="84"/>
      <c r="AS866" s="84"/>
      <c r="AT866" s="84"/>
      <c r="AU866" s="84"/>
      <c r="AV866" s="84"/>
      <c r="AW866" s="84"/>
      <c r="AX866" s="84"/>
      <c r="AY866" s="84"/>
      <c r="AZ866" s="84"/>
      <c r="BA866" s="84"/>
      <c r="BB866" s="84"/>
      <c r="BC866" s="84"/>
      <c r="BD866" s="84"/>
      <c r="BE866" s="84"/>
      <c r="BF866" s="84"/>
      <c r="BG866" s="84"/>
      <c r="BH866" s="84"/>
      <c r="BI866" s="84"/>
      <c r="BJ866" s="84"/>
      <c r="BK866" s="84"/>
      <c r="BL866" s="84"/>
      <c r="BM866" s="84"/>
      <c r="BN866" s="84"/>
      <c r="BO866" s="84"/>
      <c r="BP866" s="84"/>
      <c r="BQ866" s="84"/>
      <c r="BR866" s="84"/>
    </row>
    <row r="867" spans="1:70" ht="15.75" customHeight="1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  <c r="AL867" s="84"/>
      <c r="AM867" s="84"/>
      <c r="AN867" s="84"/>
      <c r="AO867" s="84"/>
      <c r="AP867" s="84"/>
      <c r="AQ867" s="84"/>
      <c r="AR867" s="84"/>
      <c r="AS867" s="84"/>
      <c r="AT867" s="84"/>
      <c r="AU867" s="84"/>
      <c r="AV867" s="84"/>
      <c r="AW867" s="84"/>
      <c r="AX867" s="84"/>
      <c r="AY867" s="84"/>
      <c r="AZ867" s="84"/>
      <c r="BA867" s="84"/>
      <c r="BB867" s="84"/>
      <c r="BC867" s="84"/>
      <c r="BD867" s="84"/>
      <c r="BE867" s="84"/>
      <c r="BF867" s="84"/>
      <c r="BG867" s="84"/>
      <c r="BH867" s="84"/>
      <c r="BI867" s="84"/>
      <c r="BJ867" s="84"/>
      <c r="BK867" s="84"/>
      <c r="BL867" s="84"/>
      <c r="BM867" s="84"/>
      <c r="BN867" s="84"/>
      <c r="BO867" s="84"/>
      <c r="BP867" s="84"/>
      <c r="BQ867" s="84"/>
      <c r="BR867" s="84"/>
    </row>
    <row r="868" spans="1:70" ht="15.75" customHeight="1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  <c r="AL868" s="84"/>
      <c r="AM868" s="84"/>
      <c r="AN868" s="84"/>
      <c r="AO868" s="84"/>
      <c r="AP868" s="84"/>
      <c r="AQ868" s="84"/>
      <c r="AR868" s="84"/>
      <c r="AS868" s="84"/>
      <c r="AT868" s="84"/>
      <c r="AU868" s="84"/>
      <c r="AV868" s="84"/>
      <c r="AW868" s="84"/>
      <c r="AX868" s="84"/>
      <c r="AY868" s="84"/>
      <c r="AZ868" s="84"/>
      <c r="BA868" s="84"/>
      <c r="BB868" s="84"/>
      <c r="BC868" s="84"/>
      <c r="BD868" s="84"/>
      <c r="BE868" s="84"/>
      <c r="BF868" s="84"/>
      <c r="BG868" s="84"/>
      <c r="BH868" s="84"/>
      <c r="BI868" s="84"/>
      <c r="BJ868" s="84"/>
      <c r="BK868" s="84"/>
      <c r="BL868" s="84"/>
      <c r="BM868" s="84"/>
      <c r="BN868" s="84"/>
      <c r="BO868" s="84"/>
      <c r="BP868" s="84"/>
      <c r="BQ868" s="84"/>
      <c r="BR868" s="84"/>
    </row>
    <row r="869" spans="1:70" ht="15.75" customHeight="1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  <c r="AL869" s="84"/>
      <c r="AM869" s="84"/>
      <c r="AN869" s="84"/>
      <c r="AO869" s="84"/>
      <c r="AP869" s="84"/>
      <c r="AQ869" s="84"/>
      <c r="AR869" s="84"/>
      <c r="AS869" s="84"/>
      <c r="AT869" s="84"/>
      <c r="AU869" s="84"/>
      <c r="AV869" s="84"/>
      <c r="AW869" s="84"/>
      <c r="AX869" s="84"/>
      <c r="AY869" s="84"/>
      <c r="AZ869" s="84"/>
      <c r="BA869" s="84"/>
      <c r="BB869" s="84"/>
      <c r="BC869" s="84"/>
      <c r="BD869" s="84"/>
      <c r="BE869" s="84"/>
      <c r="BF869" s="84"/>
      <c r="BG869" s="84"/>
      <c r="BH869" s="84"/>
      <c r="BI869" s="84"/>
      <c r="BJ869" s="84"/>
      <c r="BK869" s="84"/>
      <c r="BL869" s="84"/>
      <c r="BM869" s="84"/>
      <c r="BN869" s="84"/>
      <c r="BO869" s="84"/>
      <c r="BP869" s="84"/>
      <c r="BQ869" s="84"/>
      <c r="BR869" s="84"/>
    </row>
    <row r="870" spans="1:70" ht="15.75" customHeight="1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  <c r="AL870" s="84"/>
      <c r="AM870" s="84"/>
      <c r="AN870" s="84"/>
      <c r="AO870" s="84"/>
      <c r="AP870" s="84"/>
      <c r="AQ870" s="84"/>
      <c r="AR870" s="84"/>
      <c r="AS870" s="84"/>
      <c r="AT870" s="84"/>
      <c r="AU870" s="84"/>
      <c r="AV870" s="84"/>
      <c r="AW870" s="84"/>
      <c r="AX870" s="84"/>
      <c r="AY870" s="84"/>
      <c r="AZ870" s="84"/>
      <c r="BA870" s="84"/>
      <c r="BB870" s="84"/>
      <c r="BC870" s="84"/>
      <c r="BD870" s="84"/>
      <c r="BE870" s="84"/>
      <c r="BF870" s="84"/>
      <c r="BG870" s="84"/>
      <c r="BH870" s="84"/>
      <c r="BI870" s="84"/>
      <c r="BJ870" s="84"/>
      <c r="BK870" s="84"/>
      <c r="BL870" s="84"/>
      <c r="BM870" s="84"/>
      <c r="BN870" s="84"/>
      <c r="BO870" s="84"/>
      <c r="BP870" s="84"/>
      <c r="BQ870" s="84"/>
      <c r="BR870" s="84"/>
    </row>
    <row r="871" spans="1:70" ht="15.75" customHeight="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  <c r="AL871" s="84"/>
      <c r="AM871" s="84"/>
      <c r="AN871" s="84"/>
      <c r="AO871" s="84"/>
      <c r="AP871" s="84"/>
      <c r="AQ871" s="84"/>
      <c r="AR871" s="84"/>
      <c r="AS871" s="84"/>
      <c r="AT871" s="84"/>
      <c r="AU871" s="84"/>
      <c r="AV871" s="84"/>
      <c r="AW871" s="84"/>
      <c r="AX871" s="84"/>
      <c r="AY871" s="84"/>
      <c r="AZ871" s="84"/>
      <c r="BA871" s="84"/>
      <c r="BB871" s="84"/>
      <c r="BC871" s="84"/>
      <c r="BD871" s="84"/>
      <c r="BE871" s="84"/>
      <c r="BF871" s="84"/>
      <c r="BG871" s="84"/>
      <c r="BH871" s="84"/>
      <c r="BI871" s="84"/>
      <c r="BJ871" s="84"/>
      <c r="BK871" s="84"/>
      <c r="BL871" s="84"/>
      <c r="BM871" s="84"/>
      <c r="BN871" s="84"/>
      <c r="BO871" s="84"/>
      <c r="BP871" s="84"/>
      <c r="BQ871" s="84"/>
      <c r="BR871" s="84"/>
    </row>
    <row r="872" spans="1:70" ht="15.75" customHeight="1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  <c r="AL872" s="84"/>
      <c r="AM872" s="84"/>
      <c r="AN872" s="84"/>
      <c r="AO872" s="84"/>
      <c r="AP872" s="84"/>
      <c r="AQ872" s="84"/>
      <c r="AR872" s="84"/>
      <c r="AS872" s="84"/>
      <c r="AT872" s="84"/>
      <c r="AU872" s="84"/>
      <c r="AV872" s="84"/>
      <c r="AW872" s="84"/>
      <c r="AX872" s="84"/>
      <c r="AY872" s="84"/>
      <c r="AZ872" s="84"/>
      <c r="BA872" s="84"/>
      <c r="BB872" s="84"/>
      <c r="BC872" s="84"/>
      <c r="BD872" s="84"/>
      <c r="BE872" s="84"/>
      <c r="BF872" s="84"/>
      <c r="BG872" s="84"/>
      <c r="BH872" s="84"/>
      <c r="BI872" s="84"/>
      <c r="BJ872" s="84"/>
      <c r="BK872" s="84"/>
      <c r="BL872" s="84"/>
      <c r="BM872" s="84"/>
      <c r="BN872" s="84"/>
      <c r="BO872" s="84"/>
      <c r="BP872" s="84"/>
      <c r="BQ872" s="84"/>
      <c r="BR872" s="84"/>
    </row>
    <row r="873" spans="1:70" ht="15.75" customHeight="1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  <c r="AL873" s="84"/>
      <c r="AM873" s="84"/>
      <c r="AN873" s="84"/>
      <c r="AO873" s="84"/>
      <c r="AP873" s="84"/>
      <c r="AQ873" s="84"/>
      <c r="AR873" s="84"/>
      <c r="AS873" s="84"/>
      <c r="AT873" s="84"/>
      <c r="AU873" s="84"/>
      <c r="AV873" s="84"/>
      <c r="AW873" s="84"/>
      <c r="AX873" s="84"/>
      <c r="AY873" s="84"/>
      <c r="AZ873" s="84"/>
      <c r="BA873" s="84"/>
      <c r="BB873" s="84"/>
      <c r="BC873" s="84"/>
      <c r="BD873" s="84"/>
      <c r="BE873" s="84"/>
      <c r="BF873" s="84"/>
      <c r="BG873" s="84"/>
      <c r="BH873" s="84"/>
      <c r="BI873" s="84"/>
      <c r="BJ873" s="84"/>
      <c r="BK873" s="84"/>
      <c r="BL873" s="84"/>
      <c r="BM873" s="84"/>
      <c r="BN873" s="84"/>
      <c r="BO873" s="84"/>
      <c r="BP873" s="84"/>
      <c r="BQ873" s="84"/>
      <c r="BR873" s="84"/>
    </row>
    <row r="874" spans="1:70" ht="15.75" customHeight="1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  <c r="AL874" s="84"/>
      <c r="AM874" s="84"/>
      <c r="AN874" s="84"/>
      <c r="AO874" s="84"/>
      <c r="AP874" s="84"/>
      <c r="AQ874" s="84"/>
      <c r="AR874" s="84"/>
      <c r="AS874" s="84"/>
      <c r="AT874" s="84"/>
      <c r="AU874" s="84"/>
      <c r="AV874" s="84"/>
      <c r="AW874" s="84"/>
      <c r="AX874" s="84"/>
      <c r="AY874" s="84"/>
      <c r="AZ874" s="84"/>
      <c r="BA874" s="84"/>
      <c r="BB874" s="84"/>
      <c r="BC874" s="84"/>
      <c r="BD874" s="84"/>
      <c r="BE874" s="84"/>
      <c r="BF874" s="84"/>
      <c r="BG874" s="84"/>
      <c r="BH874" s="84"/>
      <c r="BI874" s="84"/>
      <c r="BJ874" s="84"/>
      <c r="BK874" s="84"/>
      <c r="BL874" s="84"/>
      <c r="BM874" s="84"/>
      <c r="BN874" s="84"/>
      <c r="BO874" s="84"/>
      <c r="BP874" s="84"/>
      <c r="BQ874" s="84"/>
      <c r="BR874" s="84"/>
    </row>
    <row r="875" spans="1:70" ht="15.75" customHeight="1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  <c r="AL875" s="84"/>
      <c r="AM875" s="84"/>
      <c r="AN875" s="84"/>
      <c r="AO875" s="84"/>
      <c r="AP875" s="84"/>
      <c r="AQ875" s="84"/>
      <c r="AR875" s="84"/>
      <c r="AS875" s="84"/>
      <c r="AT875" s="84"/>
      <c r="AU875" s="84"/>
      <c r="AV875" s="84"/>
      <c r="AW875" s="84"/>
      <c r="AX875" s="84"/>
      <c r="AY875" s="84"/>
      <c r="AZ875" s="84"/>
      <c r="BA875" s="84"/>
      <c r="BB875" s="84"/>
      <c r="BC875" s="84"/>
      <c r="BD875" s="84"/>
      <c r="BE875" s="84"/>
      <c r="BF875" s="84"/>
      <c r="BG875" s="84"/>
      <c r="BH875" s="84"/>
      <c r="BI875" s="84"/>
      <c r="BJ875" s="84"/>
      <c r="BK875" s="84"/>
      <c r="BL875" s="84"/>
      <c r="BM875" s="84"/>
      <c r="BN875" s="84"/>
      <c r="BO875" s="84"/>
      <c r="BP875" s="84"/>
      <c r="BQ875" s="84"/>
      <c r="BR875" s="84"/>
    </row>
    <row r="876" spans="1:70" ht="15.75" customHeight="1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  <c r="AL876" s="84"/>
      <c r="AM876" s="84"/>
      <c r="AN876" s="84"/>
      <c r="AO876" s="84"/>
      <c r="AP876" s="84"/>
      <c r="AQ876" s="84"/>
      <c r="AR876" s="84"/>
      <c r="AS876" s="84"/>
      <c r="AT876" s="84"/>
      <c r="AU876" s="84"/>
      <c r="AV876" s="84"/>
      <c r="AW876" s="84"/>
      <c r="AX876" s="84"/>
      <c r="AY876" s="84"/>
      <c r="AZ876" s="84"/>
      <c r="BA876" s="84"/>
      <c r="BB876" s="84"/>
      <c r="BC876" s="84"/>
      <c r="BD876" s="84"/>
      <c r="BE876" s="84"/>
      <c r="BF876" s="84"/>
      <c r="BG876" s="84"/>
      <c r="BH876" s="84"/>
      <c r="BI876" s="84"/>
      <c r="BJ876" s="84"/>
      <c r="BK876" s="84"/>
      <c r="BL876" s="84"/>
      <c r="BM876" s="84"/>
      <c r="BN876" s="84"/>
      <c r="BO876" s="84"/>
      <c r="BP876" s="84"/>
      <c r="BQ876" s="84"/>
      <c r="BR876" s="84"/>
    </row>
    <row r="877" spans="1:70" ht="15.75" customHeight="1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  <c r="AL877" s="84"/>
      <c r="AM877" s="84"/>
      <c r="AN877" s="84"/>
      <c r="AO877" s="84"/>
      <c r="AP877" s="84"/>
      <c r="AQ877" s="84"/>
      <c r="AR877" s="84"/>
      <c r="AS877" s="84"/>
      <c r="AT877" s="84"/>
      <c r="AU877" s="84"/>
      <c r="AV877" s="84"/>
      <c r="AW877" s="84"/>
      <c r="AX877" s="84"/>
      <c r="AY877" s="84"/>
      <c r="AZ877" s="84"/>
      <c r="BA877" s="84"/>
      <c r="BB877" s="84"/>
      <c r="BC877" s="84"/>
      <c r="BD877" s="84"/>
      <c r="BE877" s="84"/>
      <c r="BF877" s="84"/>
      <c r="BG877" s="84"/>
      <c r="BH877" s="84"/>
      <c r="BI877" s="84"/>
      <c r="BJ877" s="84"/>
      <c r="BK877" s="84"/>
      <c r="BL877" s="84"/>
      <c r="BM877" s="84"/>
      <c r="BN877" s="84"/>
      <c r="BO877" s="84"/>
      <c r="BP877" s="84"/>
      <c r="BQ877" s="84"/>
      <c r="BR877" s="84"/>
    </row>
    <row r="878" spans="1:70" ht="15.75" customHeight="1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  <c r="AL878" s="84"/>
      <c r="AM878" s="84"/>
      <c r="AN878" s="84"/>
      <c r="AO878" s="84"/>
      <c r="AP878" s="84"/>
      <c r="AQ878" s="84"/>
      <c r="AR878" s="84"/>
      <c r="AS878" s="84"/>
      <c r="AT878" s="84"/>
      <c r="AU878" s="84"/>
      <c r="AV878" s="84"/>
      <c r="AW878" s="84"/>
      <c r="AX878" s="84"/>
      <c r="AY878" s="84"/>
      <c r="AZ878" s="84"/>
      <c r="BA878" s="84"/>
      <c r="BB878" s="84"/>
      <c r="BC878" s="84"/>
      <c r="BD878" s="84"/>
      <c r="BE878" s="84"/>
      <c r="BF878" s="84"/>
      <c r="BG878" s="84"/>
      <c r="BH878" s="84"/>
      <c r="BI878" s="84"/>
      <c r="BJ878" s="84"/>
      <c r="BK878" s="84"/>
      <c r="BL878" s="84"/>
      <c r="BM878" s="84"/>
      <c r="BN878" s="84"/>
      <c r="BO878" s="84"/>
      <c r="BP878" s="84"/>
      <c r="BQ878" s="84"/>
      <c r="BR878" s="84"/>
    </row>
    <row r="879" spans="1:70" ht="15.75" customHeight="1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  <c r="AL879" s="84"/>
      <c r="AM879" s="84"/>
      <c r="AN879" s="84"/>
      <c r="AO879" s="84"/>
      <c r="AP879" s="84"/>
      <c r="AQ879" s="84"/>
      <c r="AR879" s="84"/>
      <c r="AS879" s="84"/>
      <c r="AT879" s="84"/>
      <c r="AU879" s="84"/>
      <c r="AV879" s="84"/>
      <c r="AW879" s="84"/>
      <c r="AX879" s="84"/>
      <c r="AY879" s="84"/>
      <c r="AZ879" s="84"/>
      <c r="BA879" s="84"/>
      <c r="BB879" s="84"/>
      <c r="BC879" s="84"/>
      <c r="BD879" s="84"/>
      <c r="BE879" s="84"/>
      <c r="BF879" s="84"/>
      <c r="BG879" s="84"/>
      <c r="BH879" s="84"/>
      <c r="BI879" s="84"/>
      <c r="BJ879" s="84"/>
      <c r="BK879" s="84"/>
      <c r="BL879" s="84"/>
      <c r="BM879" s="84"/>
      <c r="BN879" s="84"/>
      <c r="BO879" s="84"/>
      <c r="BP879" s="84"/>
      <c r="BQ879" s="84"/>
      <c r="BR879" s="84"/>
    </row>
    <row r="880" spans="1:70" ht="15.75" customHeight="1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  <c r="AL880" s="84"/>
      <c r="AM880" s="84"/>
      <c r="AN880" s="84"/>
      <c r="AO880" s="84"/>
      <c r="AP880" s="84"/>
      <c r="AQ880" s="84"/>
      <c r="AR880" s="84"/>
      <c r="AS880" s="84"/>
      <c r="AT880" s="84"/>
      <c r="AU880" s="84"/>
      <c r="AV880" s="84"/>
      <c r="AW880" s="84"/>
      <c r="AX880" s="84"/>
      <c r="AY880" s="84"/>
      <c r="AZ880" s="84"/>
      <c r="BA880" s="84"/>
      <c r="BB880" s="84"/>
      <c r="BC880" s="84"/>
      <c r="BD880" s="84"/>
      <c r="BE880" s="84"/>
      <c r="BF880" s="84"/>
      <c r="BG880" s="84"/>
      <c r="BH880" s="84"/>
      <c r="BI880" s="84"/>
      <c r="BJ880" s="84"/>
      <c r="BK880" s="84"/>
      <c r="BL880" s="84"/>
      <c r="BM880" s="84"/>
      <c r="BN880" s="84"/>
      <c r="BO880" s="84"/>
      <c r="BP880" s="84"/>
      <c r="BQ880" s="84"/>
      <c r="BR880" s="84"/>
    </row>
    <row r="881" spans="1:70" ht="15.75" customHeight="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  <c r="AL881" s="84"/>
      <c r="AM881" s="84"/>
      <c r="AN881" s="84"/>
      <c r="AO881" s="84"/>
      <c r="AP881" s="84"/>
      <c r="AQ881" s="84"/>
      <c r="AR881" s="84"/>
      <c r="AS881" s="84"/>
      <c r="AT881" s="84"/>
      <c r="AU881" s="84"/>
      <c r="AV881" s="84"/>
      <c r="AW881" s="84"/>
      <c r="AX881" s="84"/>
      <c r="AY881" s="84"/>
      <c r="AZ881" s="84"/>
      <c r="BA881" s="84"/>
      <c r="BB881" s="84"/>
      <c r="BC881" s="84"/>
      <c r="BD881" s="84"/>
      <c r="BE881" s="84"/>
      <c r="BF881" s="84"/>
      <c r="BG881" s="84"/>
      <c r="BH881" s="84"/>
      <c r="BI881" s="84"/>
      <c r="BJ881" s="84"/>
      <c r="BK881" s="84"/>
      <c r="BL881" s="84"/>
      <c r="BM881" s="84"/>
      <c r="BN881" s="84"/>
      <c r="BO881" s="84"/>
      <c r="BP881" s="84"/>
      <c r="BQ881" s="84"/>
      <c r="BR881" s="84"/>
    </row>
    <row r="882" spans="1:70" ht="15.75" customHeight="1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  <c r="AL882" s="84"/>
      <c r="AM882" s="84"/>
      <c r="AN882" s="84"/>
      <c r="AO882" s="84"/>
      <c r="AP882" s="84"/>
      <c r="AQ882" s="84"/>
      <c r="AR882" s="84"/>
      <c r="AS882" s="84"/>
      <c r="AT882" s="84"/>
      <c r="AU882" s="84"/>
      <c r="AV882" s="84"/>
      <c r="AW882" s="84"/>
      <c r="AX882" s="84"/>
      <c r="AY882" s="84"/>
      <c r="AZ882" s="84"/>
      <c r="BA882" s="84"/>
      <c r="BB882" s="84"/>
      <c r="BC882" s="84"/>
      <c r="BD882" s="84"/>
      <c r="BE882" s="84"/>
      <c r="BF882" s="84"/>
      <c r="BG882" s="84"/>
      <c r="BH882" s="84"/>
      <c r="BI882" s="84"/>
      <c r="BJ882" s="84"/>
      <c r="BK882" s="84"/>
      <c r="BL882" s="84"/>
      <c r="BM882" s="84"/>
      <c r="BN882" s="84"/>
      <c r="BO882" s="84"/>
      <c r="BP882" s="84"/>
      <c r="BQ882" s="84"/>
      <c r="BR882" s="84"/>
    </row>
    <row r="883" spans="1:70" ht="15.75" customHeight="1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  <c r="AL883" s="84"/>
      <c r="AM883" s="84"/>
      <c r="AN883" s="84"/>
      <c r="AO883" s="84"/>
      <c r="AP883" s="84"/>
      <c r="AQ883" s="84"/>
      <c r="AR883" s="84"/>
      <c r="AS883" s="84"/>
      <c r="AT883" s="84"/>
      <c r="AU883" s="84"/>
      <c r="AV883" s="84"/>
      <c r="AW883" s="84"/>
      <c r="AX883" s="84"/>
      <c r="AY883" s="84"/>
      <c r="AZ883" s="84"/>
      <c r="BA883" s="84"/>
      <c r="BB883" s="84"/>
      <c r="BC883" s="84"/>
      <c r="BD883" s="84"/>
      <c r="BE883" s="84"/>
      <c r="BF883" s="84"/>
      <c r="BG883" s="84"/>
      <c r="BH883" s="84"/>
      <c r="BI883" s="84"/>
      <c r="BJ883" s="84"/>
      <c r="BK883" s="84"/>
      <c r="BL883" s="84"/>
      <c r="BM883" s="84"/>
      <c r="BN883" s="84"/>
      <c r="BO883" s="84"/>
      <c r="BP883" s="84"/>
      <c r="BQ883" s="84"/>
      <c r="BR883" s="84"/>
    </row>
    <row r="884" spans="1:70" ht="15.75" customHeight="1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  <c r="AL884" s="84"/>
      <c r="AM884" s="84"/>
      <c r="AN884" s="84"/>
      <c r="AO884" s="84"/>
      <c r="AP884" s="84"/>
      <c r="AQ884" s="84"/>
      <c r="AR884" s="84"/>
      <c r="AS884" s="84"/>
      <c r="AT884" s="84"/>
      <c r="AU884" s="84"/>
      <c r="AV884" s="84"/>
      <c r="AW884" s="84"/>
      <c r="AX884" s="84"/>
      <c r="AY884" s="84"/>
      <c r="AZ884" s="84"/>
      <c r="BA884" s="84"/>
      <c r="BB884" s="84"/>
      <c r="BC884" s="84"/>
      <c r="BD884" s="84"/>
      <c r="BE884" s="84"/>
      <c r="BF884" s="84"/>
      <c r="BG884" s="84"/>
      <c r="BH884" s="84"/>
      <c r="BI884" s="84"/>
      <c r="BJ884" s="84"/>
      <c r="BK884" s="84"/>
      <c r="BL884" s="84"/>
      <c r="BM884" s="84"/>
      <c r="BN884" s="84"/>
      <c r="BO884" s="84"/>
      <c r="BP884" s="84"/>
      <c r="BQ884" s="84"/>
      <c r="BR884" s="84"/>
    </row>
    <row r="885" spans="1:70" ht="15.75" customHeight="1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  <c r="AL885" s="84"/>
      <c r="AM885" s="84"/>
      <c r="AN885" s="84"/>
      <c r="AO885" s="84"/>
      <c r="AP885" s="84"/>
      <c r="AQ885" s="84"/>
      <c r="AR885" s="84"/>
      <c r="AS885" s="84"/>
      <c r="AT885" s="84"/>
      <c r="AU885" s="84"/>
      <c r="AV885" s="84"/>
      <c r="AW885" s="84"/>
      <c r="AX885" s="84"/>
      <c r="AY885" s="84"/>
      <c r="AZ885" s="84"/>
      <c r="BA885" s="84"/>
      <c r="BB885" s="84"/>
      <c r="BC885" s="84"/>
      <c r="BD885" s="84"/>
      <c r="BE885" s="84"/>
      <c r="BF885" s="84"/>
      <c r="BG885" s="84"/>
      <c r="BH885" s="84"/>
      <c r="BI885" s="84"/>
      <c r="BJ885" s="84"/>
      <c r="BK885" s="84"/>
      <c r="BL885" s="84"/>
      <c r="BM885" s="84"/>
      <c r="BN885" s="84"/>
      <c r="BO885" s="84"/>
      <c r="BP885" s="84"/>
      <c r="BQ885" s="84"/>
      <c r="BR885" s="84"/>
    </row>
    <row r="886" spans="1:70" ht="15.75" customHeight="1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  <c r="AL886" s="84"/>
      <c r="AM886" s="84"/>
      <c r="AN886" s="84"/>
      <c r="AO886" s="84"/>
      <c r="AP886" s="84"/>
      <c r="AQ886" s="84"/>
      <c r="AR886" s="84"/>
      <c r="AS886" s="84"/>
      <c r="AT886" s="84"/>
      <c r="AU886" s="84"/>
      <c r="AV886" s="84"/>
      <c r="AW886" s="84"/>
      <c r="AX886" s="84"/>
      <c r="AY886" s="84"/>
      <c r="AZ886" s="84"/>
      <c r="BA886" s="84"/>
      <c r="BB886" s="84"/>
      <c r="BC886" s="84"/>
      <c r="BD886" s="84"/>
      <c r="BE886" s="84"/>
      <c r="BF886" s="84"/>
      <c r="BG886" s="84"/>
      <c r="BH886" s="84"/>
      <c r="BI886" s="84"/>
      <c r="BJ886" s="84"/>
      <c r="BK886" s="84"/>
      <c r="BL886" s="84"/>
      <c r="BM886" s="84"/>
      <c r="BN886" s="84"/>
      <c r="BO886" s="84"/>
      <c r="BP886" s="84"/>
      <c r="BQ886" s="84"/>
      <c r="BR886" s="84"/>
    </row>
    <row r="887" spans="1:70" ht="15.75" customHeight="1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  <c r="AL887" s="84"/>
      <c r="AM887" s="84"/>
      <c r="AN887" s="84"/>
      <c r="AO887" s="84"/>
      <c r="AP887" s="84"/>
      <c r="AQ887" s="84"/>
      <c r="AR887" s="84"/>
      <c r="AS887" s="84"/>
      <c r="AT887" s="84"/>
      <c r="AU887" s="84"/>
      <c r="AV887" s="84"/>
      <c r="AW887" s="84"/>
      <c r="AX887" s="84"/>
      <c r="AY887" s="84"/>
      <c r="AZ887" s="84"/>
      <c r="BA887" s="84"/>
      <c r="BB887" s="84"/>
      <c r="BC887" s="84"/>
      <c r="BD887" s="84"/>
      <c r="BE887" s="84"/>
      <c r="BF887" s="84"/>
      <c r="BG887" s="84"/>
      <c r="BH887" s="84"/>
      <c r="BI887" s="84"/>
      <c r="BJ887" s="84"/>
      <c r="BK887" s="84"/>
      <c r="BL887" s="84"/>
      <c r="BM887" s="84"/>
      <c r="BN887" s="84"/>
      <c r="BO887" s="84"/>
      <c r="BP887" s="84"/>
      <c r="BQ887" s="84"/>
      <c r="BR887" s="84"/>
    </row>
    <row r="888" spans="1:70" ht="15.75" customHeight="1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  <c r="AL888" s="84"/>
      <c r="AM888" s="84"/>
      <c r="AN888" s="84"/>
      <c r="AO888" s="84"/>
      <c r="AP888" s="84"/>
      <c r="AQ888" s="84"/>
      <c r="AR888" s="84"/>
      <c r="AS888" s="84"/>
      <c r="AT888" s="84"/>
      <c r="AU888" s="84"/>
      <c r="AV888" s="84"/>
      <c r="AW888" s="84"/>
      <c r="AX888" s="84"/>
      <c r="AY888" s="84"/>
      <c r="AZ888" s="84"/>
      <c r="BA888" s="84"/>
      <c r="BB888" s="84"/>
      <c r="BC888" s="84"/>
      <c r="BD888" s="84"/>
      <c r="BE888" s="84"/>
      <c r="BF888" s="84"/>
      <c r="BG888" s="84"/>
      <c r="BH888" s="84"/>
      <c r="BI888" s="84"/>
      <c r="BJ888" s="84"/>
      <c r="BK888" s="84"/>
      <c r="BL888" s="84"/>
      <c r="BM888" s="84"/>
      <c r="BN888" s="84"/>
      <c r="BO888" s="84"/>
      <c r="BP888" s="84"/>
      <c r="BQ888" s="84"/>
      <c r="BR888" s="84"/>
    </row>
    <row r="889" spans="1:70" ht="15.75" customHeight="1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  <c r="AL889" s="84"/>
      <c r="AM889" s="84"/>
      <c r="AN889" s="84"/>
      <c r="AO889" s="84"/>
      <c r="AP889" s="84"/>
      <c r="AQ889" s="84"/>
      <c r="AR889" s="84"/>
      <c r="AS889" s="84"/>
      <c r="AT889" s="84"/>
      <c r="AU889" s="84"/>
      <c r="AV889" s="84"/>
      <c r="AW889" s="84"/>
      <c r="AX889" s="84"/>
      <c r="AY889" s="84"/>
      <c r="AZ889" s="84"/>
      <c r="BA889" s="84"/>
      <c r="BB889" s="84"/>
      <c r="BC889" s="84"/>
      <c r="BD889" s="84"/>
      <c r="BE889" s="84"/>
      <c r="BF889" s="84"/>
      <c r="BG889" s="84"/>
      <c r="BH889" s="84"/>
      <c r="BI889" s="84"/>
      <c r="BJ889" s="84"/>
      <c r="BK889" s="84"/>
      <c r="BL889" s="84"/>
      <c r="BM889" s="84"/>
      <c r="BN889" s="84"/>
      <c r="BO889" s="84"/>
      <c r="BP889" s="84"/>
      <c r="BQ889" s="84"/>
      <c r="BR889" s="84"/>
    </row>
    <row r="890" spans="1:70" ht="15.75" customHeight="1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  <c r="AL890" s="84"/>
      <c r="AM890" s="84"/>
      <c r="AN890" s="84"/>
      <c r="AO890" s="84"/>
      <c r="AP890" s="84"/>
      <c r="AQ890" s="84"/>
      <c r="AR890" s="84"/>
      <c r="AS890" s="84"/>
      <c r="AT890" s="84"/>
      <c r="AU890" s="84"/>
      <c r="AV890" s="84"/>
      <c r="AW890" s="84"/>
      <c r="AX890" s="84"/>
      <c r="AY890" s="84"/>
      <c r="AZ890" s="84"/>
      <c r="BA890" s="84"/>
      <c r="BB890" s="84"/>
      <c r="BC890" s="84"/>
      <c r="BD890" s="84"/>
      <c r="BE890" s="84"/>
      <c r="BF890" s="84"/>
      <c r="BG890" s="84"/>
      <c r="BH890" s="84"/>
      <c r="BI890" s="84"/>
      <c r="BJ890" s="84"/>
      <c r="BK890" s="84"/>
      <c r="BL890" s="84"/>
      <c r="BM890" s="84"/>
      <c r="BN890" s="84"/>
      <c r="BO890" s="84"/>
      <c r="BP890" s="84"/>
      <c r="BQ890" s="84"/>
      <c r="BR890" s="84"/>
    </row>
    <row r="891" spans="1:70" ht="15.75" customHeight="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  <c r="AL891" s="84"/>
      <c r="AM891" s="84"/>
      <c r="AN891" s="84"/>
      <c r="AO891" s="84"/>
      <c r="AP891" s="84"/>
      <c r="AQ891" s="84"/>
      <c r="AR891" s="84"/>
      <c r="AS891" s="84"/>
      <c r="AT891" s="84"/>
      <c r="AU891" s="84"/>
      <c r="AV891" s="84"/>
      <c r="AW891" s="84"/>
      <c r="AX891" s="84"/>
      <c r="AY891" s="84"/>
      <c r="AZ891" s="84"/>
      <c r="BA891" s="84"/>
      <c r="BB891" s="84"/>
      <c r="BC891" s="84"/>
      <c r="BD891" s="84"/>
      <c r="BE891" s="84"/>
      <c r="BF891" s="84"/>
      <c r="BG891" s="84"/>
      <c r="BH891" s="84"/>
      <c r="BI891" s="84"/>
      <c r="BJ891" s="84"/>
      <c r="BK891" s="84"/>
      <c r="BL891" s="84"/>
      <c r="BM891" s="84"/>
      <c r="BN891" s="84"/>
      <c r="BO891" s="84"/>
      <c r="BP891" s="84"/>
      <c r="BQ891" s="84"/>
      <c r="BR891" s="84"/>
    </row>
    <row r="892" spans="1:70" ht="15.75" customHeight="1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  <c r="AL892" s="84"/>
      <c r="AM892" s="84"/>
      <c r="AN892" s="84"/>
      <c r="AO892" s="84"/>
      <c r="AP892" s="84"/>
      <c r="AQ892" s="84"/>
      <c r="AR892" s="84"/>
      <c r="AS892" s="84"/>
      <c r="AT892" s="84"/>
      <c r="AU892" s="84"/>
      <c r="AV892" s="84"/>
      <c r="AW892" s="84"/>
      <c r="AX892" s="84"/>
      <c r="AY892" s="84"/>
      <c r="AZ892" s="84"/>
      <c r="BA892" s="84"/>
      <c r="BB892" s="84"/>
      <c r="BC892" s="84"/>
      <c r="BD892" s="84"/>
      <c r="BE892" s="84"/>
      <c r="BF892" s="84"/>
      <c r="BG892" s="84"/>
      <c r="BH892" s="84"/>
      <c r="BI892" s="84"/>
      <c r="BJ892" s="84"/>
      <c r="BK892" s="84"/>
      <c r="BL892" s="84"/>
      <c r="BM892" s="84"/>
      <c r="BN892" s="84"/>
      <c r="BO892" s="84"/>
      <c r="BP892" s="84"/>
      <c r="BQ892" s="84"/>
      <c r="BR892" s="84"/>
    </row>
    <row r="893" spans="1:70" ht="15.75" customHeight="1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  <c r="AL893" s="84"/>
      <c r="AM893" s="84"/>
      <c r="AN893" s="84"/>
      <c r="AO893" s="84"/>
      <c r="AP893" s="84"/>
      <c r="AQ893" s="84"/>
      <c r="AR893" s="84"/>
      <c r="AS893" s="84"/>
      <c r="AT893" s="84"/>
      <c r="AU893" s="84"/>
      <c r="AV893" s="84"/>
      <c r="AW893" s="84"/>
      <c r="AX893" s="84"/>
      <c r="AY893" s="84"/>
      <c r="AZ893" s="84"/>
      <c r="BA893" s="84"/>
      <c r="BB893" s="84"/>
      <c r="BC893" s="84"/>
      <c r="BD893" s="84"/>
      <c r="BE893" s="84"/>
      <c r="BF893" s="84"/>
      <c r="BG893" s="84"/>
      <c r="BH893" s="84"/>
      <c r="BI893" s="84"/>
      <c r="BJ893" s="84"/>
      <c r="BK893" s="84"/>
      <c r="BL893" s="84"/>
      <c r="BM893" s="84"/>
      <c r="BN893" s="84"/>
      <c r="BO893" s="84"/>
      <c r="BP893" s="84"/>
      <c r="BQ893" s="84"/>
      <c r="BR893" s="84"/>
    </row>
    <row r="894" spans="1:70" ht="15.75" customHeight="1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  <c r="AL894" s="84"/>
      <c r="AM894" s="84"/>
      <c r="AN894" s="84"/>
      <c r="AO894" s="84"/>
      <c r="AP894" s="84"/>
      <c r="AQ894" s="84"/>
      <c r="AR894" s="84"/>
      <c r="AS894" s="84"/>
      <c r="AT894" s="84"/>
      <c r="AU894" s="84"/>
      <c r="AV894" s="84"/>
      <c r="AW894" s="84"/>
      <c r="AX894" s="84"/>
      <c r="AY894" s="84"/>
      <c r="AZ894" s="84"/>
      <c r="BA894" s="84"/>
      <c r="BB894" s="84"/>
      <c r="BC894" s="84"/>
      <c r="BD894" s="84"/>
      <c r="BE894" s="84"/>
      <c r="BF894" s="84"/>
      <c r="BG894" s="84"/>
      <c r="BH894" s="84"/>
      <c r="BI894" s="84"/>
      <c r="BJ894" s="84"/>
      <c r="BK894" s="84"/>
      <c r="BL894" s="84"/>
      <c r="BM894" s="84"/>
      <c r="BN894" s="84"/>
      <c r="BO894" s="84"/>
      <c r="BP894" s="84"/>
      <c r="BQ894" s="84"/>
      <c r="BR894" s="84"/>
    </row>
    <row r="895" spans="1:70" ht="15.75" customHeight="1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  <c r="AL895" s="84"/>
      <c r="AM895" s="84"/>
      <c r="AN895" s="84"/>
      <c r="AO895" s="84"/>
      <c r="AP895" s="84"/>
      <c r="AQ895" s="84"/>
      <c r="AR895" s="84"/>
      <c r="AS895" s="84"/>
      <c r="AT895" s="84"/>
      <c r="AU895" s="84"/>
      <c r="AV895" s="84"/>
      <c r="AW895" s="84"/>
      <c r="AX895" s="84"/>
      <c r="AY895" s="84"/>
      <c r="AZ895" s="84"/>
      <c r="BA895" s="84"/>
      <c r="BB895" s="84"/>
      <c r="BC895" s="84"/>
      <c r="BD895" s="84"/>
      <c r="BE895" s="84"/>
      <c r="BF895" s="84"/>
      <c r="BG895" s="84"/>
      <c r="BH895" s="84"/>
      <c r="BI895" s="84"/>
      <c r="BJ895" s="84"/>
      <c r="BK895" s="84"/>
      <c r="BL895" s="84"/>
      <c r="BM895" s="84"/>
      <c r="BN895" s="84"/>
      <c r="BO895" s="84"/>
      <c r="BP895" s="84"/>
      <c r="BQ895" s="84"/>
      <c r="BR895" s="84"/>
    </row>
    <row r="896" spans="1:70" ht="15.75" customHeight="1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  <c r="AL896" s="84"/>
      <c r="AM896" s="84"/>
      <c r="AN896" s="84"/>
      <c r="AO896" s="84"/>
      <c r="AP896" s="84"/>
      <c r="AQ896" s="84"/>
      <c r="AR896" s="84"/>
      <c r="AS896" s="84"/>
      <c r="AT896" s="84"/>
      <c r="AU896" s="84"/>
      <c r="AV896" s="84"/>
      <c r="AW896" s="84"/>
      <c r="AX896" s="84"/>
      <c r="AY896" s="84"/>
      <c r="AZ896" s="84"/>
      <c r="BA896" s="84"/>
      <c r="BB896" s="84"/>
      <c r="BC896" s="84"/>
      <c r="BD896" s="84"/>
      <c r="BE896" s="84"/>
      <c r="BF896" s="84"/>
      <c r="BG896" s="84"/>
      <c r="BH896" s="84"/>
      <c r="BI896" s="84"/>
      <c r="BJ896" s="84"/>
      <c r="BK896" s="84"/>
      <c r="BL896" s="84"/>
      <c r="BM896" s="84"/>
      <c r="BN896" s="84"/>
      <c r="BO896" s="84"/>
      <c r="BP896" s="84"/>
      <c r="BQ896" s="84"/>
      <c r="BR896" s="84"/>
    </row>
    <row r="897" spans="1:70" ht="15.75" customHeight="1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  <c r="AL897" s="84"/>
      <c r="AM897" s="84"/>
      <c r="AN897" s="84"/>
      <c r="AO897" s="84"/>
      <c r="AP897" s="84"/>
      <c r="AQ897" s="84"/>
      <c r="AR897" s="84"/>
      <c r="AS897" s="84"/>
      <c r="AT897" s="84"/>
      <c r="AU897" s="84"/>
      <c r="AV897" s="84"/>
      <c r="AW897" s="84"/>
      <c r="AX897" s="84"/>
      <c r="AY897" s="84"/>
      <c r="AZ897" s="84"/>
      <c r="BA897" s="84"/>
      <c r="BB897" s="84"/>
      <c r="BC897" s="84"/>
      <c r="BD897" s="84"/>
      <c r="BE897" s="84"/>
      <c r="BF897" s="84"/>
      <c r="BG897" s="84"/>
      <c r="BH897" s="84"/>
      <c r="BI897" s="84"/>
      <c r="BJ897" s="84"/>
      <c r="BK897" s="84"/>
      <c r="BL897" s="84"/>
      <c r="BM897" s="84"/>
      <c r="BN897" s="84"/>
      <c r="BO897" s="84"/>
      <c r="BP897" s="84"/>
      <c r="BQ897" s="84"/>
      <c r="BR897" s="84"/>
    </row>
    <row r="898" spans="1:70" ht="15.75" customHeight="1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  <c r="AL898" s="84"/>
      <c r="AM898" s="84"/>
      <c r="AN898" s="84"/>
      <c r="AO898" s="84"/>
      <c r="AP898" s="84"/>
      <c r="AQ898" s="84"/>
      <c r="AR898" s="84"/>
      <c r="AS898" s="84"/>
      <c r="AT898" s="84"/>
      <c r="AU898" s="84"/>
      <c r="AV898" s="84"/>
      <c r="AW898" s="84"/>
      <c r="AX898" s="84"/>
      <c r="AY898" s="84"/>
      <c r="AZ898" s="84"/>
      <c r="BA898" s="84"/>
      <c r="BB898" s="84"/>
      <c r="BC898" s="84"/>
      <c r="BD898" s="84"/>
      <c r="BE898" s="84"/>
      <c r="BF898" s="84"/>
      <c r="BG898" s="84"/>
      <c r="BH898" s="84"/>
      <c r="BI898" s="84"/>
      <c r="BJ898" s="84"/>
      <c r="BK898" s="84"/>
      <c r="BL898" s="84"/>
      <c r="BM898" s="84"/>
      <c r="BN898" s="84"/>
      <c r="BO898" s="84"/>
      <c r="BP898" s="84"/>
      <c r="BQ898" s="84"/>
      <c r="BR898" s="84"/>
    </row>
    <row r="899" spans="1:70" ht="15.75" customHeight="1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  <c r="AL899" s="84"/>
      <c r="AM899" s="84"/>
      <c r="AN899" s="84"/>
      <c r="AO899" s="84"/>
      <c r="AP899" s="84"/>
      <c r="AQ899" s="84"/>
      <c r="AR899" s="84"/>
      <c r="AS899" s="84"/>
      <c r="AT899" s="84"/>
      <c r="AU899" s="84"/>
      <c r="AV899" s="84"/>
      <c r="AW899" s="84"/>
      <c r="AX899" s="84"/>
      <c r="AY899" s="84"/>
      <c r="AZ899" s="84"/>
      <c r="BA899" s="84"/>
      <c r="BB899" s="84"/>
      <c r="BC899" s="84"/>
      <c r="BD899" s="84"/>
      <c r="BE899" s="84"/>
      <c r="BF899" s="84"/>
      <c r="BG899" s="84"/>
      <c r="BH899" s="84"/>
      <c r="BI899" s="84"/>
      <c r="BJ899" s="84"/>
      <c r="BK899" s="84"/>
      <c r="BL899" s="84"/>
      <c r="BM899" s="84"/>
      <c r="BN899" s="84"/>
      <c r="BO899" s="84"/>
      <c r="BP899" s="84"/>
      <c r="BQ899" s="84"/>
      <c r="BR899" s="84"/>
    </row>
    <row r="900" spans="1:70" ht="15.75" customHeight="1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  <c r="AL900" s="84"/>
      <c r="AM900" s="84"/>
      <c r="AN900" s="84"/>
      <c r="AO900" s="84"/>
      <c r="AP900" s="84"/>
      <c r="AQ900" s="84"/>
      <c r="AR900" s="84"/>
      <c r="AS900" s="84"/>
      <c r="AT900" s="84"/>
      <c r="AU900" s="84"/>
      <c r="AV900" s="84"/>
      <c r="AW900" s="84"/>
      <c r="AX900" s="84"/>
      <c r="AY900" s="84"/>
      <c r="AZ900" s="84"/>
      <c r="BA900" s="84"/>
      <c r="BB900" s="84"/>
      <c r="BC900" s="84"/>
      <c r="BD900" s="84"/>
      <c r="BE900" s="84"/>
      <c r="BF900" s="84"/>
      <c r="BG900" s="84"/>
      <c r="BH900" s="84"/>
      <c r="BI900" s="84"/>
      <c r="BJ900" s="84"/>
      <c r="BK900" s="84"/>
      <c r="BL900" s="84"/>
      <c r="BM900" s="84"/>
      <c r="BN900" s="84"/>
      <c r="BO900" s="84"/>
      <c r="BP900" s="84"/>
      <c r="BQ900" s="84"/>
      <c r="BR900" s="84"/>
    </row>
    <row r="901" spans="1:70" ht="15.75" customHeight="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  <c r="AL901" s="84"/>
      <c r="AM901" s="84"/>
      <c r="AN901" s="84"/>
      <c r="AO901" s="84"/>
      <c r="AP901" s="84"/>
      <c r="AQ901" s="84"/>
      <c r="AR901" s="84"/>
      <c r="AS901" s="84"/>
      <c r="AT901" s="84"/>
      <c r="AU901" s="84"/>
      <c r="AV901" s="84"/>
      <c r="AW901" s="84"/>
      <c r="AX901" s="84"/>
      <c r="AY901" s="84"/>
      <c r="AZ901" s="84"/>
      <c r="BA901" s="84"/>
      <c r="BB901" s="84"/>
      <c r="BC901" s="84"/>
      <c r="BD901" s="84"/>
      <c r="BE901" s="84"/>
      <c r="BF901" s="84"/>
      <c r="BG901" s="84"/>
      <c r="BH901" s="84"/>
      <c r="BI901" s="84"/>
      <c r="BJ901" s="84"/>
      <c r="BK901" s="84"/>
      <c r="BL901" s="84"/>
      <c r="BM901" s="84"/>
      <c r="BN901" s="84"/>
      <c r="BO901" s="84"/>
      <c r="BP901" s="84"/>
      <c r="BQ901" s="84"/>
      <c r="BR901" s="84"/>
    </row>
    <row r="902" spans="1:70" ht="15.75" customHeight="1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  <c r="AL902" s="84"/>
      <c r="AM902" s="84"/>
      <c r="AN902" s="84"/>
      <c r="AO902" s="84"/>
      <c r="AP902" s="84"/>
      <c r="AQ902" s="84"/>
      <c r="AR902" s="84"/>
      <c r="AS902" s="84"/>
      <c r="AT902" s="84"/>
      <c r="AU902" s="84"/>
      <c r="AV902" s="84"/>
      <c r="AW902" s="84"/>
      <c r="AX902" s="84"/>
      <c r="AY902" s="84"/>
      <c r="AZ902" s="84"/>
      <c r="BA902" s="84"/>
      <c r="BB902" s="84"/>
      <c r="BC902" s="84"/>
      <c r="BD902" s="84"/>
      <c r="BE902" s="84"/>
      <c r="BF902" s="84"/>
      <c r="BG902" s="84"/>
      <c r="BH902" s="84"/>
      <c r="BI902" s="84"/>
      <c r="BJ902" s="84"/>
      <c r="BK902" s="84"/>
      <c r="BL902" s="84"/>
      <c r="BM902" s="84"/>
      <c r="BN902" s="84"/>
      <c r="BO902" s="84"/>
      <c r="BP902" s="84"/>
      <c r="BQ902" s="84"/>
      <c r="BR902" s="84"/>
    </row>
    <row r="903" spans="1:70" ht="15.75" customHeight="1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  <c r="AL903" s="84"/>
      <c r="AM903" s="84"/>
      <c r="AN903" s="84"/>
      <c r="AO903" s="84"/>
      <c r="AP903" s="84"/>
      <c r="AQ903" s="84"/>
      <c r="AR903" s="84"/>
      <c r="AS903" s="84"/>
      <c r="AT903" s="84"/>
      <c r="AU903" s="84"/>
      <c r="AV903" s="84"/>
      <c r="AW903" s="84"/>
      <c r="AX903" s="84"/>
      <c r="AY903" s="84"/>
      <c r="AZ903" s="84"/>
      <c r="BA903" s="84"/>
      <c r="BB903" s="84"/>
      <c r="BC903" s="84"/>
      <c r="BD903" s="84"/>
      <c r="BE903" s="84"/>
      <c r="BF903" s="84"/>
      <c r="BG903" s="84"/>
      <c r="BH903" s="84"/>
      <c r="BI903" s="84"/>
      <c r="BJ903" s="84"/>
      <c r="BK903" s="84"/>
      <c r="BL903" s="84"/>
      <c r="BM903" s="84"/>
      <c r="BN903" s="84"/>
      <c r="BO903" s="84"/>
      <c r="BP903" s="84"/>
      <c r="BQ903" s="84"/>
      <c r="BR903" s="84"/>
    </row>
    <row r="904" spans="1:70" ht="15.75" customHeight="1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  <c r="AL904" s="84"/>
      <c r="AM904" s="84"/>
      <c r="AN904" s="84"/>
      <c r="AO904" s="84"/>
      <c r="AP904" s="84"/>
      <c r="AQ904" s="84"/>
      <c r="AR904" s="84"/>
      <c r="AS904" s="84"/>
      <c r="AT904" s="84"/>
      <c r="AU904" s="84"/>
      <c r="AV904" s="84"/>
      <c r="AW904" s="84"/>
      <c r="AX904" s="84"/>
      <c r="AY904" s="84"/>
      <c r="AZ904" s="84"/>
      <c r="BA904" s="84"/>
      <c r="BB904" s="84"/>
      <c r="BC904" s="84"/>
      <c r="BD904" s="84"/>
      <c r="BE904" s="84"/>
      <c r="BF904" s="84"/>
      <c r="BG904" s="84"/>
      <c r="BH904" s="84"/>
      <c r="BI904" s="84"/>
      <c r="BJ904" s="84"/>
      <c r="BK904" s="84"/>
      <c r="BL904" s="84"/>
      <c r="BM904" s="84"/>
      <c r="BN904" s="84"/>
      <c r="BO904" s="84"/>
      <c r="BP904" s="84"/>
      <c r="BQ904" s="84"/>
      <c r="BR904" s="84"/>
    </row>
    <row r="905" spans="1:70" ht="15.75" customHeight="1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  <c r="AL905" s="84"/>
      <c r="AM905" s="84"/>
      <c r="AN905" s="84"/>
      <c r="AO905" s="84"/>
      <c r="AP905" s="84"/>
      <c r="AQ905" s="84"/>
      <c r="AR905" s="84"/>
      <c r="AS905" s="84"/>
      <c r="AT905" s="84"/>
      <c r="AU905" s="84"/>
      <c r="AV905" s="84"/>
      <c r="AW905" s="84"/>
      <c r="AX905" s="84"/>
      <c r="AY905" s="84"/>
      <c r="AZ905" s="84"/>
      <c r="BA905" s="84"/>
      <c r="BB905" s="84"/>
      <c r="BC905" s="84"/>
      <c r="BD905" s="84"/>
      <c r="BE905" s="84"/>
      <c r="BF905" s="84"/>
      <c r="BG905" s="84"/>
      <c r="BH905" s="84"/>
      <c r="BI905" s="84"/>
      <c r="BJ905" s="84"/>
      <c r="BK905" s="84"/>
      <c r="BL905" s="84"/>
      <c r="BM905" s="84"/>
      <c r="BN905" s="84"/>
      <c r="BO905" s="84"/>
      <c r="BP905" s="84"/>
      <c r="BQ905" s="84"/>
      <c r="BR905" s="84"/>
    </row>
    <row r="906" spans="1:70" ht="15.75" customHeight="1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  <c r="AL906" s="84"/>
      <c r="AM906" s="84"/>
      <c r="AN906" s="84"/>
      <c r="AO906" s="84"/>
      <c r="AP906" s="84"/>
      <c r="AQ906" s="84"/>
      <c r="AR906" s="84"/>
      <c r="AS906" s="84"/>
      <c r="AT906" s="84"/>
      <c r="AU906" s="84"/>
      <c r="AV906" s="84"/>
      <c r="AW906" s="84"/>
      <c r="AX906" s="84"/>
      <c r="AY906" s="84"/>
      <c r="AZ906" s="84"/>
      <c r="BA906" s="84"/>
      <c r="BB906" s="84"/>
      <c r="BC906" s="84"/>
      <c r="BD906" s="84"/>
      <c r="BE906" s="84"/>
      <c r="BF906" s="84"/>
      <c r="BG906" s="84"/>
      <c r="BH906" s="84"/>
      <c r="BI906" s="84"/>
      <c r="BJ906" s="84"/>
      <c r="BK906" s="84"/>
      <c r="BL906" s="84"/>
      <c r="BM906" s="84"/>
      <c r="BN906" s="84"/>
      <c r="BO906" s="84"/>
      <c r="BP906" s="84"/>
      <c r="BQ906" s="84"/>
      <c r="BR906" s="84"/>
    </row>
    <row r="907" spans="1:70" ht="15.75" customHeight="1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  <c r="AL907" s="84"/>
      <c r="AM907" s="84"/>
      <c r="AN907" s="84"/>
      <c r="AO907" s="84"/>
      <c r="AP907" s="84"/>
      <c r="AQ907" s="84"/>
      <c r="AR907" s="84"/>
      <c r="AS907" s="84"/>
      <c r="AT907" s="84"/>
      <c r="AU907" s="84"/>
      <c r="AV907" s="84"/>
      <c r="AW907" s="84"/>
      <c r="AX907" s="84"/>
      <c r="AY907" s="84"/>
      <c r="AZ907" s="84"/>
      <c r="BA907" s="84"/>
      <c r="BB907" s="84"/>
      <c r="BC907" s="84"/>
      <c r="BD907" s="84"/>
      <c r="BE907" s="84"/>
      <c r="BF907" s="84"/>
      <c r="BG907" s="84"/>
      <c r="BH907" s="84"/>
      <c r="BI907" s="84"/>
      <c r="BJ907" s="84"/>
      <c r="BK907" s="84"/>
      <c r="BL907" s="84"/>
      <c r="BM907" s="84"/>
      <c r="BN907" s="84"/>
      <c r="BO907" s="84"/>
      <c r="BP907" s="84"/>
      <c r="BQ907" s="84"/>
      <c r="BR907" s="84"/>
    </row>
    <row r="908" spans="1:70" ht="15.75" customHeight="1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  <c r="AL908" s="84"/>
      <c r="AM908" s="84"/>
      <c r="AN908" s="84"/>
      <c r="AO908" s="84"/>
      <c r="AP908" s="84"/>
      <c r="AQ908" s="84"/>
      <c r="AR908" s="84"/>
      <c r="AS908" s="84"/>
      <c r="AT908" s="84"/>
      <c r="AU908" s="84"/>
      <c r="AV908" s="84"/>
      <c r="AW908" s="84"/>
      <c r="AX908" s="84"/>
      <c r="AY908" s="84"/>
      <c r="AZ908" s="84"/>
      <c r="BA908" s="84"/>
      <c r="BB908" s="84"/>
      <c r="BC908" s="84"/>
      <c r="BD908" s="84"/>
      <c r="BE908" s="84"/>
      <c r="BF908" s="84"/>
      <c r="BG908" s="84"/>
      <c r="BH908" s="84"/>
      <c r="BI908" s="84"/>
      <c r="BJ908" s="84"/>
      <c r="BK908" s="84"/>
      <c r="BL908" s="84"/>
      <c r="BM908" s="84"/>
      <c r="BN908" s="84"/>
      <c r="BO908" s="84"/>
      <c r="BP908" s="84"/>
      <c r="BQ908" s="84"/>
      <c r="BR908" s="84"/>
    </row>
    <row r="909" spans="1:70" ht="15.75" customHeight="1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  <c r="AL909" s="84"/>
      <c r="AM909" s="84"/>
      <c r="AN909" s="84"/>
      <c r="AO909" s="84"/>
      <c r="AP909" s="84"/>
      <c r="AQ909" s="84"/>
      <c r="AR909" s="84"/>
      <c r="AS909" s="84"/>
      <c r="AT909" s="84"/>
      <c r="AU909" s="84"/>
      <c r="AV909" s="84"/>
      <c r="AW909" s="84"/>
      <c r="AX909" s="84"/>
      <c r="AY909" s="84"/>
      <c r="AZ909" s="84"/>
      <c r="BA909" s="84"/>
      <c r="BB909" s="84"/>
      <c r="BC909" s="84"/>
      <c r="BD909" s="84"/>
      <c r="BE909" s="84"/>
      <c r="BF909" s="84"/>
      <c r="BG909" s="84"/>
      <c r="BH909" s="84"/>
      <c r="BI909" s="84"/>
      <c r="BJ909" s="84"/>
      <c r="BK909" s="84"/>
      <c r="BL909" s="84"/>
      <c r="BM909" s="84"/>
      <c r="BN909" s="84"/>
      <c r="BO909" s="84"/>
      <c r="BP909" s="84"/>
      <c r="BQ909" s="84"/>
      <c r="BR909" s="84"/>
    </row>
    <row r="910" spans="1:70" ht="15.75" customHeight="1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  <c r="AL910" s="84"/>
      <c r="AM910" s="84"/>
      <c r="AN910" s="84"/>
      <c r="AO910" s="84"/>
      <c r="AP910" s="84"/>
      <c r="AQ910" s="84"/>
      <c r="AR910" s="84"/>
      <c r="AS910" s="84"/>
      <c r="AT910" s="84"/>
      <c r="AU910" s="84"/>
      <c r="AV910" s="84"/>
      <c r="AW910" s="84"/>
      <c r="AX910" s="84"/>
      <c r="AY910" s="84"/>
      <c r="AZ910" s="84"/>
      <c r="BA910" s="84"/>
      <c r="BB910" s="84"/>
      <c r="BC910" s="84"/>
      <c r="BD910" s="84"/>
      <c r="BE910" s="84"/>
      <c r="BF910" s="84"/>
      <c r="BG910" s="84"/>
      <c r="BH910" s="84"/>
      <c r="BI910" s="84"/>
      <c r="BJ910" s="84"/>
      <c r="BK910" s="84"/>
      <c r="BL910" s="84"/>
      <c r="BM910" s="84"/>
      <c r="BN910" s="84"/>
      <c r="BO910" s="84"/>
      <c r="BP910" s="84"/>
      <c r="BQ910" s="84"/>
      <c r="BR910" s="84"/>
    </row>
    <row r="911" spans="1:70" ht="15.75" customHeight="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  <c r="AL911" s="84"/>
      <c r="AM911" s="84"/>
      <c r="AN911" s="84"/>
      <c r="AO911" s="84"/>
      <c r="AP911" s="84"/>
      <c r="AQ911" s="84"/>
      <c r="AR911" s="84"/>
      <c r="AS911" s="84"/>
      <c r="AT911" s="84"/>
      <c r="AU911" s="84"/>
      <c r="AV911" s="84"/>
      <c r="AW911" s="84"/>
      <c r="AX911" s="84"/>
      <c r="AY911" s="84"/>
      <c r="AZ911" s="84"/>
      <c r="BA911" s="84"/>
      <c r="BB911" s="84"/>
      <c r="BC911" s="84"/>
      <c r="BD911" s="84"/>
      <c r="BE911" s="84"/>
      <c r="BF911" s="84"/>
      <c r="BG911" s="84"/>
      <c r="BH911" s="84"/>
      <c r="BI911" s="84"/>
      <c r="BJ911" s="84"/>
      <c r="BK911" s="84"/>
      <c r="BL911" s="84"/>
      <c r="BM911" s="84"/>
      <c r="BN911" s="84"/>
      <c r="BO911" s="84"/>
      <c r="BP911" s="84"/>
      <c r="BQ911" s="84"/>
      <c r="BR911" s="84"/>
    </row>
    <row r="912" spans="1:70" ht="15.75" customHeight="1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  <c r="AL912" s="84"/>
      <c r="AM912" s="84"/>
      <c r="AN912" s="84"/>
      <c r="AO912" s="84"/>
      <c r="AP912" s="84"/>
      <c r="AQ912" s="84"/>
      <c r="AR912" s="84"/>
      <c r="AS912" s="84"/>
      <c r="AT912" s="84"/>
      <c r="AU912" s="84"/>
      <c r="AV912" s="84"/>
      <c r="AW912" s="84"/>
      <c r="AX912" s="84"/>
      <c r="AY912" s="84"/>
      <c r="AZ912" s="84"/>
      <c r="BA912" s="84"/>
      <c r="BB912" s="84"/>
      <c r="BC912" s="84"/>
      <c r="BD912" s="84"/>
      <c r="BE912" s="84"/>
      <c r="BF912" s="84"/>
      <c r="BG912" s="84"/>
      <c r="BH912" s="84"/>
      <c r="BI912" s="84"/>
      <c r="BJ912" s="84"/>
      <c r="BK912" s="84"/>
      <c r="BL912" s="84"/>
      <c r="BM912" s="84"/>
      <c r="BN912" s="84"/>
      <c r="BO912" s="84"/>
      <c r="BP912" s="84"/>
      <c r="BQ912" s="84"/>
      <c r="BR912" s="84"/>
    </row>
    <row r="913" spans="1:70" ht="15.75" customHeight="1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  <c r="AL913" s="84"/>
      <c r="AM913" s="84"/>
      <c r="AN913" s="84"/>
      <c r="AO913" s="84"/>
      <c r="AP913" s="84"/>
      <c r="AQ913" s="84"/>
      <c r="AR913" s="84"/>
      <c r="AS913" s="84"/>
      <c r="AT913" s="84"/>
      <c r="AU913" s="84"/>
      <c r="AV913" s="84"/>
      <c r="AW913" s="84"/>
      <c r="AX913" s="84"/>
      <c r="AY913" s="84"/>
      <c r="AZ913" s="84"/>
      <c r="BA913" s="84"/>
      <c r="BB913" s="84"/>
      <c r="BC913" s="84"/>
      <c r="BD913" s="84"/>
      <c r="BE913" s="84"/>
      <c r="BF913" s="84"/>
      <c r="BG913" s="84"/>
      <c r="BH913" s="84"/>
      <c r="BI913" s="84"/>
      <c r="BJ913" s="84"/>
      <c r="BK913" s="84"/>
      <c r="BL913" s="84"/>
      <c r="BM913" s="84"/>
      <c r="BN913" s="84"/>
      <c r="BO913" s="84"/>
      <c r="BP913" s="84"/>
      <c r="BQ913" s="84"/>
      <c r="BR913" s="84"/>
    </row>
    <row r="914" spans="1:70" ht="15.75" customHeight="1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  <c r="AL914" s="84"/>
      <c r="AM914" s="84"/>
      <c r="AN914" s="84"/>
      <c r="AO914" s="84"/>
      <c r="AP914" s="84"/>
      <c r="AQ914" s="84"/>
      <c r="AR914" s="84"/>
      <c r="AS914" s="84"/>
      <c r="AT914" s="84"/>
      <c r="AU914" s="84"/>
      <c r="AV914" s="84"/>
      <c r="AW914" s="84"/>
      <c r="AX914" s="84"/>
      <c r="AY914" s="84"/>
      <c r="AZ914" s="84"/>
      <c r="BA914" s="84"/>
      <c r="BB914" s="84"/>
      <c r="BC914" s="84"/>
      <c r="BD914" s="84"/>
      <c r="BE914" s="84"/>
      <c r="BF914" s="84"/>
      <c r="BG914" s="84"/>
      <c r="BH914" s="84"/>
      <c r="BI914" s="84"/>
      <c r="BJ914" s="84"/>
      <c r="BK914" s="84"/>
      <c r="BL914" s="84"/>
      <c r="BM914" s="84"/>
      <c r="BN914" s="84"/>
      <c r="BO914" s="84"/>
      <c r="BP914" s="84"/>
      <c r="BQ914" s="84"/>
      <c r="BR914" s="84"/>
    </row>
    <row r="915" spans="1:70" ht="15.75" customHeight="1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  <c r="AL915" s="84"/>
      <c r="AM915" s="84"/>
      <c r="AN915" s="84"/>
      <c r="AO915" s="84"/>
      <c r="AP915" s="84"/>
      <c r="AQ915" s="84"/>
      <c r="AR915" s="84"/>
      <c r="AS915" s="84"/>
      <c r="AT915" s="84"/>
      <c r="AU915" s="84"/>
      <c r="AV915" s="84"/>
      <c r="AW915" s="84"/>
      <c r="AX915" s="84"/>
      <c r="AY915" s="84"/>
      <c r="AZ915" s="84"/>
      <c r="BA915" s="84"/>
      <c r="BB915" s="84"/>
      <c r="BC915" s="84"/>
      <c r="BD915" s="84"/>
      <c r="BE915" s="84"/>
      <c r="BF915" s="84"/>
      <c r="BG915" s="84"/>
      <c r="BH915" s="84"/>
      <c r="BI915" s="84"/>
      <c r="BJ915" s="84"/>
      <c r="BK915" s="84"/>
      <c r="BL915" s="84"/>
      <c r="BM915" s="84"/>
      <c r="BN915" s="84"/>
      <c r="BO915" s="84"/>
      <c r="BP915" s="84"/>
      <c r="BQ915" s="84"/>
      <c r="BR915" s="84"/>
    </row>
    <row r="916" spans="1:70" ht="15.75" customHeight="1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  <c r="AL916" s="84"/>
      <c r="AM916" s="84"/>
      <c r="AN916" s="84"/>
      <c r="AO916" s="84"/>
      <c r="AP916" s="84"/>
      <c r="AQ916" s="84"/>
      <c r="AR916" s="84"/>
      <c r="AS916" s="84"/>
      <c r="AT916" s="84"/>
      <c r="AU916" s="84"/>
      <c r="AV916" s="84"/>
      <c r="AW916" s="84"/>
      <c r="AX916" s="84"/>
      <c r="AY916" s="84"/>
      <c r="AZ916" s="84"/>
      <c r="BA916" s="84"/>
      <c r="BB916" s="84"/>
      <c r="BC916" s="84"/>
      <c r="BD916" s="84"/>
      <c r="BE916" s="84"/>
      <c r="BF916" s="84"/>
      <c r="BG916" s="84"/>
      <c r="BH916" s="84"/>
      <c r="BI916" s="84"/>
      <c r="BJ916" s="84"/>
      <c r="BK916" s="84"/>
      <c r="BL916" s="84"/>
      <c r="BM916" s="84"/>
      <c r="BN916" s="84"/>
      <c r="BO916" s="84"/>
      <c r="BP916" s="84"/>
      <c r="BQ916" s="84"/>
      <c r="BR916" s="84"/>
    </row>
    <row r="917" spans="1:70" ht="15.75" customHeight="1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  <c r="AL917" s="84"/>
      <c r="AM917" s="84"/>
      <c r="AN917" s="84"/>
      <c r="AO917" s="84"/>
      <c r="AP917" s="84"/>
      <c r="AQ917" s="84"/>
      <c r="AR917" s="84"/>
      <c r="AS917" s="84"/>
      <c r="AT917" s="84"/>
      <c r="AU917" s="84"/>
      <c r="AV917" s="84"/>
      <c r="AW917" s="84"/>
      <c r="AX917" s="84"/>
      <c r="AY917" s="84"/>
      <c r="AZ917" s="84"/>
      <c r="BA917" s="84"/>
      <c r="BB917" s="84"/>
      <c r="BC917" s="84"/>
      <c r="BD917" s="84"/>
      <c r="BE917" s="84"/>
      <c r="BF917" s="84"/>
      <c r="BG917" s="84"/>
      <c r="BH917" s="84"/>
      <c r="BI917" s="84"/>
      <c r="BJ917" s="84"/>
      <c r="BK917" s="84"/>
      <c r="BL917" s="84"/>
      <c r="BM917" s="84"/>
      <c r="BN917" s="84"/>
      <c r="BO917" s="84"/>
      <c r="BP917" s="84"/>
      <c r="BQ917" s="84"/>
      <c r="BR917" s="84"/>
    </row>
    <row r="918" spans="1:70" ht="15.75" customHeight="1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  <c r="AL918" s="84"/>
      <c r="AM918" s="84"/>
      <c r="AN918" s="84"/>
      <c r="AO918" s="84"/>
      <c r="AP918" s="84"/>
      <c r="AQ918" s="84"/>
      <c r="AR918" s="84"/>
      <c r="AS918" s="84"/>
      <c r="AT918" s="84"/>
      <c r="AU918" s="84"/>
      <c r="AV918" s="84"/>
      <c r="AW918" s="84"/>
      <c r="AX918" s="84"/>
      <c r="AY918" s="84"/>
      <c r="AZ918" s="84"/>
      <c r="BA918" s="84"/>
      <c r="BB918" s="84"/>
      <c r="BC918" s="84"/>
      <c r="BD918" s="84"/>
      <c r="BE918" s="84"/>
      <c r="BF918" s="84"/>
      <c r="BG918" s="84"/>
      <c r="BH918" s="84"/>
      <c r="BI918" s="84"/>
      <c r="BJ918" s="84"/>
      <c r="BK918" s="84"/>
      <c r="BL918" s="84"/>
      <c r="BM918" s="84"/>
      <c r="BN918" s="84"/>
      <c r="BO918" s="84"/>
      <c r="BP918" s="84"/>
      <c r="BQ918" s="84"/>
      <c r="BR918" s="84"/>
    </row>
    <row r="919" spans="1:70" ht="15.75" customHeight="1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  <c r="AL919" s="84"/>
      <c r="AM919" s="84"/>
      <c r="AN919" s="84"/>
      <c r="AO919" s="84"/>
      <c r="AP919" s="84"/>
      <c r="AQ919" s="84"/>
      <c r="AR919" s="84"/>
      <c r="AS919" s="84"/>
      <c r="AT919" s="84"/>
      <c r="AU919" s="84"/>
      <c r="AV919" s="84"/>
      <c r="AW919" s="84"/>
      <c r="AX919" s="84"/>
      <c r="AY919" s="84"/>
      <c r="AZ919" s="84"/>
      <c r="BA919" s="84"/>
      <c r="BB919" s="84"/>
      <c r="BC919" s="84"/>
      <c r="BD919" s="84"/>
      <c r="BE919" s="84"/>
      <c r="BF919" s="84"/>
      <c r="BG919" s="84"/>
      <c r="BH919" s="84"/>
      <c r="BI919" s="84"/>
      <c r="BJ919" s="84"/>
      <c r="BK919" s="84"/>
      <c r="BL919" s="84"/>
      <c r="BM919" s="84"/>
      <c r="BN919" s="84"/>
      <c r="BO919" s="84"/>
      <c r="BP919" s="84"/>
      <c r="BQ919" s="84"/>
      <c r="BR919" s="84"/>
    </row>
    <row r="920" spans="1:70" ht="15.75" customHeight="1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  <c r="AL920" s="84"/>
      <c r="AM920" s="84"/>
      <c r="AN920" s="84"/>
      <c r="AO920" s="84"/>
      <c r="AP920" s="84"/>
      <c r="AQ920" s="84"/>
      <c r="AR920" s="84"/>
      <c r="AS920" s="84"/>
      <c r="AT920" s="84"/>
      <c r="AU920" s="84"/>
      <c r="AV920" s="84"/>
      <c r="AW920" s="84"/>
      <c r="AX920" s="84"/>
      <c r="AY920" s="84"/>
      <c r="AZ920" s="84"/>
      <c r="BA920" s="84"/>
      <c r="BB920" s="84"/>
      <c r="BC920" s="84"/>
      <c r="BD920" s="84"/>
      <c r="BE920" s="84"/>
      <c r="BF920" s="84"/>
      <c r="BG920" s="84"/>
      <c r="BH920" s="84"/>
      <c r="BI920" s="84"/>
      <c r="BJ920" s="84"/>
      <c r="BK920" s="84"/>
      <c r="BL920" s="84"/>
      <c r="BM920" s="84"/>
      <c r="BN920" s="84"/>
      <c r="BO920" s="84"/>
      <c r="BP920" s="84"/>
      <c r="BQ920" s="84"/>
      <c r="BR920" s="84"/>
    </row>
    <row r="921" spans="1:70" ht="15.75" customHeight="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  <c r="AL921" s="84"/>
      <c r="AM921" s="84"/>
      <c r="AN921" s="84"/>
      <c r="AO921" s="84"/>
      <c r="AP921" s="84"/>
      <c r="AQ921" s="84"/>
      <c r="AR921" s="84"/>
      <c r="AS921" s="84"/>
      <c r="AT921" s="84"/>
      <c r="AU921" s="84"/>
      <c r="AV921" s="84"/>
      <c r="AW921" s="84"/>
      <c r="AX921" s="84"/>
      <c r="AY921" s="84"/>
      <c r="AZ921" s="84"/>
      <c r="BA921" s="84"/>
      <c r="BB921" s="84"/>
      <c r="BC921" s="84"/>
      <c r="BD921" s="84"/>
      <c r="BE921" s="84"/>
      <c r="BF921" s="84"/>
      <c r="BG921" s="84"/>
      <c r="BH921" s="84"/>
      <c r="BI921" s="84"/>
      <c r="BJ921" s="84"/>
      <c r="BK921" s="84"/>
      <c r="BL921" s="84"/>
      <c r="BM921" s="84"/>
      <c r="BN921" s="84"/>
      <c r="BO921" s="84"/>
      <c r="BP921" s="84"/>
      <c r="BQ921" s="84"/>
      <c r="BR921" s="84"/>
    </row>
    <row r="922" spans="1:70" ht="15.75" customHeight="1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  <c r="AL922" s="84"/>
      <c r="AM922" s="84"/>
      <c r="AN922" s="84"/>
      <c r="AO922" s="84"/>
      <c r="AP922" s="84"/>
      <c r="AQ922" s="84"/>
      <c r="AR922" s="84"/>
      <c r="AS922" s="84"/>
      <c r="AT922" s="84"/>
      <c r="AU922" s="84"/>
      <c r="AV922" s="84"/>
      <c r="AW922" s="84"/>
      <c r="AX922" s="84"/>
      <c r="AY922" s="84"/>
      <c r="AZ922" s="84"/>
      <c r="BA922" s="84"/>
      <c r="BB922" s="84"/>
      <c r="BC922" s="84"/>
      <c r="BD922" s="84"/>
      <c r="BE922" s="84"/>
      <c r="BF922" s="84"/>
      <c r="BG922" s="84"/>
      <c r="BH922" s="84"/>
      <c r="BI922" s="84"/>
      <c r="BJ922" s="84"/>
      <c r="BK922" s="84"/>
      <c r="BL922" s="84"/>
      <c r="BM922" s="84"/>
      <c r="BN922" s="84"/>
      <c r="BO922" s="84"/>
      <c r="BP922" s="84"/>
      <c r="BQ922" s="84"/>
      <c r="BR922" s="84"/>
    </row>
    <row r="923" spans="1:70" ht="15.75" customHeight="1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  <c r="AL923" s="84"/>
      <c r="AM923" s="84"/>
      <c r="AN923" s="84"/>
      <c r="AO923" s="84"/>
      <c r="AP923" s="84"/>
      <c r="AQ923" s="84"/>
      <c r="AR923" s="84"/>
      <c r="AS923" s="84"/>
      <c r="AT923" s="84"/>
      <c r="AU923" s="84"/>
      <c r="AV923" s="84"/>
      <c r="AW923" s="84"/>
      <c r="AX923" s="84"/>
      <c r="AY923" s="84"/>
      <c r="AZ923" s="84"/>
      <c r="BA923" s="84"/>
      <c r="BB923" s="84"/>
      <c r="BC923" s="84"/>
      <c r="BD923" s="84"/>
      <c r="BE923" s="84"/>
      <c r="BF923" s="84"/>
      <c r="BG923" s="84"/>
      <c r="BH923" s="84"/>
      <c r="BI923" s="84"/>
      <c r="BJ923" s="84"/>
      <c r="BK923" s="84"/>
      <c r="BL923" s="84"/>
      <c r="BM923" s="84"/>
      <c r="BN923" s="84"/>
      <c r="BO923" s="84"/>
      <c r="BP923" s="84"/>
      <c r="BQ923" s="84"/>
      <c r="BR923" s="84"/>
    </row>
    <row r="924" spans="1:70" ht="15.75" customHeight="1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  <c r="AL924" s="84"/>
      <c r="AM924" s="84"/>
      <c r="AN924" s="84"/>
      <c r="AO924" s="84"/>
      <c r="AP924" s="84"/>
      <c r="AQ924" s="84"/>
      <c r="AR924" s="84"/>
      <c r="AS924" s="84"/>
      <c r="AT924" s="84"/>
      <c r="AU924" s="84"/>
      <c r="AV924" s="84"/>
      <c r="AW924" s="84"/>
      <c r="AX924" s="84"/>
      <c r="AY924" s="84"/>
      <c r="AZ924" s="84"/>
      <c r="BA924" s="84"/>
      <c r="BB924" s="84"/>
      <c r="BC924" s="84"/>
      <c r="BD924" s="84"/>
      <c r="BE924" s="84"/>
      <c r="BF924" s="84"/>
      <c r="BG924" s="84"/>
      <c r="BH924" s="84"/>
      <c r="BI924" s="84"/>
      <c r="BJ924" s="84"/>
      <c r="BK924" s="84"/>
      <c r="BL924" s="84"/>
      <c r="BM924" s="84"/>
      <c r="BN924" s="84"/>
      <c r="BO924" s="84"/>
      <c r="BP924" s="84"/>
      <c r="BQ924" s="84"/>
      <c r="BR924" s="84"/>
    </row>
    <row r="925" spans="1:70" ht="15.75" customHeight="1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  <c r="AL925" s="84"/>
      <c r="AM925" s="84"/>
      <c r="AN925" s="84"/>
      <c r="AO925" s="84"/>
      <c r="AP925" s="84"/>
      <c r="AQ925" s="84"/>
      <c r="AR925" s="84"/>
      <c r="AS925" s="84"/>
      <c r="AT925" s="84"/>
      <c r="AU925" s="84"/>
      <c r="AV925" s="84"/>
      <c r="AW925" s="84"/>
      <c r="AX925" s="84"/>
      <c r="AY925" s="84"/>
      <c r="AZ925" s="84"/>
      <c r="BA925" s="84"/>
      <c r="BB925" s="84"/>
      <c r="BC925" s="84"/>
      <c r="BD925" s="84"/>
      <c r="BE925" s="84"/>
      <c r="BF925" s="84"/>
      <c r="BG925" s="84"/>
      <c r="BH925" s="84"/>
      <c r="BI925" s="84"/>
      <c r="BJ925" s="84"/>
      <c r="BK925" s="84"/>
      <c r="BL925" s="84"/>
      <c r="BM925" s="84"/>
      <c r="BN925" s="84"/>
      <c r="BO925" s="84"/>
      <c r="BP925" s="84"/>
      <c r="BQ925" s="84"/>
      <c r="BR925" s="84"/>
    </row>
    <row r="926" spans="1:70" ht="15.75" customHeight="1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  <c r="AL926" s="84"/>
      <c r="AM926" s="84"/>
      <c r="AN926" s="84"/>
      <c r="AO926" s="84"/>
      <c r="AP926" s="84"/>
      <c r="AQ926" s="84"/>
      <c r="AR926" s="84"/>
      <c r="AS926" s="84"/>
      <c r="AT926" s="84"/>
      <c r="AU926" s="84"/>
      <c r="AV926" s="84"/>
      <c r="AW926" s="84"/>
      <c r="AX926" s="84"/>
      <c r="AY926" s="84"/>
      <c r="AZ926" s="84"/>
      <c r="BA926" s="84"/>
      <c r="BB926" s="84"/>
      <c r="BC926" s="84"/>
      <c r="BD926" s="84"/>
      <c r="BE926" s="84"/>
      <c r="BF926" s="84"/>
      <c r="BG926" s="84"/>
      <c r="BH926" s="84"/>
      <c r="BI926" s="84"/>
      <c r="BJ926" s="84"/>
      <c r="BK926" s="84"/>
      <c r="BL926" s="84"/>
      <c r="BM926" s="84"/>
      <c r="BN926" s="84"/>
      <c r="BO926" s="84"/>
      <c r="BP926" s="84"/>
      <c r="BQ926" s="84"/>
      <c r="BR926" s="84"/>
    </row>
    <row r="927" spans="1:70" ht="15.75" customHeight="1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  <c r="AL927" s="84"/>
      <c r="AM927" s="84"/>
      <c r="AN927" s="84"/>
      <c r="AO927" s="84"/>
      <c r="AP927" s="84"/>
      <c r="AQ927" s="84"/>
      <c r="AR927" s="84"/>
      <c r="AS927" s="84"/>
      <c r="AT927" s="84"/>
      <c r="AU927" s="84"/>
      <c r="AV927" s="84"/>
      <c r="AW927" s="84"/>
      <c r="AX927" s="84"/>
      <c r="AY927" s="84"/>
      <c r="AZ927" s="84"/>
      <c r="BA927" s="84"/>
      <c r="BB927" s="84"/>
      <c r="BC927" s="84"/>
      <c r="BD927" s="84"/>
      <c r="BE927" s="84"/>
      <c r="BF927" s="84"/>
      <c r="BG927" s="84"/>
      <c r="BH927" s="84"/>
      <c r="BI927" s="84"/>
      <c r="BJ927" s="84"/>
      <c r="BK927" s="84"/>
      <c r="BL927" s="84"/>
      <c r="BM927" s="84"/>
      <c r="BN927" s="84"/>
      <c r="BO927" s="84"/>
      <c r="BP927" s="84"/>
      <c r="BQ927" s="84"/>
      <c r="BR927" s="84"/>
    </row>
    <row r="928" spans="1:70" ht="15.75" customHeight="1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  <c r="AL928" s="84"/>
      <c r="AM928" s="84"/>
      <c r="AN928" s="84"/>
      <c r="AO928" s="84"/>
      <c r="AP928" s="84"/>
      <c r="AQ928" s="84"/>
      <c r="AR928" s="84"/>
      <c r="AS928" s="84"/>
      <c r="AT928" s="84"/>
      <c r="AU928" s="84"/>
      <c r="AV928" s="84"/>
      <c r="AW928" s="84"/>
      <c r="AX928" s="84"/>
      <c r="AY928" s="84"/>
      <c r="AZ928" s="84"/>
      <c r="BA928" s="84"/>
      <c r="BB928" s="84"/>
      <c r="BC928" s="84"/>
      <c r="BD928" s="84"/>
      <c r="BE928" s="84"/>
      <c r="BF928" s="84"/>
      <c r="BG928" s="84"/>
      <c r="BH928" s="84"/>
      <c r="BI928" s="84"/>
      <c r="BJ928" s="84"/>
      <c r="BK928" s="84"/>
      <c r="BL928" s="84"/>
      <c r="BM928" s="84"/>
      <c r="BN928" s="84"/>
      <c r="BO928" s="84"/>
      <c r="BP928" s="84"/>
      <c r="BQ928" s="84"/>
      <c r="BR928" s="84"/>
    </row>
    <row r="929" spans="1:70" ht="15.75" customHeight="1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  <c r="AL929" s="84"/>
      <c r="AM929" s="84"/>
      <c r="AN929" s="84"/>
      <c r="AO929" s="84"/>
      <c r="AP929" s="84"/>
      <c r="AQ929" s="84"/>
      <c r="AR929" s="84"/>
      <c r="AS929" s="84"/>
      <c r="AT929" s="84"/>
      <c r="AU929" s="84"/>
      <c r="AV929" s="84"/>
      <c r="AW929" s="84"/>
      <c r="AX929" s="84"/>
      <c r="AY929" s="84"/>
      <c r="AZ929" s="84"/>
      <c r="BA929" s="84"/>
      <c r="BB929" s="84"/>
      <c r="BC929" s="84"/>
      <c r="BD929" s="84"/>
      <c r="BE929" s="84"/>
      <c r="BF929" s="84"/>
      <c r="BG929" s="84"/>
      <c r="BH929" s="84"/>
      <c r="BI929" s="84"/>
      <c r="BJ929" s="84"/>
      <c r="BK929" s="84"/>
      <c r="BL929" s="84"/>
      <c r="BM929" s="84"/>
      <c r="BN929" s="84"/>
      <c r="BO929" s="84"/>
      <c r="BP929" s="84"/>
      <c r="BQ929" s="84"/>
      <c r="BR929" s="84"/>
    </row>
    <row r="930" spans="1:70" ht="15.75" customHeight="1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  <c r="AL930" s="84"/>
      <c r="AM930" s="84"/>
      <c r="AN930" s="84"/>
      <c r="AO930" s="84"/>
      <c r="AP930" s="84"/>
      <c r="AQ930" s="84"/>
      <c r="AR930" s="84"/>
      <c r="AS930" s="84"/>
      <c r="AT930" s="84"/>
      <c r="AU930" s="84"/>
      <c r="AV930" s="84"/>
      <c r="AW930" s="84"/>
      <c r="AX930" s="84"/>
      <c r="AY930" s="84"/>
      <c r="AZ930" s="84"/>
      <c r="BA930" s="84"/>
      <c r="BB930" s="84"/>
      <c r="BC930" s="84"/>
      <c r="BD930" s="84"/>
      <c r="BE930" s="84"/>
      <c r="BF930" s="84"/>
      <c r="BG930" s="84"/>
      <c r="BH930" s="84"/>
      <c r="BI930" s="84"/>
      <c r="BJ930" s="84"/>
      <c r="BK930" s="84"/>
      <c r="BL930" s="84"/>
      <c r="BM930" s="84"/>
      <c r="BN930" s="84"/>
      <c r="BO930" s="84"/>
      <c r="BP930" s="84"/>
      <c r="BQ930" s="84"/>
      <c r="BR930" s="84"/>
    </row>
    <row r="931" spans="1:70" ht="15.75" customHeight="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  <c r="AL931" s="84"/>
      <c r="AM931" s="84"/>
      <c r="AN931" s="84"/>
      <c r="AO931" s="84"/>
      <c r="AP931" s="84"/>
      <c r="AQ931" s="84"/>
      <c r="AR931" s="84"/>
      <c r="AS931" s="84"/>
      <c r="AT931" s="84"/>
      <c r="AU931" s="84"/>
      <c r="AV931" s="84"/>
      <c r="AW931" s="84"/>
      <c r="AX931" s="84"/>
      <c r="AY931" s="84"/>
      <c r="AZ931" s="84"/>
      <c r="BA931" s="84"/>
      <c r="BB931" s="84"/>
      <c r="BC931" s="84"/>
      <c r="BD931" s="84"/>
      <c r="BE931" s="84"/>
      <c r="BF931" s="84"/>
      <c r="BG931" s="84"/>
      <c r="BH931" s="84"/>
      <c r="BI931" s="84"/>
      <c r="BJ931" s="84"/>
      <c r="BK931" s="84"/>
      <c r="BL931" s="84"/>
      <c r="BM931" s="84"/>
      <c r="BN931" s="84"/>
      <c r="BO931" s="84"/>
      <c r="BP931" s="84"/>
      <c r="BQ931" s="84"/>
      <c r="BR931" s="84"/>
    </row>
    <row r="932" spans="1:70" ht="15.75" customHeight="1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  <c r="AL932" s="84"/>
      <c r="AM932" s="84"/>
      <c r="AN932" s="84"/>
      <c r="AO932" s="84"/>
      <c r="AP932" s="84"/>
      <c r="AQ932" s="84"/>
      <c r="AR932" s="84"/>
      <c r="AS932" s="84"/>
      <c r="AT932" s="84"/>
      <c r="AU932" s="84"/>
      <c r="AV932" s="84"/>
      <c r="AW932" s="84"/>
      <c r="AX932" s="84"/>
      <c r="AY932" s="84"/>
      <c r="AZ932" s="84"/>
      <c r="BA932" s="84"/>
      <c r="BB932" s="84"/>
      <c r="BC932" s="84"/>
      <c r="BD932" s="84"/>
      <c r="BE932" s="84"/>
      <c r="BF932" s="84"/>
      <c r="BG932" s="84"/>
      <c r="BH932" s="84"/>
      <c r="BI932" s="84"/>
      <c r="BJ932" s="84"/>
      <c r="BK932" s="84"/>
      <c r="BL932" s="84"/>
      <c r="BM932" s="84"/>
      <c r="BN932" s="84"/>
      <c r="BO932" s="84"/>
      <c r="BP932" s="84"/>
      <c r="BQ932" s="84"/>
      <c r="BR932" s="84"/>
    </row>
    <row r="933" spans="1:70" ht="15.75" customHeight="1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  <c r="AL933" s="84"/>
      <c r="AM933" s="84"/>
      <c r="AN933" s="84"/>
      <c r="AO933" s="84"/>
      <c r="AP933" s="84"/>
      <c r="AQ933" s="84"/>
      <c r="AR933" s="84"/>
      <c r="AS933" s="84"/>
      <c r="AT933" s="84"/>
      <c r="AU933" s="84"/>
      <c r="AV933" s="84"/>
      <c r="AW933" s="84"/>
      <c r="AX933" s="84"/>
      <c r="AY933" s="84"/>
      <c r="AZ933" s="84"/>
      <c r="BA933" s="84"/>
      <c r="BB933" s="84"/>
      <c r="BC933" s="84"/>
      <c r="BD933" s="84"/>
      <c r="BE933" s="84"/>
      <c r="BF933" s="84"/>
      <c r="BG933" s="84"/>
      <c r="BH933" s="84"/>
      <c r="BI933" s="84"/>
      <c r="BJ933" s="84"/>
      <c r="BK933" s="84"/>
      <c r="BL933" s="84"/>
      <c r="BM933" s="84"/>
      <c r="BN933" s="84"/>
      <c r="BO933" s="84"/>
      <c r="BP933" s="84"/>
      <c r="BQ933" s="84"/>
      <c r="BR933" s="84"/>
    </row>
    <row r="934" spans="1:70" ht="15.75" customHeight="1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  <c r="AL934" s="84"/>
      <c r="AM934" s="84"/>
      <c r="AN934" s="84"/>
      <c r="AO934" s="84"/>
      <c r="AP934" s="84"/>
      <c r="AQ934" s="84"/>
      <c r="AR934" s="84"/>
      <c r="AS934" s="84"/>
      <c r="AT934" s="84"/>
      <c r="AU934" s="84"/>
      <c r="AV934" s="84"/>
      <c r="AW934" s="84"/>
      <c r="AX934" s="84"/>
      <c r="AY934" s="84"/>
      <c r="AZ934" s="84"/>
      <c r="BA934" s="84"/>
      <c r="BB934" s="84"/>
      <c r="BC934" s="84"/>
      <c r="BD934" s="84"/>
      <c r="BE934" s="84"/>
      <c r="BF934" s="84"/>
      <c r="BG934" s="84"/>
      <c r="BH934" s="84"/>
      <c r="BI934" s="84"/>
      <c r="BJ934" s="84"/>
      <c r="BK934" s="84"/>
      <c r="BL934" s="84"/>
      <c r="BM934" s="84"/>
      <c r="BN934" s="84"/>
      <c r="BO934" s="84"/>
      <c r="BP934" s="84"/>
      <c r="BQ934" s="84"/>
      <c r="BR934" s="84"/>
    </row>
    <row r="935" spans="1:70" ht="15.75" customHeight="1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  <c r="AL935" s="84"/>
      <c r="AM935" s="84"/>
      <c r="AN935" s="84"/>
      <c r="AO935" s="84"/>
      <c r="AP935" s="84"/>
      <c r="AQ935" s="84"/>
      <c r="AR935" s="84"/>
      <c r="AS935" s="84"/>
      <c r="AT935" s="84"/>
      <c r="AU935" s="84"/>
      <c r="AV935" s="84"/>
      <c r="AW935" s="84"/>
      <c r="AX935" s="84"/>
      <c r="AY935" s="84"/>
      <c r="AZ935" s="84"/>
      <c r="BA935" s="84"/>
      <c r="BB935" s="84"/>
      <c r="BC935" s="84"/>
      <c r="BD935" s="84"/>
      <c r="BE935" s="84"/>
      <c r="BF935" s="84"/>
      <c r="BG935" s="84"/>
      <c r="BH935" s="84"/>
      <c r="BI935" s="84"/>
      <c r="BJ935" s="84"/>
      <c r="BK935" s="84"/>
      <c r="BL935" s="84"/>
      <c r="BM935" s="84"/>
      <c r="BN935" s="84"/>
      <c r="BO935" s="84"/>
      <c r="BP935" s="84"/>
      <c r="BQ935" s="84"/>
      <c r="BR935" s="84"/>
    </row>
    <row r="936" spans="1:70" ht="15.75" customHeight="1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  <c r="AL936" s="84"/>
      <c r="AM936" s="84"/>
      <c r="AN936" s="84"/>
      <c r="AO936" s="84"/>
      <c r="AP936" s="84"/>
      <c r="AQ936" s="84"/>
      <c r="AR936" s="84"/>
      <c r="AS936" s="84"/>
      <c r="AT936" s="84"/>
      <c r="AU936" s="84"/>
      <c r="AV936" s="84"/>
      <c r="AW936" s="84"/>
      <c r="AX936" s="84"/>
      <c r="AY936" s="84"/>
      <c r="AZ936" s="84"/>
      <c r="BA936" s="84"/>
      <c r="BB936" s="84"/>
      <c r="BC936" s="84"/>
      <c r="BD936" s="84"/>
      <c r="BE936" s="84"/>
      <c r="BF936" s="84"/>
      <c r="BG936" s="84"/>
      <c r="BH936" s="84"/>
      <c r="BI936" s="84"/>
      <c r="BJ936" s="84"/>
      <c r="BK936" s="84"/>
      <c r="BL936" s="84"/>
      <c r="BM936" s="84"/>
      <c r="BN936" s="84"/>
      <c r="BO936" s="84"/>
      <c r="BP936" s="84"/>
      <c r="BQ936" s="84"/>
      <c r="BR936" s="84"/>
    </row>
    <row r="937" spans="1:70" ht="15.75" customHeight="1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  <c r="AL937" s="84"/>
      <c r="AM937" s="84"/>
      <c r="AN937" s="84"/>
      <c r="AO937" s="84"/>
      <c r="AP937" s="84"/>
      <c r="AQ937" s="84"/>
      <c r="AR937" s="84"/>
      <c r="AS937" s="84"/>
      <c r="AT937" s="84"/>
      <c r="AU937" s="84"/>
      <c r="AV937" s="84"/>
      <c r="AW937" s="84"/>
      <c r="AX937" s="84"/>
      <c r="AY937" s="84"/>
      <c r="AZ937" s="84"/>
      <c r="BA937" s="84"/>
      <c r="BB937" s="84"/>
      <c r="BC937" s="84"/>
      <c r="BD937" s="84"/>
      <c r="BE937" s="84"/>
      <c r="BF937" s="84"/>
      <c r="BG937" s="84"/>
      <c r="BH937" s="84"/>
      <c r="BI937" s="84"/>
      <c r="BJ937" s="84"/>
      <c r="BK937" s="84"/>
      <c r="BL937" s="84"/>
      <c r="BM937" s="84"/>
      <c r="BN937" s="84"/>
      <c r="BO937" s="84"/>
      <c r="BP937" s="84"/>
      <c r="BQ937" s="84"/>
      <c r="BR937" s="84"/>
    </row>
    <row r="938" spans="1:70" ht="15.75" customHeight="1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  <c r="AL938" s="84"/>
      <c r="AM938" s="84"/>
      <c r="AN938" s="84"/>
      <c r="AO938" s="84"/>
      <c r="AP938" s="84"/>
      <c r="AQ938" s="84"/>
      <c r="AR938" s="84"/>
      <c r="AS938" s="84"/>
      <c r="AT938" s="84"/>
      <c r="AU938" s="84"/>
      <c r="AV938" s="84"/>
      <c r="AW938" s="84"/>
      <c r="AX938" s="84"/>
      <c r="AY938" s="84"/>
      <c r="AZ938" s="84"/>
      <c r="BA938" s="84"/>
      <c r="BB938" s="84"/>
      <c r="BC938" s="84"/>
      <c r="BD938" s="84"/>
      <c r="BE938" s="84"/>
      <c r="BF938" s="84"/>
      <c r="BG938" s="84"/>
      <c r="BH938" s="84"/>
      <c r="BI938" s="84"/>
      <c r="BJ938" s="84"/>
      <c r="BK938" s="84"/>
      <c r="BL938" s="84"/>
      <c r="BM938" s="84"/>
      <c r="BN938" s="84"/>
      <c r="BO938" s="84"/>
      <c r="BP938" s="84"/>
      <c r="BQ938" s="84"/>
      <c r="BR938" s="84"/>
    </row>
    <row r="939" spans="1:70" ht="15.75" customHeight="1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  <c r="AL939" s="84"/>
      <c r="AM939" s="84"/>
      <c r="AN939" s="84"/>
      <c r="AO939" s="84"/>
      <c r="AP939" s="84"/>
      <c r="AQ939" s="84"/>
      <c r="AR939" s="84"/>
      <c r="AS939" s="84"/>
      <c r="AT939" s="84"/>
      <c r="AU939" s="84"/>
      <c r="AV939" s="84"/>
      <c r="AW939" s="84"/>
      <c r="AX939" s="84"/>
      <c r="AY939" s="84"/>
      <c r="AZ939" s="84"/>
      <c r="BA939" s="84"/>
      <c r="BB939" s="84"/>
      <c r="BC939" s="84"/>
      <c r="BD939" s="84"/>
      <c r="BE939" s="84"/>
      <c r="BF939" s="84"/>
      <c r="BG939" s="84"/>
      <c r="BH939" s="84"/>
      <c r="BI939" s="84"/>
      <c r="BJ939" s="84"/>
      <c r="BK939" s="84"/>
      <c r="BL939" s="84"/>
      <c r="BM939" s="84"/>
      <c r="BN939" s="84"/>
      <c r="BO939" s="84"/>
      <c r="BP939" s="84"/>
      <c r="BQ939" s="84"/>
      <c r="BR939" s="84"/>
    </row>
    <row r="940" spans="1:70" ht="15.75" customHeight="1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  <c r="AL940" s="84"/>
      <c r="AM940" s="84"/>
      <c r="AN940" s="84"/>
      <c r="AO940" s="84"/>
      <c r="AP940" s="84"/>
      <c r="AQ940" s="84"/>
      <c r="AR940" s="84"/>
      <c r="AS940" s="84"/>
      <c r="AT940" s="84"/>
      <c r="AU940" s="84"/>
      <c r="AV940" s="84"/>
      <c r="AW940" s="84"/>
      <c r="AX940" s="84"/>
      <c r="AY940" s="84"/>
      <c r="AZ940" s="84"/>
      <c r="BA940" s="84"/>
      <c r="BB940" s="84"/>
      <c r="BC940" s="84"/>
      <c r="BD940" s="84"/>
      <c r="BE940" s="84"/>
      <c r="BF940" s="84"/>
      <c r="BG940" s="84"/>
      <c r="BH940" s="84"/>
      <c r="BI940" s="84"/>
      <c r="BJ940" s="84"/>
      <c r="BK940" s="84"/>
      <c r="BL940" s="84"/>
      <c r="BM940" s="84"/>
      <c r="BN940" s="84"/>
      <c r="BO940" s="84"/>
      <c r="BP940" s="84"/>
      <c r="BQ940" s="84"/>
      <c r="BR940" s="84"/>
    </row>
    <row r="941" spans="1:70" ht="15.75" customHeight="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  <c r="AL941" s="84"/>
      <c r="AM941" s="84"/>
      <c r="AN941" s="84"/>
      <c r="AO941" s="84"/>
      <c r="AP941" s="84"/>
      <c r="AQ941" s="84"/>
      <c r="AR941" s="84"/>
      <c r="AS941" s="84"/>
      <c r="AT941" s="84"/>
      <c r="AU941" s="84"/>
      <c r="AV941" s="84"/>
      <c r="AW941" s="84"/>
      <c r="AX941" s="84"/>
      <c r="AY941" s="84"/>
      <c r="AZ941" s="84"/>
      <c r="BA941" s="84"/>
      <c r="BB941" s="84"/>
      <c r="BC941" s="84"/>
      <c r="BD941" s="84"/>
      <c r="BE941" s="84"/>
      <c r="BF941" s="84"/>
      <c r="BG941" s="84"/>
      <c r="BH941" s="84"/>
      <c r="BI941" s="84"/>
      <c r="BJ941" s="84"/>
      <c r="BK941" s="84"/>
      <c r="BL941" s="84"/>
      <c r="BM941" s="84"/>
      <c r="BN941" s="84"/>
      <c r="BO941" s="84"/>
      <c r="BP941" s="84"/>
      <c r="BQ941" s="84"/>
      <c r="BR941" s="84"/>
    </row>
    <row r="942" spans="1:70" ht="15.75" customHeight="1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  <c r="AL942" s="84"/>
      <c r="AM942" s="84"/>
      <c r="AN942" s="84"/>
      <c r="AO942" s="84"/>
      <c r="AP942" s="84"/>
      <c r="AQ942" s="84"/>
      <c r="AR942" s="84"/>
      <c r="AS942" s="84"/>
      <c r="AT942" s="84"/>
      <c r="AU942" s="84"/>
      <c r="AV942" s="84"/>
      <c r="AW942" s="84"/>
      <c r="AX942" s="84"/>
      <c r="AY942" s="84"/>
      <c r="AZ942" s="84"/>
      <c r="BA942" s="84"/>
      <c r="BB942" s="84"/>
      <c r="BC942" s="84"/>
      <c r="BD942" s="84"/>
      <c r="BE942" s="84"/>
      <c r="BF942" s="84"/>
      <c r="BG942" s="84"/>
      <c r="BH942" s="84"/>
      <c r="BI942" s="84"/>
      <c r="BJ942" s="84"/>
      <c r="BK942" s="84"/>
      <c r="BL942" s="84"/>
      <c r="BM942" s="84"/>
      <c r="BN942" s="84"/>
      <c r="BO942" s="84"/>
      <c r="BP942" s="84"/>
      <c r="BQ942" s="84"/>
      <c r="BR942" s="84"/>
    </row>
    <row r="943" spans="1:70" ht="15.75" customHeight="1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  <c r="AL943" s="84"/>
      <c r="AM943" s="84"/>
      <c r="AN943" s="84"/>
      <c r="AO943" s="84"/>
      <c r="AP943" s="84"/>
      <c r="AQ943" s="84"/>
      <c r="AR943" s="84"/>
      <c r="AS943" s="84"/>
      <c r="AT943" s="84"/>
      <c r="AU943" s="84"/>
      <c r="AV943" s="84"/>
      <c r="AW943" s="84"/>
      <c r="AX943" s="84"/>
      <c r="AY943" s="84"/>
      <c r="AZ943" s="84"/>
      <c r="BA943" s="84"/>
      <c r="BB943" s="84"/>
      <c r="BC943" s="84"/>
      <c r="BD943" s="84"/>
      <c r="BE943" s="84"/>
      <c r="BF943" s="84"/>
      <c r="BG943" s="84"/>
      <c r="BH943" s="84"/>
      <c r="BI943" s="84"/>
      <c r="BJ943" s="84"/>
      <c r="BK943" s="84"/>
      <c r="BL943" s="84"/>
      <c r="BM943" s="84"/>
      <c r="BN943" s="84"/>
      <c r="BO943" s="84"/>
      <c r="BP943" s="84"/>
      <c r="BQ943" s="84"/>
      <c r="BR943" s="84"/>
    </row>
    <row r="944" spans="1:70" ht="15.75" customHeight="1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  <c r="AL944" s="84"/>
      <c r="AM944" s="84"/>
      <c r="AN944" s="84"/>
      <c r="AO944" s="84"/>
      <c r="AP944" s="84"/>
      <c r="AQ944" s="84"/>
      <c r="AR944" s="84"/>
      <c r="AS944" s="84"/>
      <c r="AT944" s="84"/>
      <c r="AU944" s="84"/>
      <c r="AV944" s="84"/>
      <c r="AW944" s="84"/>
      <c r="AX944" s="84"/>
      <c r="AY944" s="84"/>
      <c r="AZ944" s="84"/>
      <c r="BA944" s="84"/>
      <c r="BB944" s="84"/>
      <c r="BC944" s="84"/>
      <c r="BD944" s="84"/>
      <c r="BE944" s="84"/>
      <c r="BF944" s="84"/>
      <c r="BG944" s="84"/>
      <c r="BH944" s="84"/>
      <c r="BI944" s="84"/>
      <c r="BJ944" s="84"/>
      <c r="BK944" s="84"/>
      <c r="BL944" s="84"/>
      <c r="BM944" s="84"/>
      <c r="BN944" s="84"/>
      <c r="BO944" s="84"/>
      <c r="BP944" s="84"/>
      <c r="BQ944" s="84"/>
      <c r="BR944" s="84"/>
    </row>
    <row r="945" spans="1:70" ht="15.75" customHeight="1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  <c r="AL945" s="84"/>
      <c r="AM945" s="84"/>
      <c r="AN945" s="84"/>
      <c r="AO945" s="84"/>
      <c r="AP945" s="84"/>
      <c r="AQ945" s="84"/>
      <c r="AR945" s="84"/>
      <c r="AS945" s="84"/>
      <c r="AT945" s="84"/>
      <c r="AU945" s="84"/>
      <c r="AV945" s="84"/>
      <c r="AW945" s="84"/>
      <c r="AX945" s="84"/>
      <c r="AY945" s="84"/>
      <c r="AZ945" s="84"/>
      <c r="BA945" s="84"/>
      <c r="BB945" s="84"/>
      <c r="BC945" s="84"/>
      <c r="BD945" s="84"/>
      <c r="BE945" s="84"/>
      <c r="BF945" s="84"/>
      <c r="BG945" s="84"/>
      <c r="BH945" s="84"/>
      <c r="BI945" s="84"/>
      <c r="BJ945" s="84"/>
      <c r="BK945" s="84"/>
      <c r="BL945" s="84"/>
      <c r="BM945" s="84"/>
      <c r="BN945" s="84"/>
      <c r="BO945" s="84"/>
      <c r="BP945" s="84"/>
      <c r="BQ945" s="84"/>
      <c r="BR945" s="84"/>
    </row>
    <row r="946" spans="1:70" ht="15.75" customHeight="1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  <c r="AL946" s="84"/>
      <c r="AM946" s="84"/>
      <c r="AN946" s="84"/>
      <c r="AO946" s="84"/>
      <c r="AP946" s="84"/>
      <c r="AQ946" s="84"/>
      <c r="AR946" s="84"/>
      <c r="AS946" s="84"/>
      <c r="AT946" s="84"/>
      <c r="AU946" s="84"/>
      <c r="AV946" s="84"/>
      <c r="AW946" s="84"/>
      <c r="AX946" s="84"/>
      <c r="AY946" s="84"/>
      <c r="AZ946" s="84"/>
      <c r="BA946" s="84"/>
      <c r="BB946" s="84"/>
      <c r="BC946" s="84"/>
      <c r="BD946" s="84"/>
      <c r="BE946" s="84"/>
      <c r="BF946" s="84"/>
      <c r="BG946" s="84"/>
      <c r="BH946" s="84"/>
      <c r="BI946" s="84"/>
      <c r="BJ946" s="84"/>
      <c r="BK946" s="84"/>
      <c r="BL946" s="84"/>
      <c r="BM946" s="84"/>
      <c r="BN946" s="84"/>
      <c r="BO946" s="84"/>
      <c r="BP946" s="84"/>
      <c r="BQ946" s="84"/>
      <c r="BR946" s="84"/>
    </row>
    <row r="947" spans="1:70" ht="15.75" customHeight="1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  <c r="AL947" s="84"/>
      <c r="AM947" s="84"/>
      <c r="AN947" s="84"/>
      <c r="AO947" s="84"/>
      <c r="AP947" s="84"/>
      <c r="AQ947" s="84"/>
      <c r="AR947" s="84"/>
      <c r="AS947" s="84"/>
      <c r="AT947" s="84"/>
      <c r="AU947" s="84"/>
      <c r="AV947" s="84"/>
      <c r="AW947" s="84"/>
      <c r="AX947" s="84"/>
      <c r="AY947" s="84"/>
      <c r="AZ947" s="84"/>
      <c r="BA947" s="84"/>
      <c r="BB947" s="84"/>
      <c r="BC947" s="84"/>
      <c r="BD947" s="84"/>
      <c r="BE947" s="84"/>
      <c r="BF947" s="84"/>
      <c r="BG947" s="84"/>
      <c r="BH947" s="84"/>
      <c r="BI947" s="84"/>
      <c r="BJ947" s="84"/>
      <c r="BK947" s="84"/>
      <c r="BL947" s="84"/>
      <c r="BM947" s="84"/>
      <c r="BN947" s="84"/>
      <c r="BO947" s="84"/>
      <c r="BP947" s="84"/>
      <c r="BQ947" s="84"/>
      <c r="BR947" s="84"/>
    </row>
    <row r="948" spans="1:70" ht="15.75" customHeight="1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  <c r="AL948" s="84"/>
      <c r="AM948" s="84"/>
      <c r="AN948" s="84"/>
      <c r="AO948" s="84"/>
      <c r="AP948" s="84"/>
      <c r="AQ948" s="84"/>
      <c r="AR948" s="84"/>
      <c r="AS948" s="84"/>
      <c r="AT948" s="84"/>
      <c r="AU948" s="84"/>
      <c r="AV948" s="84"/>
      <c r="AW948" s="84"/>
      <c r="AX948" s="84"/>
      <c r="AY948" s="84"/>
      <c r="AZ948" s="84"/>
      <c r="BA948" s="84"/>
      <c r="BB948" s="84"/>
      <c r="BC948" s="84"/>
      <c r="BD948" s="84"/>
      <c r="BE948" s="84"/>
      <c r="BF948" s="84"/>
      <c r="BG948" s="84"/>
      <c r="BH948" s="84"/>
      <c r="BI948" s="84"/>
      <c r="BJ948" s="84"/>
      <c r="BK948" s="84"/>
      <c r="BL948" s="84"/>
      <c r="BM948" s="84"/>
      <c r="BN948" s="84"/>
      <c r="BO948" s="84"/>
      <c r="BP948" s="84"/>
      <c r="BQ948" s="84"/>
      <c r="BR948" s="84"/>
    </row>
    <row r="949" spans="1:70" ht="15.75" customHeight="1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  <c r="AL949" s="84"/>
      <c r="AM949" s="84"/>
      <c r="AN949" s="84"/>
      <c r="AO949" s="84"/>
      <c r="AP949" s="84"/>
      <c r="AQ949" s="84"/>
      <c r="AR949" s="84"/>
      <c r="AS949" s="84"/>
      <c r="AT949" s="84"/>
      <c r="AU949" s="84"/>
      <c r="AV949" s="84"/>
      <c r="AW949" s="84"/>
      <c r="AX949" s="84"/>
      <c r="AY949" s="84"/>
      <c r="AZ949" s="84"/>
      <c r="BA949" s="84"/>
      <c r="BB949" s="84"/>
      <c r="BC949" s="84"/>
      <c r="BD949" s="84"/>
      <c r="BE949" s="84"/>
      <c r="BF949" s="84"/>
      <c r="BG949" s="84"/>
      <c r="BH949" s="84"/>
      <c r="BI949" s="84"/>
      <c r="BJ949" s="84"/>
      <c r="BK949" s="84"/>
      <c r="BL949" s="84"/>
      <c r="BM949" s="84"/>
      <c r="BN949" s="84"/>
      <c r="BO949" s="84"/>
      <c r="BP949" s="84"/>
      <c r="BQ949" s="84"/>
      <c r="BR949" s="84"/>
    </row>
    <row r="950" spans="1:70" ht="15.75" customHeight="1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  <c r="AL950" s="84"/>
      <c r="AM950" s="84"/>
      <c r="AN950" s="84"/>
      <c r="AO950" s="84"/>
      <c r="AP950" s="84"/>
      <c r="AQ950" s="84"/>
      <c r="AR950" s="84"/>
      <c r="AS950" s="84"/>
      <c r="AT950" s="84"/>
      <c r="AU950" s="84"/>
      <c r="AV950" s="84"/>
      <c r="AW950" s="84"/>
      <c r="AX950" s="84"/>
      <c r="AY950" s="84"/>
      <c r="AZ950" s="84"/>
      <c r="BA950" s="84"/>
      <c r="BB950" s="84"/>
      <c r="BC950" s="84"/>
      <c r="BD950" s="84"/>
      <c r="BE950" s="84"/>
      <c r="BF950" s="84"/>
      <c r="BG950" s="84"/>
      <c r="BH950" s="84"/>
      <c r="BI950" s="84"/>
      <c r="BJ950" s="84"/>
      <c r="BK950" s="84"/>
      <c r="BL950" s="84"/>
      <c r="BM950" s="84"/>
      <c r="BN950" s="84"/>
      <c r="BO950" s="84"/>
      <c r="BP950" s="84"/>
      <c r="BQ950" s="84"/>
      <c r="BR950" s="84"/>
    </row>
    <row r="951" spans="1:70" ht="15.75" customHeight="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  <c r="AL951" s="84"/>
      <c r="AM951" s="84"/>
      <c r="AN951" s="84"/>
      <c r="AO951" s="84"/>
      <c r="AP951" s="84"/>
      <c r="AQ951" s="84"/>
      <c r="AR951" s="84"/>
      <c r="AS951" s="84"/>
      <c r="AT951" s="84"/>
      <c r="AU951" s="84"/>
      <c r="AV951" s="84"/>
      <c r="AW951" s="84"/>
      <c r="AX951" s="84"/>
      <c r="AY951" s="84"/>
      <c r="AZ951" s="84"/>
      <c r="BA951" s="84"/>
      <c r="BB951" s="84"/>
      <c r="BC951" s="84"/>
      <c r="BD951" s="84"/>
      <c r="BE951" s="84"/>
      <c r="BF951" s="84"/>
      <c r="BG951" s="84"/>
      <c r="BH951" s="84"/>
      <c r="BI951" s="84"/>
      <c r="BJ951" s="84"/>
      <c r="BK951" s="84"/>
      <c r="BL951" s="84"/>
      <c r="BM951" s="84"/>
      <c r="BN951" s="84"/>
      <c r="BO951" s="84"/>
      <c r="BP951" s="84"/>
      <c r="BQ951" s="84"/>
      <c r="BR951" s="84"/>
    </row>
    <row r="952" spans="1:70" ht="15.75" customHeight="1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  <c r="AL952" s="84"/>
      <c r="AM952" s="84"/>
      <c r="AN952" s="84"/>
      <c r="AO952" s="84"/>
      <c r="AP952" s="84"/>
      <c r="AQ952" s="84"/>
      <c r="AR952" s="84"/>
      <c r="AS952" s="84"/>
      <c r="AT952" s="84"/>
      <c r="AU952" s="84"/>
      <c r="AV952" s="84"/>
      <c r="AW952" s="84"/>
      <c r="AX952" s="84"/>
      <c r="AY952" s="84"/>
      <c r="AZ952" s="84"/>
      <c r="BA952" s="84"/>
      <c r="BB952" s="84"/>
      <c r="BC952" s="84"/>
      <c r="BD952" s="84"/>
      <c r="BE952" s="84"/>
      <c r="BF952" s="84"/>
      <c r="BG952" s="84"/>
      <c r="BH952" s="84"/>
      <c r="BI952" s="84"/>
      <c r="BJ952" s="84"/>
      <c r="BK952" s="84"/>
      <c r="BL952" s="84"/>
      <c r="BM952" s="84"/>
      <c r="BN952" s="84"/>
      <c r="BO952" s="84"/>
      <c r="BP952" s="84"/>
      <c r="BQ952" s="84"/>
      <c r="BR952" s="84"/>
    </row>
    <row r="953" spans="1:70" ht="15.75" customHeight="1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  <c r="AL953" s="84"/>
      <c r="AM953" s="84"/>
      <c r="AN953" s="84"/>
      <c r="AO953" s="84"/>
      <c r="AP953" s="84"/>
      <c r="AQ953" s="84"/>
      <c r="AR953" s="84"/>
      <c r="AS953" s="84"/>
      <c r="AT953" s="84"/>
      <c r="AU953" s="84"/>
      <c r="AV953" s="84"/>
      <c r="AW953" s="84"/>
      <c r="AX953" s="84"/>
      <c r="AY953" s="84"/>
      <c r="AZ953" s="84"/>
      <c r="BA953" s="84"/>
      <c r="BB953" s="84"/>
      <c r="BC953" s="84"/>
      <c r="BD953" s="84"/>
      <c r="BE953" s="84"/>
      <c r="BF953" s="84"/>
      <c r="BG953" s="84"/>
      <c r="BH953" s="84"/>
      <c r="BI953" s="84"/>
      <c r="BJ953" s="84"/>
      <c r="BK953" s="84"/>
      <c r="BL953" s="84"/>
      <c r="BM953" s="84"/>
      <c r="BN953" s="84"/>
      <c r="BO953" s="84"/>
      <c r="BP953" s="84"/>
      <c r="BQ953" s="84"/>
      <c r="BR953" s="84"/>
    </row>
    <row r="954" spans="1:70" ht="15.75" customHeight="1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  <c r="AL954" s="84"/>
      <c r="AM954" s="84"/>
      <c r="AN954" s="84"/>
      <c r="AO954" s="84"/>
      <c r="AP954" s="84"/>
      <c r="AQ954" s="84"/>
      <c r="AR954" s="84"/>
      <c r="AS954" s="84"/>
      <c r="AT954" s="84"/>
      <c r="AU954" s="84"/>
      <c r="AV954" s="84"/>
      <c r="AW954" s="84"/>
      <c r="AX954" s="84"/>
      <c r="AY954" s="84"/>
      <c r="AZ954" s="84"/>
      <c r="BA954" s="84"/>
      <c r="BB954" s="84"/>
      <c r="BC954" s="84"/>
      <c r="BD954" s="84"/>
      <c r="BE954" s="84"/>
      <c r="BF954" s="84"/>
      <c r="BG954" s="84"/>
      <c r="BH954" s="84"/>
      <c r="BI954" s="84"/>
      <c r="BJ954" s="84"/>
      <c r="BK954" s="84"/>
      <c r="BL954" s="84"/>
      <c r="BM954" s="84"/>
      <c r="BN954" s="84"/>
      <c r="BO954" s="84"/>
      <c r="BP954" s="84"/>
      <c r="BQ954" s="84"/>
      <c r="BR954" s="84"/>
    </row>
    <row r="955" spans="1:70" ht="15.75" customHeight="1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  <c r="AL955" s="84"/>
      <c r="AM955" s="84"/>
      <c r="AN955" s="84"/>
      <c r="AO955" s="84"/>
      <c r="AP955" s="84"/>
      <c r="AQ955" s="84"/>
      <c r="AR955" s="84"/>
      <c r="AS955" s="84"/>
      <c r="AT955" s="84"/>
      <c r="AU955" s="84"/>
      <c r="AV955" s="84"/>
      <c r="AW955" s="84"/>
      <c r="AX955" s="84"/>
      <c r="AY955" s="84"/>
      <c r="AZ955" s="84"/>
      <c r="BA955" s="84"/>
      <c r="BB955" s="84"/>
      <c r="BC955" s="84"/>
      <c r="BD955" s="84"/>
      <c r="BE955" s="84"/>
      <c r="BF955" s="84"/>
      <c r="BG955" s="84"/>
      <c r="BH955" s="84"/>
      <c r="BI955" s="84"/>
      <c r="BJ955" s="84"/>
      <c r="BK955" s="84"/>
      <c r="BL955" s="84"/>
      <c r="BM955" s="84"/>
      <c r="BN955" s="84"/>
      <c r="BO955" s="84"/>
      <c r="BP955" s="84"/>
      <c r="BQ955" s="84"/>
      <c r="BR955" s="84"/>
    </row>
    <row r="956" spans="1:70" ht="15.75" customHeight="1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  <c r="AL956" s="84"/>
      <c r="AM956" s="84"/>
      <c r="AN956" s="84"/>
      <c r="AO956" s="84"/>
      <c r="AP956" s="84"/>
      <c r="AQ956" s="84"/>
      <c r="AR956" s="84"/>
      <c r="AS956" s="84"/>
      <c r="AT956" s="84"/>
      <c r="AU956" s="84"/>
      <c r="AV956" s="84"/>
      <c r="AW956" s="84"/>
      <c r="AX956" s="84"/>
      <c r="AY956" s="84"/>
      <c r="AZ956" s="84"/>
      <c r="BA956" s="84"/>
      <c r="BB956" s="84"/>
      <c r="BC956" s="84"/>
      <c r="BD956" s="84"/>
      <c r="BE956" s="84"/>
      <c r="BF956" s="84"/>
      <c r="BG956" s="84"/>
      <c r="BH956" s="84"/>
      <c r="BI956" s="84"/>
      <c r="BJ956" s="84"/>
      <c r="BK956" s="84"/>
      <c r="BL956" s="84"/>
      <c r="BM956" s="84"/>
      <c r="BN956" s="84"/>
      <c r="BO956" s="84"/>
      <c r="BP956" s="84"/>
      <c r="BQ956" s="84"/>
      <c r="BR956" s="84"/>
    </row>
    <row r="957" spans="1:70" ht="15.75" customHeight="1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  <c r="AL957" s="84"/>
      <c r="AM957" s="84"/>
      <c r="AN957" s="84"/>
      <c r="AO957" s="84"/>
      <c r="AP957" s="84"/>
      <c r="AQ957" s="84"/>
      <c r="AR957" s="84"/>
      <c r="AS957" s="84"/>
      <c r="AT957" s="84"/>
      <c r="AU957" s="84"/>
      <c r="AV957" s="84"/>
      <c r="AW957" s="84"/>
      <c r="AX957" s="84"/>
      <c r="AY957" s="84"/>
      <c r="AZ957" s="84"/>
      <c r="BA957" s="84"/>
      <c r="BB957" s="84"/>
      <c r="BC957" s="84"/>
      <c r="BD957" s="84"/>
      <c r="BE957" s="84"/>
      <c r="BF957" s="84"/>
      <c r="BG957" s="84"/>
      <c r="BH957" s="84"/>
      <c r="BI957" s="84"/>
      <c r="BJ957" s="84"/>
      <c r="BK957" s="84"/>
      <c r="BL957" s="84"/>
      <c r="BM957" s="84"/>
      <c r="BN957" s="84"/>
      <c r="BO957" s="84"/>
      <c r="BP957" s="84"/>
      <c r="BQ957" s="84"/>
      <c r="BR957" s="84"/>
    </row>
    <row r="958" spans="1:70" ht="15.75" customHeight="1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  <c r="AL958" s="84"/>
      <c r="AM958" s="84"/>
      <c r="AN958" s="84"/>
      <c r="AO958" s="84"/>
      <c r="AP958" s="84"/>
      <c r="AQ958" s="84"/>
      <c r="AR958" s="84"/>
      <c r="AS958" s="84"/>
      <c r="AT958" s="84"/>
      <c r="AU958" s="84"/>
      <c r="AV958" s="84"/>
      <c r="AW958" s="84"/>
      <c r="AX958" s="84"/>
      <c r="AY958" s="84"/>
      <c r="AZ958" s="84"/>
      <c r="BA958" s="84"/>
      <c r="BB958" s="84"/>
      <c r="BC958" s="84"/>
      <c r="BD958" s="84"/>
      <c r="BE958" s="84"/>
      <c r="BF958" s="84"/>
      <c r="BG958" s="84"/>
      <c r="BH958" s="84"/>
      <c r="BI958" s="84"/>
      <c r="BJ958" s="84"/>
      <c r="BK958" s="84"/>
      <c r="BL958" s="84"/>
      <c r="BM958" s="84"/>
      <c r="BN958" s="84"/>
      <c r="BO958" s="84"/>
      <c r="BP958" s="84"/>
      <c r="BQ958" s="84"/>
      <c r="BR958" s="84"/>
    </row>
    <row r="959" spans="1:70" ht="15.75" customHeight="1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  <c r="AL959" s="84"/>
      <c r="AM959" s="84"/>
      <c r="AN959" s="84"/>
      <c r="AO959" s="84"/>
      <c r="AP959" s="84"/>
      <c r="AQ959" s="84"/>
      <c r="AR959" s="84"/>
      <c r="AS959" s="84"/>
      <c r="AT959" s="84"/>
      <c r="AU959" s="84"/>
      <c r="AV959" s="84"/>
      <c r="AW959" s="84"/>
      <c r="AX959" s="84"/>
      <c r="AY959" s="84"/>
      <c r="AZ959" s="84"/>
      <c r="BA959" s="84"/>
      <c r="BB959" s="84"/>
      <c r="BC959" s="84"/>
      <c r="BD959" s="84"/>
      <c r="BE959" s="84"/>
      <c r="BF959" s="84"/>
      <c r="BG959" s="84"/>
      <c r="BH959" s="84"/>
      <c r="BI959" s="84"/>
      <c r="BJ959" s="84"/>
      <c r="BK959" s="84"/>
      <c r="BL959" s="84"/>
      <c r="BM959" s="84"/>
      <c r="BN959" s="84"/>
      <c r="BO959" s="84"/>
      <c r="BP959" s="84"/>
      <c r="BQ959" s="84"/>
      <c r="BR959" s="84"/>
    </row>
    <row r="960" spans="1:70" ht="15.75" customHeight="1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  <c r="AL960" s="84"/>
      <c r="AM960" s="84"/>
      <c r="AN960" s="84"/>
      <c r="AO960" s="84"/>
      <c r="AP960" s="84"/>
      <c r="AQ960" s="84"/>
      <c r="AR960" s="84"/>
      <c r="AS960" s="84"/>
      <c r="AT960" s="84"/>
      <c r="AU960" s="84"/>
      <c r="AV960" s="84"/>
      <c r="AW960" s="84"/>
      <c r="AX960" s="84"/>
      <c r="AY960" s="84"/>
      <c r="AZ960" s="84"/>
      <c r="BA960" s="84"/>
      <c r="BB960" s="84"/>
      <c r="BC960" s="84"/>
      <c r="BD960" s="84"/>
      <c r="BE960" s="84"/>
      <c r="BF960" s="84"/>
      <c r="BG960" s="84"/>
      <c r="BH960" s="84"/>
      <c r="BI960" s="84"/>
      <c r="BJ960" s="84"/>
      <c r="BK960" s="84"/>
      <c r="BL960" s="84"/>
      <c r="BM960" s="84"/>
      <c r="BN960" s="84"/>
      <c r="BO960" s="84"/>
      <c r="BP960" s="84"/>
      <c r="BQ960" s="84"/>
      <c r="BR960" s="84"/>
    </row>
    <row r="961" spans="1:70" ht="15.75" customHeight="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  <c r="AL961" s="84"/>
      <c r="AM961" s="84"/>
      <c r="AN961" s="84"/>
      <c r="AO961" s="84"/>
      <c r="AP961" s="84"/>
      <c r="AQ961" s="84"/>
      <c r="AR961" s="84"/>
      <c r="AS961" s="84"/>
      <c r="AT961" s="84"/>
      <c r="AU961" s="84"/>
      <c r="AV961" s="84"/>
      <c r="AW961" s="84"/>
      <c r="AX961" s="84"/>
      <c r="AY961" s="84"/>
      <c r="AZ961" s="84"/>
      <c r="BA961" s="84"/>
      <c r="BB961" s="84"/>
      <c r="BC961" s="84"/>
      <c r="BD961" s="84"/>
      <c r="BE961" s="84"/>
      <c r="BF961" s="84"/>
      <c r="BG961" s="84"/>
      <c r="BH961" s="84"/>
      <c r="BI961" s="84"/>
      <c r="BJ961" s="84"/>
      <c r="BK961" s="84"/>
      <c r="BL961" s="84"/>
      <c r="BM961" s="84"/>
      <c r="BN961" s="84"/>
      <c r="BO961" s="84"/>
      <c r="BP961" s="84"/>
      <c r="BQ961" s="84"/>
      <c r="BR961" s="84"/>
    </row>
    <row r="962" spans="1:70" ht="15.75" customHeight="1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  <c r="AL962" s="84"/>
      <c r="AM962" s="84"/>
      <c r="AN962" s="84"/>
      <c r="AO962" s="84"/>
      <c r="AP962" s="84"/>
      <c r="AQ962" s="84"/>
      <c r="AR962" s="84"/>
      <c r="AS962" s="84"/>
      <c r="AT962" s="84"/>
      <c r="AU962" s="84"/>
      <c r="AV962" s="84"/>
      <c r="AW962" s="84"/>
      <c r="AX962" s="84"/>
      <c r="AY962" s="84"/>
      <c r="AZ962" s="84"/>
      <c r="BA962" s="84"/>
      <c r="BB962" s="84"/>
      <c r="BC962" s="84"/>
      <c r="BD962" s="84"/>
      <c r="BE962" s="84"/>
      <c r="BF962" s="84"/>
      <c r="BG962" s="84"/>
      <c r="BH962" s="84"/>
      <c r="BI962" s="84"/>
      <c r="BJ962" s="84"/>
      <c r="BK962" s="84"/>
      <c r="BL962" s="84"/>
      <c r="BM962" s="84"/>
      <c r="BN962" s="84"/>
      <c r="BO962" s="84"/>
      <c r="BP962" s="84"/>
      <c r="BQ962" s="84"/>
      <c r="BR962" s="84"/>
    </row>
    <row r="963" spans="1:70" ht="15.75" customHeight="1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  <c r="AL963" s="84"/>
      <c r="AM963" s="84"/>
      <c r="AN963" s="84"/>
      <c r="AO963" s="84"/>
      <c r="AP963" s="84"/>
      <c r="AQ963" s="84"/>
      <c r="AR963" s="84"/>
      <c r="AS963" s="84"/>
      <c r="AT963" s="84"/>
      <c r="AU963" s="84"/>
      <c r="AV963" s="84"/>
      <c r="AW963" s="84"/>
      <c r="AX963" s="84"/>
      <c r="AY963" s="84"/>
      <c r="AZ963" s="84"/>
      <c r="BA963" s="84"/>
      <c r="BB963" s="84"/>
      <c r="BC963" s="84"/>
      <c r="BD963" s="84"/>
      <c r="BE963" s="84"/>
      <c r="BF963" s="84"/>
      <c r="BG963" s="84"/>
      <c r="BH963" s="84"/>
      <c r="BI963" s="84"/>
      <c r="BJ963" s="84"/>
      <c r="BK963" s="84"/>
      <c r="BL963" s="84"/>
      <c r="BM963" s="84"/>
      <c r="BN963" s="84"/>
      <c r="BO963" s="84"/>
      <c r="BP963" s="84"/>
      <c r="BQ963" s="84"/>
      <c r="BR963" s="84"/>
    </row>
    <row r="964" spans="1:70" ht="15.75" customHeight="1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  <c r="AL964" s="84"/>
      <c r="AM964" s="84"/>
      <c r="AN964" s="84"/>
      <c r="AO964" s="84"/>
      <c r="AP964" s="84"/>
      <c r="AQ964" s="84"/>
      <c r="AR964" s="84"/>
      <c r="AS964" s="84"/>
      <c r="AT964" s="84"/>
      <c r="AU964" s="84"/>
      <c r="AV964" s="84"/>
      <c r="AW964" s="84"/>
      <c r="AX964" s="84"/>
      <c r="AY964" s="84"/>
      <c r="AZ964" s="84"/>
      <c r="BA964" s="84"/>
      <c r="BB964" s="84"/>
      <c r="BC964" s="84"/>
      <c r="BD964" s="84"/>
      <c r="BE964" s="84"/>
      <c r="BF964" s="84"/>
      <c r="BG964" s="84"/>
      <c r="BH964" s="84"/>
      <c r="BI964" s="84"/>
      <c r="BJ964" s="84"/>
      <c r="BK964" s="84"/>
      <c r="BL964" s="84"/>
      <c r="BM964" s="84"/>
      <c r="BN964" s="84"/>
      <c r="BO964" s="84"/>
      <c r="BP964" s="84"/>
      <c r="BQ964" s="84"/>
      <c r="BR964" s="84"/>
    </row>
    <row r="965" spans="1:70" ht="15.75" customHeight="1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  <c r="AL965" s="84"/>
      <c r="AM965" s="84"/>
      <c r="AN965" s="84"/>
      <c r="AO965" s="84"/>
      <c r="AP965" s="84"/>
      <c r="AQ965" s="84"/>
      <c r="AR965" s="84"/>
      <c r="AS965" s="84"/>
      <c r="AT965" s="84"/>
      <c r="AU965" s="84"/>
      <c r="AV965" s="84"/>
      <c r="AW965" s="84"/>
      <c r="AX965" s="84"/>
      <c r="AY965" s="84"/>
      <c r="AZ965" s="84"/>
      <c r="BA965" s="84"/>
      <c r="BB965" s="84"/>
      <c r="BC965" s="84"/>
      <c r="BD965" s="84"/>
      <c r="BE965" s="84"/>
      <c r="BF965" s="84"/>
      <c r="BG965" s="84"/>
      <c r="BH965" s="84"/>
      <c r="BI965" s="84"/>
      <c r="BJ965" s="84"/>
      <c r="BK965" s="84"/>
      <c r="BL965" s="84"/>
      <c r="BM965" s="84"/>
      <c r="BN965" s="84"/>
      <c r="BO965" s="84"/>
      <c r="BP965" s="84"/>
      <c r="BQ965" s="84"/>
      <c r="BR965" s="84"/>
    </row>
    <row r="966" spans="1:70" ht="15.75" customHeight="1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  <c r="AL966" s="84"/>
      <c r="AM966" s="84"/>
      <c r="AN966" s="84"/>
      <c r="AO966" s="84"/>
      <c r="AP966" s="84"/>
      <c r="AQ966" s="84"/>
      <c r="AR966" s="84"/>
      <c r="AS966" s="84"/>
      <c r="AT966" s="84"/>
      <c r="AU966" s="84"/>
      <c r="AV966" s="84"/>
      <c r="AW966" s="84"/>
      <c r="AX966" s="84"/>
      <c r="AY966" s="84"/>
      <c r="AZ966" s="84"/>
      <c r="BA966" s="84"/>
      <c r="BB966" s="84"/>
      <c r="BC966" s="84"/>
      <c r="BD966" s="84"/>
      <c r="BE966" s="84"/>
      <c r="BF966" s="84"/>
      <c r="BG966" s="84"/>
      <c r="BH966" s="84"/>
      <c r="BI966" s="84"/>
      <c r="BJ966" s="84"/>
      <c r="BK966" s="84"/>
      <c r="BL966" s="84"/>
      <c r="BM966" s="84"/>
      <c r="BN966" s="84"/>
      <c r="BO966" s="84"/>
      <c r="BP966" s="84"/>
      <c r="BQ966" s="84"/>
      <c r="BR966" s="84"/>
    </row>
    <row r="967" spans="1:70" ht="15.75" customHeight="1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  <c r="AL967" s="84"/>
      <c r="AM967" s="84"/>
      <c r="AN967" s="84"/>
      <c r="AO967" s="84"/>
      <c r="AP967" s="84"/>
      <c r="AQ967" s="84"/>
      <c r="AR967" s="84"/>
      <c r="AS967" s="84"/>
      <c r="AT967" s="84"/>
      <c r="AU967" s="84"/>
      <c r="AV967" s="84"/>
      <c r="AW967" s="84"/>
      <c r="AX967" s="84"/>
      <c r="AY967" s="84"/>
      <c r="AZ967" s="84"/>
      <c r="BA967" s="84"/>
      <c r="BB967" s="84"/>
      <c r="BC967" s="84"/>
      <c r="BD967" s="84"/>
      <c r="BE967" s="84"/>
      <c r="BF967" s="84"/>
      <c r="BG967" s="84"/>
      <c r="BH967" s="84"/>
      <c r="BI967" s="84"/>
      <c r="BJ967" s="84"/>
      <c r="BK967" s="84"/>
      <c r="BL967" s="84"/>
      <c r="BM967" s="84"/>
      <c r="BN967" s="84"/>
      <c r="BO967" s="84"/>
      <c r="BP967" s="84"/>
      <c r="BQ967" s="84"/>
      <c r="BR967" s="84"/>
    </row>
    <row r="968" spans="1:70" ht="15.75" customHeight="1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  <c r="AL968" s="84"/>
      <c r="AM968" s="84"/>
      <c r="AN968" s="84"/>
      <c r="AO968" s="84"/>
      <c r="AP968" s="84"/>
      <c r="AQ968" s="84"/>
      <c r="AR968" s="84"/>
      <c r="AS968" s="84"/>
      <c r="AT968" s="84"/>
      <c r="AU968" s="84"/>
      <c r="AV968" s="84"/>
      <c r="AW968" s="84"/>
      <c r="AX968" s="84"/>
      <c r="AY968" s="84"/>
      <c r="AZ968" s="84"/>
      <c r="BA968" s="84"/>
      <c r="BB968" s="84"/>
      <c r="BC968" s="84"/>
      <c r="BD968" s="84"/>
      <c r="BE968" s="84"/>
      <c r="BF968" s="84"/>
      <c r="BG968" s="84"/>
      <c r="BH968" s="84"/>
      <c r="BI968" s="84"/>
      <c r="BJ968" s="84"/>
      <c r="BK968" s="84"/>
      <c r="BL968" s="84"/>
      <c r="BM968" s="84"/>
      <c r="BN968" s="84"/>
      <c r="BO968" s="84"/>
      <c r="BP968" s="84"/>
      <c r="BQ968" s="84"/>
      <c r="BR968" s="84"/>
    </row>
    <row r="969" spans="1:70" ht="15.75" customHeight="1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  <c r="AL969" s="84"/>
      <c r="AM969" s="84"/>
      <c r="AN969" s="84"/>
      <c r="AO969" s="84"/>
      <c r="AP969" s="84"/>
      <c r="AQ969" s="84"/>
      <c r="AR969" s="84"/>
      <c r="AS969" s="84"/>
      <c r="AT969" s="84"/>
      <c r="AU969" s="84"/>
      <c r="AV969" s="84"/>
      <c r="AW969" s="84"/>
      <c r="AX969" s="84"/>
      <c r="AY969" s="84"/>
      <c r="AZ969" s="84"/>
      <c r="BA969" s="84"/>
      <c r="BB969" s="84"/>
      <c r="BC969" s="84"/>
      <c r="BD969" s="84"/>
      <c r="BE969" s="84"/>
      <c r="BF969" s="84"/>
      <c r="BG969" s="84"/>
      <c r="BH969" s="84"/>
      <c r="BI969" s="84"/>
      <c r="BJ969" s="84"/>
      <c r="BK969" s="84"/>
      <c r="BL969" s="84"/>
      <c r="BM969" s="84"/>
      <c r="BN969" s="84"/>
      <c r="BO969" s="84"/>
      <c r="BP969" s="84"/>
      <c r="BQ969" s="84"/>
      <c r="BR969" s="84"/>
    </row>
    <row r="970" spans="1:70" ht="15.75" customHeight="1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  <c r="AL970" s="84"/>
      <c r="AM970" s="84"/>
      <c r="AN970" s="84"/>
      <c r="AO970" s="84"/>
      <c r="AP970" s="84"/>
      <c r="AQ970" s="84"/>
      <c r="AR970" s="84"/>
      <c r="AS970" s="84"/>
      <c r="AT970" s="84"/>
      <c r="AU970" s="84"/>
      <c r="AV970" s="84"/>
      <c r="AW970" s="84"/>
      <c r="AX970" s="84"/>
      <c r="AY970" s="84"/>
      <c r="AZ970" s="84"/>
      <c r="BA970" s="84"/>
      <c r="BB970" s="84"/>
      <c r="BC970" s="84"/>
      <c r="BD970" s="84"/>
      <c r="BE970" s="84"/>
      <c r="BF970" s="84"/>
      <c r="BG970" s="84"/>
      <c r="BH970" s="84"/>
      <c r="BI970" s="84"/>
      <c r="BJ970" s="84"/>
      <c r="BK970" s="84"/>
      <c r="BL970" s="84"/>
      <c r="BM970" s="84"/>
      <c r="BN970" s="84"/>
      <c r="BO970" s="84"/>
      <c r="BP970" s="84"/>
      <c r="BQ970" s="84"/>
      <c r="BR970" s="84"/>
    </row>
    <row r="971" spans="1:70" ht="15.75" customHeight="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  <c r="AL971" s="84"/>
      <c r="AM971" s="84"/>
      <c r="AN971" s="84"/>
      <c r="AO971" s="84"/>
      <c r="AP971" s="84"/>
      <c r="AQ971" s="84"/>
      <c r="AR971" s="84"/>
      <c r="AS971" s="84"/>
      <c r="AT971" s="84"/>
      <c r="AU971" s="84"/>
      <c r="AV971" s="84"/>
      <c r="AW971" s="84"/>
      <c r="AX971" s="84"/>
      <c r="AY971" s="84"/>
      <c r="AZ971" s="84"/>
      <c r="BA971" s="84"/>
      <c r="BB971" s="84"/>
      <c r="BC971" s="84"/>
      <c r="BD971" s="84"/>
      <c r="BE971" s="84"/>
      <c r="BF971" s="84"/>
      <c r="BG971" s="84"/>
      <c r="BH971" s="84"/>
      <c r="BI971" s="84"/>
      <c r="BJ971" s="84"/>
      <c r="BK971" s="84"/>
      <c r="BL971" s="84"/>
      <c r="BM971" s="84"/>
      <c r="BN971" s="84"/>
      <c r="BO971" s="84"/>
      <c r="BP971" s="84"/>
      <c r="BQ971" s="84"/>
      <c r="BR971" s="84"/>
    </row>
    <row r="972" spans="1:70" ht="15.75" customHeight="1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  <c r="AL972" s="84"/>
      <c r="AM972" s="84"/>
      <c r="AN972" s="84"/>
      <c r="AO972" s="84"/>
      <c r="AP972" s="84"/>
      <c r="AQ972" s="84"/>
      <c r="AR972" s="84"/>
      <c r="AS972" s="84"/>
      <c r="AT972" s="84"/>
      <c r="AU972" s="84"/>
      <c r="AV972" s="84"/>
      <c r="AW972" s="84"/>
      <c r="AX972" s="84"/>
      <c r="AY972" s="84"/>
      <c r="AZ972" s="84"/>
      <c r="BA972" s="84"/>
      <c r="BB972" s="84"/>
      <c r="BC972" s="84"/>
      <c r="BD972" s="84"/>
      <c r="BE972" s="84"/>
      <c r="BF972" s="84"/>
      <c r="BG972" s="84"/>
      <c r="BH972" s="84"/>
      <c r="BI972" s="84"/>
      <c r="BJ972" s="84"/>
      <c r="BK972" s="84"/>
      <c r="BL972" s="84"/>
      <c r="BM972" s="84"/>
      <c r="BN972" s="84"/>
      <c r="BO972" s="84"/>
      <c r="BP972" s="84"/>
      <c r="BQ972" s="84"/>
      <c r="BR972" s="84"/>
    </row>
    <row r="973" spans="1:70" ht="15.75" customHeight="1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  <c r="AL973" s="84"/>
      <c r="AM973" s="84"/>
      <c r="AN973" s="84"/>
      <c r="AO973" s="84"/>
      <c r="AP973" s="84"/>
      <c r="AQ973" s="84"/>
      <c r="AR973" s="84"/>
      <c r="AS973" s="84"/>
      <c r="AT973" s="84"/>
      <c r="AU973" s="84"/>
      <c r="AV973" s="84"/>
      <c r="AW973" s="84"/>
      <c r="AX973" s="84"/>
      <c r="AY973" s="84"/>
      <c r="AZ973" s="84"/>
      <c r="BA973" s="84"/>
      <c r="BB973" s="84"/>
      <c r="BC973" s="84"/>
      <c r="BD973" s="84"/>
      <c r="BE973" s="84"/>
      <c r="BF973" s="84"/>
      <c r="BG973" s="84"/>
      <c r="BH973" s="84"/>
      <c r="BI973" s="84"/>
      <c r="BJ973" s="84"/>
      <c r="BK973" s="84"/>
      <c r="BL973" s="84"/>
      <c r="BM973" s="84"/>
      <c r="BN973" s="84"/>
      <c r="BO973" s="84"/>
      <c r="BP973" s="84"/>
      <c r="BQ973" s="84"/>
      <c r="BR973" s="84"/>
    </row>
    <row r="974" spans="1:70" ht="15.75" customHeight="1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  <c r="AL974" s="84"/>
      <c r="AM974" s="84"/>
      <c r="AN974" s="84"/>
      <c r="AO974" s="84"/>
      <c r="AP974" s="84"/>
      <c r="AQ974" s="84"/>
      <c r="AR974" s="84"/>
      <c r="AS974" s="84"/>
      <c r="AT974" s="84"/>
      <c r="AU974" s="84"/>
      <c r="AV974" s="84"/>
      <c r="AW974" s="84"/>
      <c r="AX974" s="84"/>
      <c r="AY974" s="84"/>
      <c r="AZ974" s="84"/>
      <c r="BA974" s="84"/>
      <c r="BB974" s="84"/>
      <c r="BC974" s="84"/>
      <c r="BD974" s="84"/>
      <c r="BE974" s="84"/>
      <c r="BF974" s="84"/>
      <c r="BG974" s="84"/>
      <c r="BH974" s="84"/>
      <c r="BI974" s="84"/>
      <c r="BJ974" s="84"/>
      <c r="BK974" s="84"/>
      <c r="BL974" s="84"/>
      <c r="BM974" s="84"/>
      <c r="BN974" s="84"/>
      <c r="BO974" s="84"/>
      <c r="BP974" s="84"/>
      <c r="BQ974" s="84"/>
      <c r="BR974" s="84"/>
    </row>
    <row r="975" spans="1:70" ht="15.75" customHeight="1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  <c r="AL975" s="84"/>
      <c r="AM975" s="84"/>
      <c r="AN975" s="84"/>
      <c r="AO975" s="84"/>
      <c r="AP975" s="84"/>
      <c r="AQ975" s="84"/>
      <c r="AR975" s="84"/>
      <c r="AS975" s="84"/>
      <c r="AT975" s="84"/>
      <c r="AU975" s="84"/>
      <c r="AV975" s="84"/>
      <c r="AW975" s="84"/>
      <c r="AX975" s="84"/>
      <c r="AY975" s="84"/>
      <c r="AZ975" s="84"/>
      <c r="BA975" s="84"/>
      <c r="BB975" s="84"/>
      <c r="BC975" s="84"/>
      <c r="BD975" s="84"/>
      <c r="BE975" s="84"/>
      <c r="BF975" s="84"/>
      <c r="BG975" s="84"/>
      <c r="BH975" s="84"/>
      <c r="BI975" s="84"/>
      <c r="BJ975" s="84"/>
      <c r="BK975" s="84"/>
      <c r="BL975" s="84"/>
      <c r="BM975" s="84"/>
      <c r="BN975" s="84"/>
      <c r="BO975" s="84"/>
      <c r="BP975" s="84"/>
      <c r="BQ975" s="84"/>
      <c r="BR975" s="84"/>
    </row>
    <row r="976" spans="1:70" ht="15.75" customHeight="1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  <c r="AL976" s="84"/>
      <c r="AM976" s="84"/>
      <c r="AN976" s="84"/>
      <c r="AO976" s="84"/>
      <c r="AP976" s="84"/>
      <c r="AQ976" s="84"/>
      <c r="AR976" s="84"/>
      <c r="AS976" s="84"/>
      <c r="AT976" s="84"/>
      <c r="AU976" s="84"/>
      <c r="AV976" s="84"/>
      <c r="AW976" s="84"/>
      <c r="AX976" s="84"/>
      <c r="AY976" s="84"/>
      <c r="AZ976" s="84"/>
      <c r="BA976" s="84"/>
      <c r="BB976" s="84"/>
      <c r="BC976" s="84"/>
      <c r="BD976" s="84"/>
      <c r="BE976" s="84"/>
      <c r="BF976" s="84"/>
      <c r="BG976" s="84"/>
      <c r="BH976" s="84"/>
      <c r="BI976" s="84"/>
      <c r="BJ976" s="84"/>
      <c r="BK976" s="84"/>
      <c r="BL976" s="84"/>
      <c r="BM976" s="84"/>
      <c r="BN976" s="84"/>
      <c r="BO976" s="84"/>
      <c r="BP976" s="84"/>
      <c r="BQ976" s="84"/>
      <c r="BR976" s="84"/>
    </row>
    <row r="977" spans="1:70" ht="15.75" customHeight="1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  <c r="AL977" s="84"/>
      <c r="AM977" s="84"/>
      <c r="AN977" s="84"/>
      <c r="AO977" s="84"/>
      <c r="AP977" s="84"/>
      <c r="AQ977" s="84"/>
      <c r="AR977" s="84"/>
      <c r="AS977" s="84"/>
      <c r="AT977" s="84"/>
      <c r="AU977" s="84"/>
      <c r="AV977" s="84"/>
      <c r="AW977" s="84"/>
      <c r="AX977" s="84"/>
      <c r="AY977" s="84"/>
      <c r="AZ977" s="84"/>
      <c r="BA977" s="84"/>
      <c r="BB977" s="84"/>
      <c r="BC977" s="84"/>
      <c r="BD977" s="84"/>
      <c r="BE977" s="84"/>
      <c r="BF977" s="84"/>
      <c r="BG977" s="84"/>
      <c r="BH977" s="84"/>
      <c r="BI977" s="84"/>
      <c r="BJ977" s="84"/>
      <c r="BK977" s="84"/>
      <c r="BL977" s="84"/>
      <c r="BM977" s="84"/>
      <c r="BN977" s="84"/>
      <c r="BO977" s="84"/>
      <c r="BP977" s="84"/>
      <c r="BQ977" s="84"/>
      <c r="BR977" s="84"/>
    </row>
    <row r="978" spans="1:70" ht="15.75" customHeight="1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  <c r="AL978" s="84"/>
      <c r="AM978" s="84"/>
      <c r="AN978" s="84"/>
      <c r="AO978" s="84"/>
      <c r="AP978" s="84"/>
      <c r="AQ978" s="84"/>
      <c r="AR978" s="84"/>
      <c r="AS978" s="84"/>
      <c r="AT978" s="84"/>
      <c r="AU978" s="84"/>
      <c r="AV978" s="84"/>
      <c r="AW978" s="84"/>
      <c r="AX978" s="84"/>
      <c r="AY978" s="84"/>
      <c r="AZ978" s="84"/>
      <c r="BA978" s="84"/>
      <c r="BB978" s="84"/>
      <c r="BC978" s="84"/>
      <c r="BD978" s="84"/>
      <c r="BE978" s="84"/>
      <c r="BF978" s="84"/>
      <c r="BG978" s="84"/>
      <c r="BH978" s="84"/>
      <c r="BI978" s="84"/>
      <c r="BJ978" s="84"/>
      <c r="BK978" s="84"/>
      <c r="BL978" s="84"/>
      <c r="BM978" s="84"/>
      <c r="BN978" s="84"/>
      <c r="BO978" s="84"/>
      <c r="BP978" s="84"/>
      <c r="BQ978" s="84"/>
      <c r="BR978" s="84"/>
    </row>
    <row r="979" spans="1:70" ht="15.75" customHeight="1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  <c r="AL979" s="84"/>
      <c r="AM979" s="84"/>
      <c r="AN979" s="84"/>
      <c r="AO979" s="84"/>
      <c r="AP979" s="84"/>
      <c r="AQ979" s="84"/>
      <c r="AR979" s="84"/>
      <c r="AS979" s="84"/>
      <c r="AT979" s="84"/>
      <c r="AU979" s="84"/>
      <c r="AV979" s="84"/>
      <c r="AW979" s="84"/>
      <c r="AX979" s="84"/>
      <c r="AY979" s="84"/>
      <c r="AZ979" s="84"/>
      <c r="BA979" s="84"/>
      <c r="BB979" s="84"/>
      <c r="BC979" s="84"/>
      <c r="BD979" s="84"/>
      <c r="BE979" s="84"/>
      <c r="BF979" s="84"/>
      <c r="BG979" s="84"/>
      <c r="BH979" s="84"/>
      <c r="BI979" s="84"/>
      <c r="BJ979" s="84"/>
      <c r="BK979" s="84"/>
      <c r="BL979" s="84"/>
      <c r="BM979" s="84"/>
      <c r="BN979" s="84"/>
      <c r="BO979" s="84"/>
      <c r="BP979" s="84"/>
      <c r="BQ979" s="84"/>
      <c r="BR979" s="84"/>
    </row>
    <row r="980" spans="1:70" ht="15.75" customHeight="1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  <c r="AL980" s="84"/>
      <c r="AM980" s="84"/>
      <c r="AN980" s="84"/>
      <c r="AO980" s="84"/>
      <c r="AP980" s="84"/>
      <c r="AQ980" s="84"/>
      <c r="AR980" s="84"/>
      <c r="AS980" s="84"/>
      <c r="AT980" s="84"/>
      <c r="AU980" s="84"/>
      <c r="AV980" s="84"/>
      <c r="AW980" s="84"/>
      <c r="AX980" s="84"/>
      <c r="AY980" s="84"/>
      <c r="AZ980" s="84"/>
      <c r="BA980" s="84"/>
      <c r="BB980" s="84"/>
      <c r="BC980" s="84"/>
      <c r="BD980" s="84"/>
      <c r="BE980" s="84"/>
      <c r="BF980" s="84"/>
      <c r="BG980" s="84"/>
      <c r="BH980" s="84"/>
      <c r="BI980" s="84"/>
      <c r="BJ980" s="84"/>
      <c r="BK980" s="84"/>
      <c r="BL980" s="84"/>
      <c r="BM980" s="84"/>
      <c r="BN980" s="84"/>
      <c r="BO980" s="84"/>
      <c r="BP980" s="84"/>
      <c r="BQ980" s="84"/>
      <c r="BR980" s="84"/>
    </row>
    <row r="981" spans="1:70" ht="15.75" customHeight="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  <c r="AL981" s="84"/>
      <c r="AM981" s="84"/>
      <c r="AN981" s="84"/>
      <c r="AO981" s="84"/>
      <c r="AP981" s="84"/>
      <c r="AQ981" s="84"/>
      <c r="AR981" s="84"/>
      <c r="AS981" s="84"/>
      <c r="AT981" s="84"/>
      <c r="AU981" s="84"/>
      <c r="AV981" s="84"/>
      <c r="AW981" s="84"/>
      <c r="AX981" s="84"/>
      <c r="AY981" s="84"/>
      <c r="AZ981" s="84"/>
      <c r="BA981" s="84"/>
      <c r="BB981" s="84"/>
      <c r="BC981" s="84"/>
      <c r="BD981" s="84"/>
      <c r="BE981" s="84"/>
      <c r="BF981" s="84"/>
      <c r="BG981" s="84"/>
      <c r="BH981" s="84"/>
      <c r="BI981" s="84"/>
      <c r="BJ981" s="84"/>
      <c r="BK981" s="84"/>
      <c r="BL981" s="84"/>
      <c r="BM981" s="84"/>
      <c r="BN981" s="84"/>
      <c r="BO981" s="84"/>
      <c r="BP981" s="84"/>
      <c r="BQ981" s="84"/>
      <c r="BR981" s="84"/>
    </row>
    <row r="982" spans="1:70" ht="15.75" customHeight="1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  <c r="AL982" s="84"/>
      <c r="AM982" s="84"/>
      <c r="AN982" s="84"/>
      <c r="AO982" s="84"/>
      <c r="AP982" s="84"/>
      <c r="AQ982" s="84"/>
      <c r="AR982" s="84"/>
      <c r="AS982" s="84"/>
      <c r="AT982" s="84"/>
      <c r="AU982" s="84"/>
      <c r="AV982" s="84"/>
      <c r="AW982" s="84"/>
      <c r="AX982" s="84"/>
      <c r="AY982" s="84"/>
      <c r="AZ982" s="84"/>
      <c r="BA982" s="84"/>
      <c r="BB982" s="84"/>
      <c r="BC982" s="84"/>
      <c r="BD982" s="84"/>
      <c r="BE982" s="84"/>
      <c r="BF982" s="84"/>
      <c r="BG982" s="84"/>
      <c r="BH982" s="84"/>
      <c r="BI982" s="84"/>
      <c r="BJ982" s="84"/>
      <c r="BK982" s="84"/>
      <c r="BL982" s="84"/>
      <c r="BM982" s="84"/>
      <c r="BN982" s="84"/>
      <c r="BO982" s="84"/>
      <c r="BP982" s="84"/>
      <c r="BQ982" s="84"/>
      <c r="BR982" s="84"/>
    </row>
    <row r="983" spans="1:70" ht="15.75" customHeight="1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  <c r="AL983" s="84"/>
      <c r="AM983" s="84"/>
      <c r="AN983" s="84"/>
      <c r="AO983" s="84"/>
      <c r="AP983" s="84"/>
      <c r="AQ983" s="84"/>
      <c r="AR983" s="84"/>
      <c r="AS983" s="84"/>
      <c r="AT983" s="84"/>
      <c r="AU983" s="84"/>
      <c r="AV983" s="84"/>
      <c r="AW983" s="84"/>
      <c r="AX983" s="84"/>
      <c r="AY983" s="84"/>
      <c r="AZ983" s="84"/>
      <c r="BA983" s="84"/>
      <c r="BB983" s="84"/>
      <c r="BC983" s="84"/>
      <c r="BD983" s="84"/>
      <c r="BE983" s="84"/>
      <c r="BF983" s="84"/>
      <c r="BG983" s="84"/>
      <c r="BH983" s="84"/>
      <c r="BI983" s="84"/>
      <c r="BJ983" s="84"/>
      <c r="BK983" s="84"/>
      <c r="BL983" s="84"/>
      <c r="BM983" s="84"/>
      <c r="BN983" s="84"/>
      <c r="BO983" s="84"/>
      <c r="BP983" s="84"/>
      <c r="BQ983" s="84"/>
      <c r="BR983" s="84"/>
    </row>
    <row r="984" spans="1:70" ht="15.75" customHeight="1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  <c r="AL984" s="84"/>
      <c r="AM984" s="84"/>
      <c r="AN984" s="84"/>
      <c r="AO984" s="84"/>
      <c r="AP984" s="84"/>
      <c r="AQ984" s="84"/>
      <c r="AR984" s="84"/>
      <c r="AS984" s="84"/>
      <c r="AT984" s="84"/>
      <c r="AU984" s="84"/>
      <c r="AV984" s="84"/>
      <c r="AW984" s="84"/>
      <c r="AX984" s="84"/>
      <c r="AY984" s="84"/>
      <c r="AZ984" s="84"/>
      <c r="BA984" s="84"/>
      <c r="BB984" s="84"/>
      <c r="BC984" s="84"/>
      <c r="BD984" s="84"/>
      <c r="BE984" s="84"/>
      <c r="BF984" s="84"/>
      <c r="BG984" s="84"/>
      <c r="BH984" s="84"/>
      <c r="BI984" s="84"/>
      <c r="BJ984" s="84"/>
      <c r="BK984" s="84"/>
      <c r="BL984" s="84"/>
      <c r="BM984" s="84"/>
      <c r="BN984" s="84"/>
      <c r="BO984" s="84"/>
      <c r="BP984" s="84"/>
      <c r="BQ984" s="84"/>
      <c r="BR984" s="84"/>
    </row>
    <row r="985" spans="1:70" ht="15.75" customHeight="1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  <c r="AL985" s="84"/>
      <c r="AM985" s="84"/>
      <c r="AN985" s="84"/>
      <c r="AO985" s="84"/>
      <c r="AP985" s="84"/>
      <c r="AQ985" s="84"/>
      <c r="AR985" s="84"/>
      <c r="AS985" s="84"/>
      <c r="AT985" s="84"/>
      <c r="AU985" s="84"/>
      <c r="AV985" s="84"/>
      <c r="AW985" s="84"/>
      <c r="AX985" s="84"/>
      <c r="AY985" s="84"/>
      <c r="AZ985" s="84"/>
      <c r="BA985" s="84"/>
      <c r="BB985" s="84"/>
      <c r="BC985" s="84"/>
      <c r="BD985" s="84"/>
      <c r="BE985" s="84"/>
      <c r="BF985" s="84"/>
      <c r="BG985" s="84"/>
      <c r="BH985" s="84"/>
      <c r="BI985" s="84"/>
      <c r="BJ985" s="84"/>
      <c r="BK985" s="84"/>
      <c r="BL985" s="84"/>
      <c r="BM985" s="84"/>
      <c r="BN985" s="84"/>
      <c r="BO985" s="84"/>
      <c r="BP985" s="84"/>
      <c r="BQ985" s="84"/>
      <c r="BR985" s="84"/>
    </row>
    <row r="986" spans="1:70" ht="15.75" customHeight="1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  <c r="AL986" s="84"/>
      <c r="AM986" s="84"/>
      <c r="AN986" s="84"/>
      <c r="AO986" s="84"/>
      <c r="AP986" s="84"/>
      <c r="AQ986" s="84"/>
      <c r="AR986" s="84"/>
      <c r="AS986" s="84"/>
      <c r="AT986" s="84"/>
      <c r="AU986" s="84"/>
      <c r="AV986" s="84"/>
      <c r="AW986" s="84"/>
      <c r="AX986" s="84"/>
      <c r="AY986" s="84"/>
      <c r="AZ986" s="84"/>
      <c r="BA986" s="84"/>
      <c r="BB986" s="84"/>
      <c r="BC986" s="84"/>
      <c r="BD986" s="84"/>
      <c r="BE986" s="84"/>
      <c r="BF986" s="84"/>
      <c r="BG986" s="84"/>
      <c r="BH986" s="84"/>
      <c r="BI986" s="84"/>
      <c r="BJ986" s="84"/>
      <c r="BK986" s="84"/>
      <c r="BL986" s="84"/>
      <c r="BM986" s="84"/>
      <c r="BN986" s="84"/>
      <c r="BO986" s="84"/>
      <c r="BP986" s="84"/>
      <c r="BQ986" s="84"/>
      <c r="BR986" s="84"/>
    </row>
    <row r="987" spans="1:70" ht="15.75" customHeight="1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  <c r="AL987" s="84"/>
      <c r="AM987" s="84"/>
      <c r="AN987" s="84"/>
      <c r="AO987" s="84"/>
      <c r="AP987" s="84"/>
      <c r="AQ987" s="84"/>
      <c r="AR987" s="84"/>
      <c r="AS987" s="84"/>
      <c r="AT987" s="84"/>
      <c r="AU987" s="84"/>
      <c r="AV987" s="84"/>
      <c r="AW987" s="84"/>
      <c r="AX987" s="84"/>
      <c r="AY987" s="84"/>
      <c r="AZ987" s="84"/>
      <c r="BA987" s="84"/>
      <c r="BB987" s="84"/>
      <c r="BC987" s="84"/>
      <c r="BD987" s="84"/>
      <c r="BE987" s="84"/>
      <c r="BF987" s="84"/>
      <c r="BG987" s="84"/>
      <c r="BH987" s="84"/>
      <c r="BI987" s="84"/>
      <c r="BJ987" s="84"/>
      <c r="BK987" s="84"/>
      <c r="BL987" s="84"/>
      <c r="BM987" s="84"/>
      <c r="BN987" s="84"/>
      <c r="BO987" s="84"/>
      <c r="BP987" s="84"/>
      <c r="BQ987" s="84"/>
      <c r="BR987" s="84"/>
    </row>
    <row r="988" spans="1:70" ht="15.75" customHeight="1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  <c r="AL988" s="84"/>
      <c r="AM988" s="84"/>
      <c r="AN988" s="84"/>
      <c r="AO988" s="84"/>
      <c r="AP988" s="84"/>
      <c r="AQ988" s="84"/>
      <c r="AR988" s="84"/>
      <c r="AS988" s="84"/>
      <c r="AT988" s="84"/>
      <c r="AU988" s="84"/>
      <c r="AV988" s="84"/>
      <c r="AW988" s="84"/>
      <c r="AX988" s="84"/>
      <c r="AY988" s="84"/>
      <c r="AZ988" s="84"/>
      <c r="BA988" s="84"/>
      <c r="BB988" s="84"/>
      <c r="BC988" s="84"/>
      <c r="BD988" s="84"/>
      <c r="BE988" s="84"/>
      <c r="BF988" s="84"/>
      <c r="BG988" s="84"/>
      <c r="BH988" s="84"/>
      <c r="BI988" s="84"/>
      <c r="BJ988" s="84"/>
      <c r="BK988" s="84"/>
      <c r="BL988" s="84"/>
      <c r="BM988" s="84"/>
      <c r="BN988" s="84"/>
      <c r="BO988" s="84"/>
      <c r="BP988" s="84"/>
      <c r="BQ988" s="84"/>
      <c r="BR988" s="84"/>
    </row>
    <row r="989" spans="1:70" ht="15.75" customHeight="1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  <c r="AL989" s="84"/>
      <c r="AM989" s="84"/>
      <c r="AN989" s="84"/>
      <c r="AO989" s="84"/>
      <c r="AP989" s="84"/>
      <c r="AQ989" s="84"/>
      <c r="AR989" s="84"/>
      <c r="AS989" s="84"/>
      <c r="AT989" s="84"/>
      <c r="AU989" s="84"/>
      <c r="AV989" s="84"/>
      <c r="AW989" s="84"/>
      <c r="AX989" s="84"/>
      <c r="AY989" s="84"/>
      <c r="AZ989" s="84"/>
      <c r="BA989" s="84"/>
      <c r="BB989" s="84"/>
      <c r="BC989" s="84"/>
      <c r="BD989" s="84"/>
      <c r="BE989" s="84"/>
      <c r="BF989" s="84"/>
      <c r="BG989" s="84"/>
      <c r="BH989" s="84"/>
      <c r="BI989" s="84"/>
      <c r="BJ989" s="84"/>
      <c r="BK989" s="84"/>
      <c r="BL989" s="84"/>
      <c r="BM989" s="84"/>
      <c r="BN989" s="84"/>
      <c r="BO989" s="84"/>
      <c r="BP989" s="84"/>
      <c r="BQ989" s="84"/>
      <c r="BR989" s="84"/>
    </row>
    <row r="990" spans="1:70" ht="15.75" customHeight="1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  <c r="AL990" s="84"/>
      <c r="AM990" s="84"/>
      <c r="AN990" s="84"/>
      <c r="AO990" s="84"/>
      <c r="AP990" s="84"/>
      <c r="AQ990" s="84"/>
      <c r="AR990" s="84"/>
      <c r="AS990" s="84"/>
      <c r="AT990" s="84"/>
      <c r="AU990" s="84"/>
      <c r="AV990" s="84"/>
      <c r="AW990" s="84"/>
      <c r="AX990" s="84"/>
      <c r="AY990" s="84"/>
      <c r="AZ990" s="84"/>
      <c r="BA990" s="84"/>
      <c r="BB990" s="84"/>
      <c r="BC990" s="84"/>
      <c r="BD990" s="84"/>
      <c r="BE990" s="84"/>
      <c r="BF990" s="84"/>
      <c r="BG990" s="84"/>
      <c r="BH990" s="84"/>
      <c r="BI990" s="84"/>
      <c r="BJ990" s="84"/>
      <c r="BK990" s="84"/>
      <c r="BL990" s="84"/>
      <c r="BM990" s="84"/>
      <c r="BN990" s="84"/>
      <c r="BO990" s="84"/>
      <c r="BP990" s="84"/>
      <c r="BQ990" s="84"/>
      <c r="BR990" s="84"/>
    </row>
    <row r="991" spans="1:70" ht="15.75" customHeight="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  <c r="AL991" s="84"/>
      <c r="AM991" s="84"/>
      <c r="AN991" s="84"/>
      <c r="AO991" s="84"/>
      <c r="AP991" s="84"/>
      <c r="AQ991" s="84"/>
      <c r="AR991" s="84"/>
      <c r="AS991" s="84"/>
      <c r="AT991" s="84"/>
      <c r="AU991" s="84"/>
      <c r="AV991" s="84"/>
      <c r="AW991" s="84"/>
      <c r="AX991" s="84"/>
      <c r="AY991" s="84"/>
      <c r="AZ991" s="84"/>
      <c r="BA991" s="84"/>
      <c r="BB991" s="84"/>
      <c r="BC991" s="84"/>
      <c r="BD991" s="84"/>
      <c r="BE991" s="84"/>
      <c r="BF991" s="84"/>
      <c r="BG991" s="84"/>
      <c r="BH991" s="84"/>
      <c r="BI991" s="84"/>
      <c r="BJ991" s="84"/>
      <c r="BK991" s="84"/>
      <c r="BL991" s="84"/>
      <c r="BM991" s="84"/>
      <c r="BN991" s="84"/>
      <c r="BO991" s="84"/>
      <c r="BP991" s="84"/>
      <c r="BQ991" s="84"/>
      <c r="BR991" s="84"/>
    </row>
    <row r="992" spans="1:70" ht="15.75" customHeight="1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  <c r="AL992" s="84"/>
      <c r="AM992" s="84"/>
      <c r="AN992" s="84"/>
      <c r="AO992" s="84"/>
      <c r="AP992" s="84"/>
      <c r="AQ992" s="84"/>
      <c r="AR992" s="84"/>
      <c r="AS992" s="84"/>
      <c r="AT992" s="84"/>
      <c r="AU992" s="84"/>
      <c r="AV992" s="84"/>
      <c r="AW992" s="84"/>
      <c r="AX992" s="84"/>
      <c r="AY992" s="84"/>
      <c r="AZ992" s="84"/>
      <c r="BA992" s="84"/>
      <c r="BB992" s="84"/>
      <c r="BC992" s="84"/>
      <c r="BD992" s="84"/>
      <c r="BE992" s="84"/>
      <c r="BF992" s="84"/>
      <c r="BG992" s="84"/>
      <c r="BH992" s="84"/>
      <c r="BI992" s="84"/>
      <c r="BJ992" s="84"/>
      <c r="BK992" s="84"/>
      <c r="BL992" s="84"/>
      <c r="BM992" s="84"/>
      <c r="BN992" s="84"/>
      <c r="BO992" s="84"/>
      <c r="BP992" s="84"/>
      <c r="BQ992" s="84"/>
      <c r="BR992" s="84"/>
    </row>
    <row r="993" spans="1:70" ht="15.75" customHeight="1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  <c r="AL993" s="84"/>
      <c r="AM993" s="84"/>
      <c r="AN993" s="84"/>
      <c r="AO993" s="84"/>
      <c r="AP993" s="84"/>
      <c r="AQ993" s="84"/>
      <c r="AR993" s="84"/>
      <c r="AS993" s="84"/>
      <c r="AT993" s="84"/>
      <c r="AU993" s="84"/>
      <c r="AV993" s="84"/>
      <c r="AW993" s="84"/>
      <c r="AX993" s="84"/>
      <c r="AY993" s="84"/>
      <c r="AZ993" s="84"/>
      <c r="BA993" s="84"/>
      <c r="BB993" s="84"/>
      <c r="BC993" s="84"/>
      <c r="BD993" s="84"/>
      <c r="BE993" s="84"/>
      <c r="BF993" s="84"/>
      <c r="BG993" s="84"/>
      <c r="BH993" s="84"/>
      <c r="BI993" s="84"/>
      <c r="BJ993" s="84"/>
      <c r="BK993" s="84"/>
      <c r="BL993" s="84"/>
      <c r="BM993" s="84"/>
      <c r="BN993" s="84"/>
      <c r="BO993" s="84"/>
      <c r="BP993" s="84"/>
      <c r="BQ993" s="84"/>
      <c r="BR993" s="84"/>
    </row>
    <row r="994" spans="1:70" ht="15.75" customHeight="1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  <c r="AL994" s="84"/>
      <c r="AM994" s="84"/>
      <c r="AN994" s="84"/>
      <c r="AO994" s="84"/>
      <c r="AP994" s="84"/>
      <c r="AQ994" s="84"/>
      <c r="AR994" s="84"/>
      <c r="AS994" s="84"/>
      <c r="AT994" s="84"/>
      <c r="AU994" s="84"/>
      <c r="AV994" s="84"/>
      <c r="AW994" s="84"/>
      <c r="AX994" s="84"/>
      <c r="AY994" s="84"/>
      <c r="AZ994" s="84"/>
      <c r="BA994" s="84"/>
      <c r="BB994" s="84"/>
      <c r="BC994" s="84"/>
      <c r="BD994" s="84"/>
      <c r="BE994" s="84"/>
      <c r="BF994" s="84"/>
      <c r="BG994" s="84"/>
      <c r="BH994" s="84"/>
      <c r="BI994" s="84"/>
      <c r="BJ994" s="84"/>
      <c r="BK994" s="84"/>
      <c r="BL994" s="84"/>
      <c r="BM994" s="84"/>
      <c r="BN994" s="84"/>
      <c r="BO994" s="84"/>
      <c r="BP994" s="84"/>
      <c r="BQ994" s="84"/>
      <c r="BR994" s="84"/>
    </row>
    <row r="995" spans="1:70" ht="15.75" customHeight="1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  <c r="AL995" s="84"/>
      <c r="AM995" s="84"/>
      <c r="AN995" s="84"/>
      <c r="AO995" s="84"/>
      <c r="AP995" s="84"/>
      <c r="AQ995" s="84"/>
      <c r="AR995" s="84"/>
      <c r="AS995" s="84"/>
      <c r="AT995" s="84"/>
      <c r="AU995" s="84"/>
      <c r="AV995" s="84"/>
      <c r="AW995" s="84"/>
      <c r="AX995" s="84"/>
      <c r="AY995" s="84"/>
      <c r="AZ995" s="84"/>
      <c r="BA995" s="84"/>
      <c r="BB995" s="84"/>
      <c r="BC995" s="84"/>
      <c r="BD995" s="84"/>
      <c r="BE995" s="84"/>
      <c r="BF995" s="84"/>
      <c r="BG995" s="84"/>
      <c r="BH995" s="84"/>
      <c r="BI995" s="84"/>
      <c r="BJ995" s="84"/>
      <c r="BK995" s="84"/>
      <c r="BL995" s="84"/>
      <c r="BM995" s="84"/>
      <c r="BN995" s="84"/>
      <c r="BO995" s="84"/>
      <c r="BP995" s="84"/>
      <c r="BQ995" s="84"/>
      <c r="BR995" s="84"/>
    </row>
    <row r="996" spans="1:70" ht="15.75" customHeight="1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  <c r="AL996" s="84"/>
      <c r="AM996" s="84"/>
      <c r="AN996" s="84"/>
      <c r="AO996" s="84"/>
      <c r="AP996" s="84"/>
      <c r="AQ996" s="84"/>
      <c r="AR996" s="84"/>
      <c r="AS996" s="84"/>
      <c r="AT996" s="84"/>
      <c r="AU996" s="84"/>
      <c r="AV996" s="84"/>
      <c r="AW996" s="84"/>
      <c r="AX996" s="84"/>
      <c r="AY996" s="84"/>
      <c r="AZ996" s="84"/>
      <c r="BA996" s="84"/>
      <c r="BB996" s="84"/>
      <c r="BC996" s="84"/>
      <c r="BD996" s="84"/>
      <c r="BE996" s="84"/>
      <c r="BF996" s="84"/>
      <c r="BG996" s="84"/>
      <c r="BH996" s="84"/>
      <c r="BI996" s="84"/>
      <c r="BJ996" s="84"/>
      <c r="BK996" s="84"/>
      <c r="BL996" s="84"/>
      <c r="BM996" s="84"/>
      <c r="BN996" s="84"/>
      <c r="BO996" s="84"/>
      <c r="BP996" s="84"/>
      <c r="BQ996" s="84"/>
      <c r="BR996" s="84"/>
    </row>
    <row r="997" spans="1:70" ht="15.75" customHeight="1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  <c r="AL997" s="84"/>
      <c r="AM997" s="84"/>
      <c r="AN997" s="84"/>
      <c r="AO997" s="84"/>
      <c r="AP997" s="84"/>
      <c r="AQ997" s="84"/>
      <c r="AR997" s="84"/>
      <c r="AS997" s="84"/>
      <c r="AT997" s="84"/>
      <c r="AU997" s="84"/>
      <c r="AV997" s="84"/>
      <c r="AW997" s="84"/>
      <c r="AX997" s="84"/>
      <c r="AY997" s="84"/>
      <c r="AZ997" s="84"/>
      <c r="BA997" s="84"/>
      <c r="BB997" s="84"/>
      <c r="BC997" s="84"/>
      <c r="BD997" s="84"/>
      <c r="BE997" s="84"/>
      <c r="BF997" s="84"/>
      <c r="BG997" s="84"/>
      <c r="BH997" s="84"/>
      <c r="BI997" s="84"/>
      <c r="BJ997" s="84"/>
      <c r="BK997" s="84"/>
      <c r="BL997" s="84"/>
      <c r="BM997" s="84"/>
      <c r="BN997" s="84"/>
      <c r="BO997" s="84"/>
      <c r="BP997" s="84"/>
      <c r="BQ997" s="84"/>
      <c r="BR997" s="84"/>
    </row>
    <row r="998" spans="1:70" ht="15.75" customHeight="1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  <c r="AL998" s="84"/>
      <c r="AM998" s="84"/>
      <c r="AN998" s="84"/>
      <c r="AO998" s="84"/>
      <c r="AP998" s="84"/>
      <c r="AQ998" s="84"/>
      <c r="AR998" s="84"/>
      <c r="AS998" s="84"/>
      <c r="AT998" s="84"/>
      <c r="AU998" s="84"/>
      <c r="AV998" s="84"/>
      <c r="AW998" s="84"/>
      <c r="AX998" s="84"/>
      <c r="AY998" s="84"/>
      <c r="AZ998" s="84"/>
      <c r="BA998" s="84"/>
      <c r="BB998" s="84"/>
      <c r="BC998" s="84"/>
      <c r="BD998" s="84"/>
      <c r="BE998" s="84"/>
      <c r="BF998" s="84"/>
      <c r="BG998" s="84"/>
      <c r="BH998" s="84"/>
      <c r="BI998" s="84"/>
      <c r="BJ998" s="84"/>
      <c r="BK998" s="84"/>
      <c r="BL998" s="84"/>
      <c r="BM998" s="84"/>
      <c r="BN998" s="84"/>
      <c r="BO998" s="84"/>
      <c r="BP998" s="84"/>
      <c r="BQ998" s="84"/>
      <c r="BR998" s="84"/>
    </row>
    <row r="999" spans="1:70" ht="15.75" customHeight="1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  <c r="AL999" s="84"/>
      <c r="AM999" s="84"/>
      <c r="AN999" s="84"/>
      <c r="AO999" s="84"/>
      <c r="AP999" s="84"/>
      <c r="AQ999" s="84"/>
      <c r="AR999" s="84"/>
      <c r="AS999" s="84"/>
      <c r="AT999" s="84"/>
      <c r="AU999" s="84"/>
      <c r="AV999" s="84"/>
      <c r="AW999" s="84"/>
      <c r="AX999" s="84"/>
      <c r="AY999" s="84"/>
      <c r="AZ999" s="84"/>
      <c r="BA999" s="84"/>
      <c r="BB999" s="84"/>
      <c r="BC999" s="84"/>
      <c r="BD999" s="84"/>
      <c r="BE999" s="84"/>
      <c r="BF999" s="84"/>
      <c r="BG999" s="84"/>
      <c r="BH999" s="84"/>
      <c r="BI999" s="84"/>
      <c r="BJ999" s="84"/>
      <c r="BK999" s="84"/>
      <c r="BL999" s="84"/>
      <c r="BM999" s="84"/>
      <c r="BN999" s="84"/>
      <c r="BO999" s="84"/>
      <c r="BP999" s="84"/>
      <c r="BQ999" s="84"/>
      <c r="BR999" s="84"/>
    </row>
    <row r="1000" spans="1:70" ht="15.75" customHeight="1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  <c r="AL1000" s="84"/>
      <c r="AM1000" s="84"/>
      <c r="AN1000" s="84"/>
      <c r="AO1000" s="84"/>
      <c r="AP1000" s="84"/>
      <c r="AQ1000" s="84"/>
      <c r="AR1000" s="84"/>
      <c r="AS1000" s="84"/>
      <c r="AT1000" s="84"/>
      <c r="AU1000" s="84"/>
      <c r="AV1000" s="84"/>
      <c r="AW1000" s="84"/>
      <c r="AX1000" s="84"/>
      <c r="AY1000" s="84"/>
      <c r="AZ1000" s="84"/>
      <c r="BA1000" s="84"/>
      <c r="BB1000" s="84"/>
      <c r="BC1000" s="84"/>
      <c r="BD1000" s="84"/>
      <c r="BE1000" s="84"/>
      <c r="BF1000" s="84"/>
      <c r="BG1000" s="84"/>
      <c r="BH1000" s="84"/>
      <c r="BI1000" s="84"/>
      <c r="BJ1000" s="84"/>
      <c r="BK1000" s="84"/>
      <c r="BL1000" s="84"/>
      <c r="BM1000" s="84"/>
      <c r="BN1000" s="84"/>
      <c r="BO1000" s="84"/>
      <c r="BP1000" s="84"/>
      <c r="BQ1000" s="84"/>
      <c r="BR1000" s="84"/>
    </row>
    <row r="1001" spans="1:70" ht="15.75" customHeight="1">
      <c r="A1001" s="84"/>
      <c r="B1001" s="84"/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  <c r="O1001" s="84"/>
      <c r="P1001" s="84"/>
      <c r="Q1001" s="84"/>
      <c r="R1001" s="84"/>
      <c r="S1001" s="84"/>
      <c r="T1001" s="84"/>
      <c r="U1001" s="84"/>
      <c r="V1001" s="84"/>
      <c r="W1001" s="84"/>
      <c r="X1001" s="84"/>
      <c r="Y1001" s="84"/>
      <c r="Z1001" s="84"/>
      <c r="AA1001" s="84"/>
      <c r="AB1001" s="84"/>
      <c r="AC1001" s="84"/>
      <c r="AD1001" s="84"/>
      <c r="AE1001" s="84"/>
      <c r="AF1001" s="84"/>
      <c r="AG1001" s="84"/>
      <c r="AH1001" s="84"/>
      <c r="AI1001" s="84"/>
      <c r="AJ1001" s="84"/>
      <c r="AK1001" s="84"/>
      <c r="AL1001" s="84"/>
      <c r="AM1001" s="84"/>
      <c r="AN1001" s="84"/>
      <c r="AO1001" s="84"/>
      <c r="AP1001" s="84"/>
      <c r="AQ1001" s="84"/>
      <c r="AR1001" s="84"/>
      <c r="AS1001" s="84"/>
      <c r="AT1001" s="84"/>
      <c r="AU1001" s="84"/>
      <c r="AV1001" s="84"/>
      <c r="AW1001" s="84"/>
      <c r="AX1001" s="84"/>
      <c r="AY1001" s="84"/>
      <c r="AZ1001" s="84"/>
      <c r="BA1001" s="84"/>
      <c r="BB1001" s="84"/>
      <c r="BC1001" s="84"/>
      <c r="BD1001" s="84"/>
      <c r="BE1001" s="84"/>
      <c r="BF1001" s="84"/>
      <c r="BG1001" s="84"/>
      <c r="BH1001" s="84"/>
      <c r="BI1001" s="84"/>
      <c r="BJ1001" s="84"/>
      <c r="BK1001" s="84"/>
      <c r="BL1001" s="84"/>
      <c r="BM1001" s="84"/>
      <c r="BN1001" s="84"/>
      <c r="BO1001" s="84"/>
      <c r="BP1001" s="84"/>
      <c r="BQ1001" s="84"/>
      <c r="BR1001" s="84"/>
    </row>
    <row r="1002" spans="1:70" ht="15.75" customHeight="1">
      <c r="A1002" s="84"/>
      <c r="B1002" s="84"/>
      <c r="C1002" s="84"/>
      <c r="D1002" s="84"/>
      <c r="E1002" s="84"/>
      <c r="F1002" s="84"/>
      <c r="G1002" s="84"/>
      <c r="H1002" s="84"/>
      <c r="I1002" s="84"/>
      <c r="J1002" s="84"/>
      <c r="K1002" s="84"/>
      <c r="L1002" s="84"/>
      <c r="M1002" s="84"/>
      <c r="N1002" s="84"/>
      <c r="O1002" s="84"/>
      <c r="P1002" s="84"/>
      <c r="Q1002" s="84"/>
      <c r="R1002" s="84"/>
      <c r="S1002" s="84"/>
      <c r="T1002" s="84"/>
      <c r="U1002" s="84"/>
      <c r="V1002" s="84"/>
      <c r="W1002" s="84"/>
      <c r="X1002" s="84"/>
      <c r="Y1002" s="84"/>
      <c r="Z1002" s="84"/>
      <c r="AA1002" s="84"/>
      <c r="AB1002" s="84"/>
      <c r="AC1002" s="84"/>
      <c r="AD1002" s="84"/>
      <c r="AE1002" s="84"/>
      <c r="AF1002" s="84"/>
      <c r="AG1002" s="84"/>
      <c r="AH1002" s="84"/>
      <c r="AI1002" s="84"/>
      <c r="AJ1002" s="84"/>
      <c r="AK1002" s="84"/>
      <c r="AL1002" s="84"/>
      <c r="AM1002" s="84"/>
      <c r="AN1002" s="84"/>
      <c r="AO1002" s="84"/>
      <c r="AP1002" s="84"/>
      <c r="AQ1002" s="84"/>
      <c r="AR1002" s="84"/>
      <c r="AS1002" s="84"/>
      <c r="AT1002" s="84"/>
      <c r="AU1002" s="84"/>
      <c r="AV1002" s="84"/>
      <c r="AW1002" s="84"/>
      <c r="AX1002" s="84"/>
      <c r="AY1002" s="84"/>
      <c r="AZ1002" s="84"/>
      <c r="BA1002" s="84"/>
      <c r="BB1002" s="84"/>
      <c r="BC1002" s="84"/>
      <c r="BD1002" s="84"/>
      <c r="BE1002" s="84"/>
      <c r="BF1002" s="84"/>
      <c r="BG1002" s="84"/>
      <c r="BH1002" s="84"/>
      <c r="BI1002" s="84"/>
      <c r="BJ1002" s="84"/>
      <c r="BK1002" s="84"/>
      <c r="BL1002" s="84"/>
      <c r="BM1002" s="84"/>
      <c r="BN1002" s="84"/>
      <c r="BO1002" s="84"/>
      <c r="BP1002" s="84"/>
      <c r="BQ1002" s="84"/>
      <c r="BR1002" s="84"/>
    </row>
  </sheetData>
  <mergeCells count="20">
    <mergeCell ref="B64:C64"/>
    <mergeCell ref="AB12:AG12"/>
    <mergeCell ref="AH12:AM12"/>
    <mergeCell ref="AN12:AS12"/>
    <mergeCell ref="AU12:BF12"/>
    <mergeCell ref="AN14:AS14"/>
    <mergeCell ref="P12:U12"/>
    <mergeCell ref="V12:AA12"/>
    <mergeCell ref="B58:C58"/>
    <mergeCell ref="B62:C62"/>
    <mergeCell ref="B63:C63"/>
    <mergeCell ref="BG14:BR14"/>
    <mergeCell ref="C1:I1"/>
    <mergeCell ref="AU1:BG1"/>
    <mergeCell ref="A11:C13"/>
    <mergeCell ref="AB11:AS11"/>
    <mergeCell ref="AU11:BR11"/>
    <mergeCell ref="D12:I12"/>
    <mergeCell ref="J12:O12"/>
    <mergeCell ref="BG12:BR12"/>
  </mergeCells>
  <pageMargins left="0.7" right="0.7" top="0.75" bottom="0.75" header="0" footer="0"/>
  <pageSetup orientation="landscape"/>
  <headerFooter>
    <oddHeader>&amp;LDepartment of CSE, ULAB&amp;CCO_POAttainmentAnalysis&amp;RCSE004(00)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0"/>
  <sheetViews>
    <sheetView showGridLines="0" workbookViewId="0">
      <selection sqref="A1:D1"/>
    </sheetView>
  </sheetViews>
  <sheetFormatPr defaultColWidth="14.42578125" defaultRowHeight="15" customHeight="1"/>
  <cols>
    <col min="1" max="1" width="24.42578125" customWidth="1"/>
    <col min="2" max="2" width="32" customWidth="1"/>
    <col min="3" max="3" width="22.7109375" customWidth="1"/>
    <col min="4" max="4" width="16.85546875" customWidth="1"/>
    <col min="5" max="24" width="9.140625" customWidth="1"/>
  </cols>
  <sheetData>
    <row r="1" spans="1:24" ht="35.25" customHeight="1">
      <c r="A1" s="288" t="s">
        <v>150</v>
      </c>
      <c r="B1" s="228"/>
      <c r="C1" s="228"/>
      <c r="D1" s="229"/>
      <c r="E1" s="179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</row>
    <row r="2" spans="1:24" ht="16.5">
      <c r="A2" s="181" t="s">
        <v>0</v>
      </c>
      <c r="B2" s="182" t="str">
        <f>GradeSheet!$H$2</f>
        <v>CSE</v>
      </c>
      <c r="C2" s="183" t="s">
        <v>2</v>
      </c>
      <c r="D2" s="184">
        <f>GradeSheet!$L$2</f>
        <v>1</v>
      </c>
      <c r="E2" s="179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</row>
    <row r="3" spans="1:24" ht="16.5" customHeight="1">
      <c r="A3" s="181" t="s">
        <v>3</v>
      </c>
      <c r="B3" s="182" t="str">
        <f>GradeSheet!$H$3</f>
        <v>Operating Systems</v>
      </c>
      <c r="C3" s="185" t="s">
        <v>5</v>
      </c>
      <c r="D3" s="186" t="str">
        <f>GradeSheet!$L$3</f>
        <v>Spring 2025</v>
      </c>
      <c r="E3" s="179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180"/>
      <c r="T3" s="180"/>
      <c r="U3" s="180"/>
      <c r="V3" s="180"/>
      <c r="W3" s="180"/>
      <c r="X3" s="180"/>
    </row>
    <row r="4" spans="1:24" ht="16.5">
      <c r="A4" s="181" t="s">
        <v>7</v>
      </c>
      <c r="B4" s="187">
        <f>GradeSheet!$H$4</f>
        <v>3</v>
      </c>
      <c r="C4" s="188" t="s">
        <v>151</v>
      </c>
      <c r="D4" s="189">
        <f>GradeSheet!$H$67</f>
        <v>42</v>
      </c>
      <c r="E4" s="179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</row>
    <row r="5" spans="1:24" ht="16.5">
      <c r="A5" s="179"/>
      <c r="B5" s="179"/>
      <c r="C5" s="179"/>
      <c r="D5" s="179"/>
      <c r="E5" s="179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</row>
    <row r="6" spans="1:24" ht="16.5">
      <c r="A6" s="289" t="s">
        <v>152</v>
      </c>
      <c r="B6" s="290"/>
      <c r="C6" s="190" t="s">
        <v>153</v>
      </c>
      <c r="D6" s="191" t="s">
        <v>143</v>
      </c>
      <c r="E6" s="179"/>
      <c r="F6" s="180"/>
      <c r="G6" s="180"/>
      <c r="H6" s="180"/>
      <c r="I6" s="180"/>
      <c r="J6" s="180"/>
      <c r="K6" s="180"/>
      <c r="L6" s="180"/>
      <c r="M6" s="180"/>
      <c r="N6" s="180"/>
      <c r="O6" s="180"/>
      <c r="P6" s="180"/>
      <c r="Q6" s="180"/>
      <c r="R6" s="180"/>
      <c r="S6" s="180"/>
      <c r="T6" s="180"/>
      <c r="U6" s="180"/>
      <c r="V6" s="180"/>
      <c r="W6" s="180"/>
      <c r="X6" s="180"/>
    </row>
    <row r="7" spans="1:24" ht="16.5">
      <c r="A7" s="286" t="s">
        <v>117</v>
      </c>
      <c r="B7" s="287"/>
      <c r="C7" s="291" t="s">
        <v>154</v>
      </c>
      <c r="D7" s="192">
        <f>CO_PO_AttainmentAnalysis!AN58/(GradeSheet!H67-GradeSheet!H66-GradeSheet!H65)</f>
        <v>9.5238095238095233E-2</v>
      </c>
      <c r="E7" s="179"/>
      <c r="F7" s="180"/>
      <c r="G7" s="180"/>
      <c r="H7" s="180"/>
      <c r="I7" s="180"/>
      <c r="J7" s="180"/>
      <c r="K7" s="180"/>
      <c r="L7" s="180"/>
      <c r="M7" s="180"/>
      <c r="N7" s="180"/>
      <c r="O7" s="180"/>
      <c r="P7" s="180"/>
      <c r="Q7" s="180"/>
      <c r="R7" s="180"/>
      <c r="S7" s="180"/>
      <c r="T7" s="180"/>
      <c r="U7" s="180"/>
      <c r="V7" s="180"/>
      <c r="W7" s="180"/>
      <c r="X7" s="180"/>
    </row>
    <row r="8" spans="1:24" ht="16.5">
      <c r="A8" s="289" t="s">
        <v>118</v>
      </c>
      <c r="B8" s="228"/>
      <c r="C8" s="292"/>
      <c r="D8" s="192">
        <f>CO_PO_AttainmentAnalysis!$AO$58/(GradeSheet!H67-GradeSheet!H66-GradeSheet!H65)</f>
        <v>0</v>
      </c>
      <c r="E8" s="179"/>
      <c r="F8" s="180"/>
      <c r="G8" s="180"/>
      <c r="H8" s="180"/>
      <c r="I8" s="180"/>
      <c r="J8" s="180"/>
      <c r="K8" s="180"/>
      <c r="L8" s="180"/>
      <c r="M8" s="180"/>
      <c r="N8" s="180"/>
      <c r="O8" s="180"/>
      <c r="P8" s="180"/>
      <c r="Q8" s="180"/>
      <c r="R8" s="180"/>
      <c r="S8" s="180"/>
      <c r="T8" s="180"/>
      <c r="U8" s="180"/>
      <c r="V8" s="180"/>
      <c r="W8" s="180"/>
      <c r="X8" s="180"/>
    </row>
    <row r="9" spans="1:24" ht="16.5">
      <c r="A9" s="286" t="s">
        <v>119</v>
      </c>
      <c r="B9" s="287"/>
      <c r="C9" s="292"/>
      <c r="D9" s="192">
        <f>CO_PO_AttainmentAnalysis!$AP$58/(GradeSheet!H67-GradeSheet!H66-GradeSheet!H65)</f>
        <v>0</v>
      </c>
      <c r="E9" s="179"/>
      <c r="F9" s="180"/>
      <c r="G9" s="180"/>
      <c r="H9" s="180"/>
      <c r="I9" s="180"/>
      <c r="J9" s="180"/>
      <c r="K9" s="180"/>
      <c r="L9" s="180"/>
      <c r="M9" s="180"/>
      <c r="N9" s="180"/>
      <c r="O9" s="180"/>
      <c r="P9" s="180"/>
      <c r="Q9" s="180"/>
      <c r="R9" s="180"/>
      <c r="S9" s="180"/>
      <c r="T9" s="180"/>
      <c r="U9" s="180"/>
      <c r="V9" s="180"/>
      <c r="W9" s="180"/>
      <c r="X9" s="180"/>
    </row>
    <row r="10" spans="1:24" ht="16.5">
      <c r="A10" s="286" t="s">
        <v>120</v>
      </c>
      <c r="B10" s="287"/>
      <c r="C10" s="292"/>
      <c r="D10" s="192">
        <f>CO_PO_AttainmentAnalysis!$AQ$58/(GradeSheet!H67-GradeSheet!H66-GradeSheet!H65)</f>
        <v>0</v>
      </c>
      <c r="E10" s="179"/>
      <c r="F10" s="180"/>
      <c r="G10" s="180"/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</row>
    <row r="11" spans="1:24" ht="16.5">
      <c r="A11" s="286" t="s">
        <v>121</v>
      </c>
      <c r="B11" s="287"/>
      <c r="C11" s="292"/>
      <c r="D11" s="192">
        <f>CO_PO_AttainmentAnalysis!$AR$58/(GradeSheet!H67-GradeSheet!H66-GradeSheet!H65)</f>
        <v>0</v>
      </c>
      <c r="E11" s="179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</row>
    <row r="12" spans="1:24" ht="16.5">
      <c r="A12" s="286" t="s">
        <v>122</v>
      </c>
      <c r="B12" s="287"/>
      <c r="C12" s="293"/>
      <c r="D12" s="192">
        <f>CO_PO_AttainmentAnalysis!$AS$58/(GradeSheet!H67-GradeSheet!H66-GradeSheet!H65)</f>
        <v>0</v>
      </c>
      <c r="E12" s="179"/>
      <c r="F12" s="180"/>
      <c r="G12" s="180"/>
      <c r="H12" s="180"/>
      <c r="I12" s="180"/>
      <c r="J12" s="180"/>
      <c r="K12" s="180"/>
      <c r="L12" s="180"/>
      <c r="M12" s="180"/>
      <c r="N12" s="180"/>
      <c r="O12" s="180"/>
      <c r="P12" s="180"/>
      <c r="Q12" s="180"/>
      <c r="R12" s="180"/>
      <c r="S12" s="180"/>
      <c r="T12" s="180"/>
      <c r="U12" s="180"/>
      <c r="V12" s="180"/>
      <c r="W12" s="180"/>
      <c r="X12" s="180"/>
    </row>
    <row r="13" spans="1:24" ht="16.5">
      <c r="A13" s="179"/>
      <c r="B13" s="179"/>
      <c r="C13" s="179"/>
      <c r="D13" s="179"/>
      <c r="E13" s="179"/>
      <c r="F13" s="180"/>
      <c r="G13" s="180"/>
      <c r="H13" s="180"/>
      <c r="I13" s="180"/>
      <c r="J13" s="180"/>
      <c r="K13" s="180"/>
      <c r="L13" s="180"/>
      <c r="M13" s="180"/>
      <c r="N13" s="180"/>
      <c r="O13" s="180"/>
      <c r="P13" s="180"/>
      <c r="Q13" s="180"/>
      <c r="R13" s="180"/>
      <c r="S13" s="180"/>
      <c r="T13" s="180"/>
      <c r="U13" s="180"/>
      <c r="V13" s="180"/>
      <c r="W13" s="180"/>
      <c r="X13" s="180"/>
    </row>
    <row r="14" spans="1:24" ht="27" customHeight="1">
      <c r="A14" s="282" t="s">
        <v>155</v>
      </c>
      <c r="B14" s="268"/>
      <c r="C14" s="268"/>
      <c r="D14" s="268"/>
      <c r="E14" s="179"/>
      <c r="F14" s="180"/>
      <c r="G14" s="180"/>
      <c r="H14" s="180"/>
      <c r="I14" s="180"/>
      <c r="J14" s="180"/>
      <c r="K14" s="180"/>
      <c r="L14" s="180"/>
      <c r="M14" s="180"/>
      <c r="N14" s="180"/>
      <c r="O14" s="180"/>
      <c r="P14" s="180"/>
      <c r="Q14" s="180"/>
      <c r="R14" s="180"/>
      <c r="S14" s="180"/>
      <c r="T14" s="180"/>
      <c r="U14" s="180"/>
      <c r="V14" s="180"/>
      <c r="W14" s="180"/>
      <c r="X14" s="180"/>
    </row>
    <row r="15" spans="1:24" ht="15.75">
      <c r="A15" s="283"/>
      <c r="B15" s="241"/>
      <c r="C15" s="241"/>
      <c r="D15" s="242"/>
      <c r="E15" s="193"/>
      <c r="F15" s="194"/>
      <c r="G15" s="194"/>
      <c r="H15" s="194"/>
      <c r="I15" s="194"/>
      <c r="J15" s="180"/>
      <c r="K15" s="180"/>
      <c r="L15" s="180"/>
      <c r="M15" s="180"/>
      <c r="N15" s="180"/>
      <c r="O15" s="180"/>
      <c r="P15" s="180"/>
      <c r="Q15" s="180"/>
      <c r="R15" s="180"/>
      <c r="S15" s="180"/>
      <c r="T15" s="180"/>
      <c r="U15" s="180"/>
      <c r="V15" s="180"/>
      <c r="W15" s="180"/>
      <c r="X15" s="180"/>
    </row>
    <row r="16" spans="1:24" ht="16.5" customHeight="1">
      <c r="A16" s="284" t="s">
        <v>156</v>
      </c>
      <c r="B16" s="241"/>
      <c r="C16" s="241"/>
      <c r="D16" s="242"/>
      <c r="E16" s="193"/>
      <c r="F16" s="194"/>
      <c r="G16" s="194"/>
      <c r="H16" s="194"/>
      <c r="I16" s="194"/>
      <c r="J16" s="180"/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</row>
    <row r="17" spans="1:24" ht="15.75">
      <c r="A17" s="285" t="s">
        <v>157</v>
      </c>
      <c r="B17" s="241"/>
      <c r="C17" s="241"/>
      <c r="D17" s="242"/>
      <c r="E17" s="193"/>
      <c r="F17" s="194"/>
      <c r="G17" s="194"/>
      <c r="H17" s="194"/>
      <c r="I17" s="194"/>
      <c r="J17" s="180"/>
      <c r="K17" s="180"/>
      <c r="L17" s="180"/>
      <c r="M17" s="180"/>
      <c r="N17" s="180"/>
      <c r="O17" s="180"/>
      <c r="P17" s="180"/>
      <c r="Q17" s="180"/>
      <c r="R17" s="180"/>
      <c r="S17" s="180"/>
      <c r="T17" s="180"/>
      <c r="U17" s="180"/>
      <c r="V17" s="180"/>
      <c r="W17" s="180"/>
      <c r="X17" s="180"/>
    </row>
    <row r="18" spans="1:24" ht="15.75">
      <c r="A18" s="285" t="s">
        <v>158</v>
      </c>
      <c r="B18" s="241"/>
      <c r="C18" s="241"/>
      <c r="D18" s="242"/>
      <c r="E18" s="193"/>
      <c r="F18" s="194"/>
      <c r="G18" s="194"/>
      <c r="H18" s="194"/>
      <c r="I18" s="194"/>
      <c r="J18" s="180"/>
      <c r="K18" s="180"/>
      <c r="L18" s="180"/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</row>
    <row r="19" spans="1:24" ht="15.75">
      <c r="A19" s="280"/>
      <c r="B19" s="241"/>
      <c r="C19" s="241"/>
      <c r="D19" s="242"/>
      <c r="E19" s="193"/>
      <c r="F19" s="194"/>
      <c r="G19" s="194"/>
      <c r="H19" s="194"/>
      <c r="I19" s="194"/>
      <c r="J19" s="180"/>
      <c r="K19" s="180"/>
      <c r="L19" s="180"/>
      <c r="M19" s="180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</row>
    <row r="20" spans="1:24" ht="15.75">
      <c r="A20" s="280"/>
      <c r="B20" s="241"/>
      <c r="C20" s="241"/>
      <c r="D20" s="242"/>
      <c r="E20" s="193"/>
      <c r="F20" s="194"/>
      <c r="G20" s="194"/>
      <c r="H20" s="194"/>
      <c r="I20" s="194"/>
      <c r="J20" s="180"/>
      <c r="K20" s="180"/>
      <c r="L20" s="180"/>
      <c r="M20" s="180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</row>
    <row r="21" spans="1:24" ht="15.75" customHeight="1">
      <c r="A21" s="195"/>
      <c r="B21" s="196"/>
      <c r="C21" s="196"/>
      <c r="D21" s="197"/>
      <c r="E21" s="193"/>
      <c r="F21" s="194"/>
      <c r="G21" s="194"/>
      <c r="H21" s="194"/>
      <c r="I21" s="194"/>
      <c r="J21" s="180"/>
      <c r="K21" s="180"/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</row>
    <row r="22" spans="1:24" ht="15.75" customHeight="1">
      <c r="A22" s="280"/>
      <c r="B22" s="241"/>
      <c r="C22" s="241"/>
      <c r="D22" s="242"/>
      <c r="E22" s="193"/>
      <c r="F22" s="194"/>
      <c r="G22" s="194"/>
      <c r="H22" s="194"/>
      <c r="I22" s="194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</row>
    <row r="23" spans="1:24" ht="15.75" customHeight="1">
      <c r="A23" s="281"/>
      <c r="B23" s="241"/>
      <c r="C23" s="241"/>
      <c r="D23" s="242"/>
      <c r="E23" s="179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</row>
    <row r="24" spans="1:24" ht="15.75" customHeight="1">
      <c r="A24" s="281"/>
      <c r="B24" s="241"/>
      <c r="C24" s="241"/>
      <c r="D24" s="242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</row>
    <row r="25" spans="1:24" ht="15.75" customHeight="1">
      <c r="A25" s="281"/>
      <c r="B25" s="241"/>
      <c r="C25" s="241"/>
      <c r="D25" s="242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</row>
    <row r="26" spans="1:24" ht="15.75" customHeight="1">
      <c r="A26" s="180"/>
      <c r="B26" s="180"/>
      <c r="C26" s="180"/>
      <c r="D26" s="198" t="s">
        <v>159</v>
      </c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</row>
    <row r="27" spans="1:24" ht="15.75" customHeight="1">
      <c r="A27" s="180"/>
      <c r="B27" s="180"/>
      <c r="C27" s="180"/>
      <c r="D27" s="198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</row>
    <row r="28" spans="1:24" ht="15.75" customHeight="1">
      <c r="A28" s="180"/>
      <c r="B28" s="180"/>
      <c r="C28" s="180"/>
      <c r="D28" s="198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</row>
    <row r="29" spans="1:24" ht="15.75" customHeight="1">
      <c r="A29" s="180"/>
      <c r="B29" s="180"/>
      <c r="C29" s="180"/>
      <c r="D29" s="198"/>
      <c r="E29" s="180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0"/>
      <c r="R29" s="180"/>
      <c r="S29" s="180"/>
      <c r="T29" s="180"/>
      <c r="U29" s="180"/>
      <c r="V29" s="180"/>
      <c r="W29" s="180"/>
      <c r="X29" s="180"/>
    </row>
    <row r="30" spans="1:24" ht="15.75" customHeight="1">
      <c r="A30" s="180"/>
      <c r="B30" s="180"/>
      <c r="C30" s="180"/>
      <c r="D30" s="198"/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</row>
    <row r="31" spans="1:24" ht="15.75" customHeight="1">
      <c r="A31" s="180"/>
      <c r="B31" s="180"/>
      <c r="C31" s="180"/>
      <c r="D31" s="198"/>
      <c r="E31" s="180"/>
      <c r="F31" s="180"/>
      <c r="G31" s="180"/>
      <c r="H31" s="180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0"/>
      <c r="T31" s="180"/>
      <c r="U31" s="180"/>
      <c r="V31" s="180"/>
      <c r="W31" s="180"/>
      <c r="X31" s="180"/>
    </row>
    <row r="32" spans="1:24" ht="15.75" customHeight="1">
      <c r="A32" s="180"/>
      <c r="B32" s="180"/>
      <c r="C32" s="180"/>
      <c r="D32" s="180"/>
      <c r="E32" s="180"/>
      <c r="F32" s="180"/>
      <c r="G32" s="180"/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</row>
    <row r="33" spans="1:24" ht="15.75" customHeight="1">
      <c r="A33" s="199" t="s">
        <v>160</v>
      </c>
      <c r="B33" s="200"/>
      <c r="C33" s="180"/>
      <c r="D33" s="180"/>
      <c r="E33" s="180"/>
      <c r="F33" s="180"/>
      <c r="G33" s="180"/>
      <c r="H33" s="180"/>
      <c r="I33" s="180"/>
      <c r="J33" s="180"/>
      <c r="K33" s="180"/>
      <c r="L33" s="180"/>
      <c r="M33" s="180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</row>
    <row r="34" spans="1:24" ht="15.75" customHeight="1">
      <c r="A34" s="199" t="s">
        <v>161</v>
      </c>
      <c r="B34" s="201" t="str">
        <f>GradeSheet!$H$5</f>
        <v>Rubaiya Hafiz</v>
      </c>
      <c r="C34" s="180"/>
      <c r="D34" s="180"/>
      <c r="E34" s="180"/>
      <c r="F34" s="180"/>
      <c r="G34" s="180"/>
      <c r="H34" s="180"/>
      <c r="I34" s="180"/>
      <c r="J34" s="180"/>
      <c r="K34" s="180"/>
      <c r="L34" s="180"/>
      <c r="M34" s="180"/>
      <c r="N34" s="180"/>
      <c r="O34" s="180"/>
      <c r="P34" s="180"/>
      <c r="Q34" s="180"/>
      <c r="R34" s="180"/>
      <c r="S34" s="180"/>
      <c r="T34" s="180"/>
      <c r="U34" s="180"/>
      <c r="V34" s="180"/>
      <c r="W34" s="180"/>
      <c r="X34" s="180"/>
    </row>
    <row r="35" spans="1:24" ht="15.75" customHeight="1">
      <c r="A35" s="199" t="s">
        <v>162</v>
      </c>
      <c r="B35" s="202">
        <f ca="1">TODAY()</f>
        <v>46170</v>
      </c>
      <c r="C35" s="180"/>
      <c r="D35" s="180"/>
      <c r="E35" s="180"/>
      <c r="F35" s="180"/>
      <c r="G35" s="180"/>
      <c r="H35" s="180"/>
      <c r="I35" s="180"/>
      <c r="J35" s="180"/>
      <c r="K35" s="180"/>
      <c r="L35" s="180"/>
      <c r="M35" s="180"/>
      <c r="N35" s="180"/>
      <c r="O35" s="180"/>
      <c r="P35" s="180"/>
      <c r="Q35" s="180"/>
      <c r="R35" s="180"/>
      <c r="S35" s="180"/>
      <c r="T35" s="180"/>
      <c r="U35" s="180"/>
      <c r="V35" s="180"/>
      <c r="W35" s="180"/>
      <c r="X35" s="180"/>
    </row>
    <row r="36" spans="1:24" ht="15.75" customHeight="1">
      <c r="A36" s="199"/>
      <c r="B36" s="202"/>
      <c r="C36" s="180"/>
      <c r="D36" s="180"/>
      <c r="E36" s="180"/>
      <c r="F36" s="180"/>
      <c r="G36" s="180"/>
      <c r="H36" s="180"/>
      <c r="I36" s="180"/>
      <c r="J36" s="180"/>
      <c r="K36" s="180"/>
      <c r="L36" s="180"/>
      <c r="M36" s="180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</row>
    <row r="37" spans="1:24" ht="15.75" customHeight="1">
      <c r="A37" s="203"/>
      <c r="B37" s="57"/>
      <c r="C37" s="180"/>
      <c r="D37" s="180"/>
      <c r="E37" s="180"/>
      <c r="F37" s="180"/>
      <c r="G37" s="180"/>
      <c r="H37" s="180"/>
      <c r="I37" s="180"/>
      <c r="J37" s="180"/>
      <c r="K37" s="180"/>
      <c r="L37" s="180"/>
      <c r="M37" s="180"/>
      <c r="N37" s="180"/>
      <c r="O37" s="180"/>
      <c r="P37" s="180"/>
      <c r="Q37" s="180"/>
      <c r="R37" s="180"/>
      <c r="S37" s="180"/>
      <c r="T37" s="180"/>
      <c r="U37" s="180"/>
      <c r="V37" s="180"/>
      <c r="W37" s="180"/>
      <c r="X37" s="180"/>
    </row>
    <row r="38" spans="1:24" ht="15.75" customHeight="1">
      <c r="A38" s="180"/>
      <c r="B38" s="180"/>
      <c r="C38" s="180"/>
      <c r="D38" s="180"/>
      <c r="E38" s="180"/>
      <c r="F38" s="180"/>
      <c r="G38" s="180"/>
      <c r="H38" s="180"/>
      <c r="I38" s="180"/>
      <c r="J38" s="180"/>
      <c r="K38" s="180"/>
      <c r="L38" s="180"/>
      <c r="M38" s="180"/>
      <c r="N38" s="180"/>
      <c r="O38" s="180"/>
      <c r="P38" s="180"/>
      <c r="Q38" s="180"/>
      <c r="R38" s="180"/>
      <c r="S38" s="180"/>
      <c r="T38" s="180"/>
      <c r="U38" s="180"/>
      <c r="V38" s="180"/>
      <c r="W38" s="180"/>
      <c r="X38" s="180"/>
    </row>
    <row r="39" spans="1:24" ht="15.75" customHeight="1">
      <c r="A39" s="180"/>
      <c r="B39" s="180"/>
      <c r="C39" s="180"/>
      <c r="D39" s="180"/>
      <c r="E39" s="180"/>
      <c r="F39" s="180"/>
      <c r="G39" s="180"/>
      <c r="H39" s="180"/>
      <c r="I39" s="180"/>
      <c r="J39" s="180"/>
      <c r="K39" s="180"/>
      <c r="L39" s="180"/>
      <c r="M39" s="180"/>
      <c r="N39" s="180"/>
      <c r="O39" s="180"/>
      <c r="P39" s="180"/>
      <c r="Q39" s="180"/>
      <c r="R39" s="180"/>
      <c r="S39" s="180"/>
      <c r="T39" s="180"/>
      <c r="U39" s="180"/>
      <c r="V39" s="180"/>
      <c r="W39" s="180"/>
      <c r="X39" s="180"/>
    </row>
    <row r="40" spans="1:24" ht="15.75" customHeight="1">
      <c r="A40" s="180"/>
      <c r="B40" s="180"/>
      <c r="C40" s="180"/>
      <c r="D40" s="180"/>
      <c r="E40" s="180"/>
      <c r="F40" s="180"/>
      <c r="G40" s="180"/>
      <c r="H40" s="180"/>
      <c r="I40" s="180"/>
      <c r="J40" s="180"/>
      <c r="K40" s="180"/>
      <c r="L40" s="180"/>
      <c r="M40" s="180"/>
      <c r="N40" s="180"/>
      <c r="O40" s="180"/>
      <c r="P40" s="180"/>
      <c r="Q40" s="180"/>
      <c r="R40" s="180"/>
      <c r="S40" s="180"/>
      <c r="T40" s="180"/>
      <c r="U40" s="180"/>
      <c r="V40" s="180"/>
      <c r="W40" s="180"/>
      <c r="X40" s="180"/>
    </row>
    <row r="41" spans="1:24" ht="15.75" customHeight="1">
      <c r="A41" s="180"/>
      <c r="B41" s="180"/>
      <c r="C41" s="180"/>
      <c r="D41" s="180"/>
      <c r="E41" s="180"/>
      <c r="F41" s="180"/>
      <c r="G41" s="180"/>
      <c r="H41" s="180"/>
      <c r="I41" s="180"/>
      <c r="J41" s="180"/>
      <c r="K41" s="180"/>
      <c r="L41" s="180"/>
      <c r="M41" s="180"/>
      <c r="N41" s="180"/>
      <c r="O41" s="180"/>
      <c r="P41" s="180"/>
      <c r="Q41" s="180"/>
      <c r="R41" s="180"/>
      <c r="S41" s="180"/>
      <c r="T41" s="180"/>
      <c r="U41" s="180"/>
      <c r="V41" s="180"/>
      <c r="W41" s="180"/>
      <c r="X41" s="180"/>
    </row>
    <row r="42" spans="1:24" ht="15.75" customHeight="1">
      <c r="A42" s="180"/>
      <c r="B42" s="180"/>
      <c r="C42" s="180"/>
      <c r="D42" s="180"/>
      <c r="E42" s="180"/>
      <c r="F42" s="180"/>
      <c r="G42" s="180"/>
      <c r="H42" s="180"/>
      <c r="I42" s="180"/>
      <c r="J42" s="180"/>
      <c r="K42" s="180"/>
      <c r="L42" s="180"/>
      <c r="M42" s="180"/>
      <c r="N42" s="180"/>
      <c r="O42" s="180"/>
      <c r="P42" s="180"/>
      <c r="Q42" s="180"/>
      <c r="R42" s="180"/>
      <c r="S42" s="180"/>
      <c r="T42" s="180"/>
      <c r="U42" s="180"/>
      <c r="V42" s="180"/>
      <c r="W42" s="180"/>
      <c r="X42" s="180"/>
    </row>
    <row r="43" spans="1:24" ht="15.75" customHeight="1">
      <c r="A43" s="180"/>
      <c r="B43" s="180"/>
      <c r="C43" s="180"/>
      <c r="D43" s="180"/>
      <c r="E43" s="180"/>
      <c r="F43" s="180"/>
      <c r="G43" s="180"/>
      <c r="H43" s="180"/>
      <c r="I43" s="180"/>
      <c r="J43" s="180"/>
      <c r="K43" s="180"/>
      <c r="L43" s="180"/>
      <c r="M43" s="180"/>
      <c r="N43" s="180"/>
      <c r="O43" s="180"/>
      <c r="P43" s="180"/>
      <c r="Q43" s="180"/>
      <c r="R43" s="180"/>
      <c r="S43" s="180"/>
      <c r="T43" s="180"/>
      <c r="U43" s="180"/>
      <c r="V43" s="180"/>
      <c r="W43" s="180"/>
      <c r="X43" s="180"/>
    </row>
    <row r="44" spans="1:24" ht="15.75" customHeight="1">
      <c r="A44" s="180"/>
      <c r="B44" s="180"/>
      <c r="C44" s="180"/>
      <c r="D44" s="180"/>
      <c r="E44" s="180"/>
      <c r="F44" s="180"/>
      <c r="G44" s="180"/>
      <c r="H44" s="180"/>
      <c r="I44" s="180"/>
      <c r="J44" s="180"/>
      <c r="K44" s="180"/>
      <c r="L44" s="180"/>
      <c r="M44" s="180"/>
      <c r="N44" s="180"/>
      <c r="O44" s="180"/>
      <c r="P44" s="180"/>
      <c r="Q44" s="180"/>
      <c r="R44" s="180"/>
      <c r="S44" s="180"/>
      <c r="T44" s="180"/>
      <c r="U44" s="180"/>
      <c r="V44" s="180"/>
      <c r="W44" s="180"/>
      <c r="X44" s="180"/>
    </row>
    <row r="45" spans="1:24" ht="15.75" customHeight="1">
      <c r="A45" s="180"/>
      <c r="B45" s="180"/>
      <c r="C45" s="180"/>
      <c r="D45" s="180"/>
      <c r="E45" s="180"/>
      <c r="F45" s="180"/>
      <c r="G45" s="180"/>
      <c r="H45" s="180"/>
      <c r="I45" s="180"/>
      <c r="J45" s="180"/>
      <c r="K45" s="180"/>
      <c r="L45" s="180"/>
      <c r="M45" s="180"/>
      <c r="N45" s="180"/>
      <c r="O45" s="180"/>
      <c r="P45" s="180"/>
      <c r="Q45" s="180"/>
      <c r="R45" s="180"/>
      <c r="S45" s="180"/>
      <c r="T45" s="180"/>
      <c r="U45" s="180"/>
      <c r="V45" s="180"/>
      <c r="W45" s="180"/>
      <c r="X45" s="180"/>
    </row>
    <row r="46" spans="1:24" ht="15.75" customHeight="1">
      <c r="A46" s="180"/>
      <c r="B46" s="180"/>
      <c r="C46" s="180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</row>
    <row r="47" spans="1:24" ht="15.75" customHeight="1">
      <c r="A47" s="180"/>
      <c r="B47" s="180"/>
      <c r="C47" s="180"/>
      <c r="D47" s="180"/>
      <c r="E47" s="180"/>
      <c r="F47" s="180"/>
      <c r="G47" s="180"/>
      <c r="H47" s="180"/>
      <c r="I47" s="180"/>
      <c r="J47" s="180"/>
      <c r="K47" s="180"/>
      <c r="L47" s="180"/>
      <c r="M47" s="180"/>
      <c r="N47" s="180"/>
      <c r="O47" s="180"/>
      <c r="P47" s="180"/>
      <c r="Q47" s="180"/>
      <c r="R47" s="180"/>
      <c r="S47" s="180"/>
      <c r="T47" s="180"/>
      <c r="U47" s="180"/>
      <c r="V47" s="180"/>
      <c r="W47" s="180"/>
      <c r="X47" s="180"/>
    </row>
    <row r="48" spans="1:24" ht="15.75" customHeight="1">
      <c r="A48" s="180"/>
      <c r="B48" s="180"/>
      <c r="C48" s="180"/>
      <c r="D48" s="180"/>
      <c r="E48" s="180"/>
      <c r="F48" s="180"/>
      <c r="G48" s="180"/>
      <c r="H48" s="180"/>
      <c r="I48" s="180"/>
      <c r="J48" s="180"/>
      <c r="K48" s="180"/>
      <c r="L48" s="180"/>
      <c r="M48" s="180"/>
      <c r="N48" s="180"/>
      <c r="O48" s="180"/>
      <c r="P48" s="180"/>
      <c r="Q48" s="180"/>
      <c r="R48" s="180"/>
      <c r="S48" s="180"/>
      <c r="T48" s="180"/>
      <c r="U48" s="180"/>
      <c r="V48" s="180"/>
      <c r="W48" s="180"/>
      <c r="X48" s="180"/>
    </row>
    <row r="49" spans="1:24" ht="15.75" customHeight="1">
      <c r="A49" s="180"/>
      <c r="B49" s="180"/>
      <c r="C49" s="180"/>
      <c r="D49" s="180"/>
      <c r="E49" s="180"/>
      <c r="F49" s="180"/>
      <c r="G49" s="180"/>
      <c r="H49" s="180"/>
      <c r="I49" s="180"/>
      <c r="J49" s="180"/>
      <c r="K49" s="180"/>
      <c r="L49" s="180"/>
      <c r="M49" s="180"/>
      <c r="N49" s="180"/>
      <c r="O49" s="180"/>
      <c r="P49" s="180"/>
      <c r="Q49" s="180"/>
      <c r="R49" s="180"/>
      <c r="S49" s="180"/>
      <c r="T49" s="180"/>
      <c r="U49" s="180"/>
      <c r="V49" s="180"/>
      <c r="W49" s="180"/>
      <c r="X49" s="180"/>
    </row>
    <row r="50" spans="1:24" ht="15.75" customHeight="1">
      <c r="A50" s="180"/>
      <c r="B50" s="180"/>
      <c r="C50" s="180"/>
      <c r="D50" s="180"/>
      <c r="E50" s="180"/>
      <c r="F50" s="180"/>
      <c r="G50" s="180"/>
      <c r="H50" s="180"/>
      <c r="I50" s="180"/>
      <c r="J50" s="180"/>
      <c r="K50" s="180"/>
      <c r="L50" s="180"/>
      <c r="M50" s="180"/>
      <c r="N50" s="180"/>
      <c r="O50" s="180"/>
      <c r="P50" s="180"/>
      <c r="Q50" s="180"/>
      <c r="R50" s="180"/>
      <c r="S50" s="180"/>
      <c r="T50" s="180"/>
      <c r="U50" s="180"/>
      <c r="V50" s="180"/>
      <c r="W50" s="180"/>
      <c r="X50" s="180"/>
    </row>
    <row r="51" spans="1:24" ht="15.75" customHeight="1">
      <c r="A51" s="180"/>
      <c r="B51" s="180"/>
      <c r="C51" s="180"/>
      <c r="D51" s="180"/>
      <c r="E51" s="180"/>
      <c r="F51" s="180"/>
      <c r="G51" s="180"/>
      <c r="H51" s="180"/>
      <c r="I51" s="180"/>
      <c r="J51" s="180"/>
      <c r="K51" s="180"/>
      <c r="L51" s="180"/>
      <c r="M51" s="180"/>
      <c r="N51" s="180"/>
      <c r="O51" s="180"/>
      <c r="P51" s="180"/>
      <c r="Q51" s="180"/>
      <c r="R51" s="180"/>
      <c r="S51" s="180"/>
      <c r="T51" s="180"/>
      <c r="U51" s="180"/>
      <c r="V51" s="180"/>
      <c r="W51" s="180"/>
      <c r="X51" s="180"/>
    </row>
    <row r="52" spans="1:24" ht="15.75" customHeight="1">
      <c r="A52" s="180"/>
      <c r="B52" s="180"/>
      <c r="C52" s="180"/>
      <c r="D52" s="180"/>
      <c r="E52" s="180"/>
      <c r="F52" s="180"/>
      <c r="G52" s="180"/>
      <c r="H52" s="180"/>
      <c r="I52" s="180"/>
      <c r="J52" s="180"/>
      <c r="K52" s="180"/>
      <c r="L52" s="180"/>
      <c r="M52" s="180"/>
      <c r="N52" s="180"/>
      <c r="O52" s="180"/>
      <c r="P52" s="180"/>
      <c r="Q52" s="180"/>
      <c r="R52" s="180"/>
      <c r="S52" s="180"/>
      <c r="T52" s="180"/>
      <c r="U52" s="180"/>
      <c r="V52" s="180"/>
      <c r="W52" s="180"/>
      <c r="X52" s="180"/>
    </row>
    <row r="53" spans="1:24" ht="15.75" customHeight="1">
      <c r="A53" s="180"/>
      <c r="B53" s="180"/>
      <c r="C53" s="180"/>
      <c r="D53" s="180"/>
      <c r="E53" s="180"/>
      <c r="F53" s="180"/>
      <c r="G53" s="180"/>
      <c r="H53" s="180"/>
      <c r="I53" s="180"/>
      <c r="J53" s="180"/>
      <c r="K53" s="180"/>
      <c r="L53" s="180"/>
      <c r="M53" s="180"/>
      <c r="N53" s="180"/>
      <c r="O53" s="180"/>
      <c r="P53" s="180"/>
      <c r="Q53" s="180"/>
      <c r="R53" s="180"/>
      <c r="S53" s="180"/>
      <c r="T53" s="180"/>
      <c r="U53" s="180"/>
      <c r="V53" s="180"/>
      <c r="W53" s="180"/>
      <c r="X53" s="180"/>
    </row>
    <row r="54" spans="1:24" ht="15.75" customHeight="1">
      <c r="A54" s="180"/>
      <c r="B54" s="180"/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180"/>
      <c r="Q54" s="180"/>
      <c r="R54" s="180"/>
      <c r="S54" s="180"/>
      <c r="T54" s="180"/>
      <c r="U54" s="180"/>
      <c r="V54" s="180"/>
      <c r="W54" s="180"/>
      <c r="X54" s="180"/>
    </row>
    <row r="55" spans="1:24" ht="15.75" customHeight="1">
      <c r="A55" s="180"/>
      <c r="B55" s="180"/>
      <c r="C55" s="180"/>
      <c r="D55" s="180"/>
      <c r="E55" s="180"/>
      <c r="F55" s="180"/>
      <c r="G55" s="180"/>
      <c r="H55" s="180"/>
      <c r="I55" s="180"/>
      <c r="J55" s="180"/>
      <c r="K55" s="180"/>
      <c r="L55" s="180"/>
      <c r="M55" s="180"/>
      <c r="N55" s="180"/>
      <c r="O55" s="180"/>
      <c r="P55" s="180"/>
      <c r="Q55" s="180"/>
      <c r="R55" s="180"/>
      <c r="S55" s="180"/>
      <c r="T55" s="180"/>
      <c r="U55" s="180"/>
      <c r="V55" s="180"/>
      <c r="W55" s="180"/>
      <c r="X55" s="180"/>
    </row>
    <row r="56" spans="1:24" ht="15.75" customHeight="1">
      <c r="A56" s="180"/>
      <c r="B56" s="180"/>
      <c r="C56" s="180"/>
      <c r="D56" s="180"/>
      <c r="E56" s="180"/>
      <c r="F56" s="180"/>
      <c r="G56" s="180"/>
      <c r="H56" s="180"/>
      <c r="I56" s="180"/>
      <c r="J56" s="180"/>
      <c r="K56" s="180"/>
      <c r="L56" s="180"/>
      <c r="M56" s="180"/>
      <c r="N56" s="180"/>
      <c r="O56" s="180"/>
      <c r="P56" s="180"/>
      <c r="Q56" s="180"/>
      <c r="R56" s="180"/>
      <c r="S56" s="180"/>
      <c r="T56" s="180"/>
      <c r="U56" s="180"/>
      <c r="V56" s="180"/>
      <c r="W56" s="180"/>
      <c r="X56" s="180"/>
    </row>
    <row r="57" spans="1:24" ht="15.75" customHeight="1">
      <c r="A57" s="180"/>
      <c r="B57" s="180"/>
      <c r="C57" s="180"/>
      <c r="D57" s="180"/>
      <c r="E57" s="180"/>
      <c r="F57" s="180"/>
      <c r="G57" s="180"/>
      <c r="H57" s="180"/>
      <c r="I57" s="180"/>
      <c r="J57" s="180"/>
      <c r="K57" s="180"/>
      <c r="L57" s="180"/>
      <c r="M57" s="180"/>
      <c r="N57" s="180"/>
      <c r="O57" s="180"/>
      <c r="P57" s="180"/>
      <c r="Q57" s="180"/>
      <c r="R57" s="180"/>
      <c r="S57" s="180"/>
      <c r="T57" s="180"/>
      <c r="U57" s="180"/>
      <c r="V57" s="180"/>
      <c r="W57" s="180"/>
      <c r="X57" s="180"/>
    </row>
    <row r="58" spans="1:24" ht="15.75" customHeight="1">
      <c r="A58" s="180"/>
      <c r="B58" s="180"/>
      <c r="C58" s="180"/>
      <c r="D58" s="180"/>
      <c r="E58" s="180"/>
      <c r="F58" s="180"/>
      <c r="G58" s="180"/>
      <c r="H58" s="180"/>
      <c r="I58" s="180"/>
      <c r="J58" s="180"/>
      <c r="K58" s="180"/>
      <c r="L58" s="180"/>
      <c r="M58" s="180"/>
      <c r="N58" s="180"/>
      <c r="O58" s="180"/>
      <c r="P58" s="180"/>
      <c r="Q58" s="180"/>
      <c r="R58" s="180"/>
      <c r="S58" s="180"/>
      <c r="T58" s="180"/>
      <c r="U58" s="180"/>
      <c r="V58" s="180"/>
      <c r="W58" s="180"/>
      <c r="X58" s="180"/>
    </row>
    <row r="59" spans="1:24" ht="15.75" customHeight="1">
      <c r="A59" s="180"/>
      <c r="B59" s="180"/>
      <c r="C59" s="180"/>
      <c r="D59" s="180"/>
      <c r="E59" s="180"/>
      <c r="F59" s="180"/>
      <c r="G59" s="180"/>
      <c r="H59" s="180"/>
      <c r="I59" s="180"/>
      <c r="J59" s="180"/>
      <c r="K59" s="180"/>
      <c r="L59" s="180"/>
      <c r="M59" s="180"/>
      <c r="N59" s="180"/>
      <c r="O59" s="180"/>
      <c r="P59" s="180"/>
      <c r="Q59" s="180"/>
      <c r="R59" s="180"/>
      <c r="S59" s="180"/>
      <c r="T59" s="180"/>
      <c r="U59" s="180"/>
      <c r="V59" s="180"/>
      <c r="W59" s="180"/>
      <c r="X59" s="180"/>
    </row>
    <row r="60" spans="1:24" ht="15.75" customHeight="1">
      <c r="A60" s="180"/>
      <c r="B60" s="180"/>
      <c r="C60" s="180"/>
      <c r="D60" s="180"/>
      <c r="E60" s="180"/>
      <c r="F60" s="180"/>
      <c r="G60" s="180"/>
      <c r="H60" s="180"/>
      <c r="I60" s="180"/>
      <c r="J60" s="180"/>
      <c r="K60" s="180"/>
      <c r="L60" s="180"/>
      <c r="M60" s="180"/>
      <c r="N60" s="180"/>
      <c r="O60" s="180"/>
      <c r="P60" s="180"/>
      <c r="Q60" s="180"/>
      <c r="R60" s="180"/>
      <c r="S60" s="180"/>
      <c r="T60" s="180"/>
      <c r="U60" s="180"/>
      <c r="V60" s="180"/>
      <c r="W60" s="180"/>
      <c r="X60" s="180"/>
    </row>
    <row r="61" spans="1:24" ht="15.75" customHeight="1">
      <c r="A61" s="180"/>
      <c r="B61" s="180"/>
      <c r="C61" s="180"/>
      <c r="D61" s="180"/>
      <c r="E61" s="180"/>
      <c r="F61" s="180"/>
      <c r="G61" s="180"/>
      <c r="H61" s="180"/>
      <c r="I61" s="180"/>
      <c r="J61" s="180"/>
      <c r="K61" s="180"/>
      <c r="L61" s="180"/>
      <c r="M61" s="180"/>
      <c r="N61" s="180"/>
      <c r="O61" s="180"/>
      <c r="P61" s="180"/>
      <c r="Q61" s="180"/>
      <c r="R61" s="180"/>
      <c r="S61" s="180"/>
      <c r="T61" s="180"/>
      <c r="U61" s="180"/>
      <c r="V61" s="180"/>
      <c r="W61" s="180"/>
      <c r="X61" s="180"/>
    </row>
    <row r="62" spans="1:24" ht="15.75" customHeight="1">
      <c r="A62" s="180"/>
      <c r="B62" s="180"/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80"/>
      <c r="P62" s="180"/>
      <c r="Q62" s="180"/>
      <c r="R62" s="180"/>
      <c r="S62" s="180"/>
      <c r="T62" s="180"/>
      <c r="U62" s="180"/>
      <c r="V62" s="180"/>
      <c r="W62" s="180"/>
      <c r="X62" s="180"/>
    </row>
    <row r="63" spans="1:24" ht="15.75" customHeight="1">
      <c r="A63" s="180"/>
      <c r="B63" s="180"/>
      <c r="C63" s="180"/>
      <c r="D63" s="180"/>
      <c r="E63" s="180"/>
      <c r="F63" s="180"/>
      <c r="G63" s="180"/>
      <c r="H63" s="180"/>
      <c r="I63" s="180"/>
      <c r="J63" s="180"/>
      <c r="K63" s="180"/>
      <c r="L63" s="180"/>
      <c r="M63" s="180"/>
      <c r="N63" s="180"/>
      <c r="O63" s="180"/>
      <c r="P63" s="180"/>
      <c r="Q63" s="180"/>
      <c r="R63" s="180"/>
      <c r="S63" s="180"/>
      <c r="T63" s="180"/>
      <c r="U63" s="180"/>
      <c r="V63" s="180"/>
      <c r="W63" s="180"/>
      <c r="X63" s="180"/>
    </row>
    <row r="64" spans="1:24" ht="15.75" customHeight="1">
      <c r="A64" s="180"/>
      <c r="B64" s="180"/>
      <c r="C64" s="180"/>
      <c r="D64" s="180"/>
      <c r="E64" s="180"/>
      <c r="F64" s="180"/>
      <c r="G64" s="180"/>
      <c r="H64" s="180"/>
      <c r="I64" s="180"/>
      <c r="J64" s="180"/>
      <c r="K64" s="180"/>
      <c r="L64" s="180"/>
      <c r="M64" s="180"/>
      <c r="N64" s="180"/>
      <c r="O64" s="180"/>
      <c r="P64" s="180"/>
      <c r="Q64" s="180"/>
      <c r="R64" s="180"/>
      <c r="S64" s="180"/>
      <c r="T64" s="180"/>
      <c r="U64" s="180"/>
      <c r="V64" s="180"/>
      <c r="W64" s="180"/>
      <c r="X64" s="180"/>
    </row>
    <row r="65" spans="1:24" ht="15.75" customHeight="1">
      <c r="A65" s="180"/>
      <c r="B65" s="180"/>
      <c r="C65" s="180"/>
      <c r="D65" s="180"/>
      <c r="E65" s="180"/>
      <c r="F65" s="180"/>
      <c r="G65" s="180"/>
      <c r="H65" s="180"/>
      <c r="I65" s="180"/>
      <c r="J65" s="180"/>
      <c r="K65" s="180"/>
      <c r="L65" s="180"/>
      <c r="M65" s="180"/>
      <c r="N65" s="180"/>
      <c r="O65" s="180"/>
      <c r="P65" s="180"/>
      <c r="Q65" s="180"/>
      <c r="R65" s="180"/>
      <c r="S65" s="180"/>
      <c r="T65" s="180"/>
      <c r="U65" s="180"/>
      <c r="V65" s="180"/>
      <c r="W65" s="180"/>
      <c r="X65" s="180"/>
    </row>
    <row r="66" spans="1:24" ht="15.75" customHeight="1">
      <c r="A66" s="180"/>
      <c r="B66" s="180"/>
      <c r="C66" s="180"/>
      <c r="D66" s="180"/>
      <c r="E66" s="180"/>
      <c r="F66" s="180"/>
      <c r="G66" s="180"/>
      <c r="H66" s="180"/>
      <c r="I66" s="180"/>
      <c r="J66" s="180"/>
      <c r="K66" s="180"/>
      <c r="L66" s="180"/>
      <c r="M66" s="180"/>
      <c r="N66" s="180"/>
      <c r="O66" s="180"/>
      <c r="P66" s="180"/>
      <c r="Q66" s="180"/>
      <c r="R66" s="180"/>
      <c r="S66" s="180"/>
      <c r="T66" s="180"/>
      <c r="U66" s="180"/>
      <c r="V66" s="180"/>
      <c r="W66" s="180"/>
      <c r="X66" s="180"/>
    </row>
    <row r="67" spans="1:24" ht="15.75" customHeight="1">
      <c r="A67" s="180"/>
      <c r="B67" s="180"/>
      <c r="C67" s="180"/>
      <c r="D67" s="180"/>
      <c r="E67" s="180"/>
      <c r="F67" s="180"/>
      <c r="G67" s="180"/>
      <c r="H67" s="180"/>
      <c r="I67" s="180"/>
      <c r="J67" s="180"/>
      <c r="K67" s="180"/>
      <c r="L67" s="180"/>
      <c r="M67" s="180"/>
      <c r="N67" s="180"/>
      <c r="O67" s="180"/>
      <c r="P67" s="180"/>
      <c r="Q67" s="180"/>
      <c r="R67" s="180"/>
      <c r="S67" s="180"/>
      <c r="T67" s="180"/>
      <c r="U67" s="180"/>
      <c r="V67" s="180"/>
      <c r="W67" s="180"/>
      <c r="X67" s="180"/>
    </row>
    <row r="68" spans="1:24" ht="15.75" customHeight="1">
      <c r="A68" s="180"/>
      <c r="B68" s="180"/>
      <c r="C68" s="180"/>
      <c r="D68" s="180"/>
      <c r="E68" s="180"/>
      <c r="F68" s="180"/>
      <c r="G68" s="180"/>
      <c r="H68" s="180"/>
      <c r="I68" s="180"/>
      <c r="J68" s="180"/>
      <c r="K68" s="180"/>
      <c r="L68" s="180"/>
      <c r="M68" s="180"/>
      <c r="N68" s="180"/>
      <c r="O68" s="180"/>
      <c r="P68" s="180"/>
      <c r="Q68" s="180"/>
      <c r="R68" s="180"/>
      <c r="S68" s="180"/>
      <c r="T68" s="180"/>
      <c r="U68" s="180"/>
      <c r="V68" s="180"/>
      <c r="W68" s="180"/>
      <c r="X68" s="180"/>
    </row>
    <row r="69" spans="1:24" ht="15.75" customHeight="1">
      <c r="A69" s="180"/>
      <c r="B69" s="180"/>
      <c r="C69" s="180"/>
      <c r="D69" s="180"/>
      <c r="E69" s="180"/>
      <c r="F69" s="180"/>
      <c r="G69" s="180"/>
      <c r="H69" s="180"/>
      <c r="I69" s="180"/>
      <c r="J69" s="180"/>
      <c r="K69" s="180"/>
      <c r="L69" s="180"/>
      <c r="M69" s="180"/>
      <c r="N69" s="180"/>
      <c r="O69" s="180"/>
      <c r="P69" s="180"/>
      <c r="Q69" s="180"/>
      <c r="R69" s="180"/>
      <c r="S69" s="180"/>
      <c r="T69" s="180"/>
      <c r="U69" s="180"/>
      <c r="V69" s="180"/>
      <c r="W69" s="180"/>
      <c r="X69" s="180"/>
    </row>
    <row r="70" spans="1:24" ht="15.75" customHeight="1">
      <c r="A70" s="180"/>
      <c r="B70" s="180"/>
      <c r="C70" s="180"/>
      <c r="D70" s="180"/>
      <c r="E70" s="180"/>
      <c r="F70" s="180"/>
      <c r="G70" s="180"/>
      <c r="H70" s="180"/>
      <c r="I70" s="180"/>
      <c r="J70" s="180"/>
      <c r="K70" s="180"/>
      <c r="L70" s="180"/>
      <c r="M70" s="180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180"/>
    </row>
    <row r="71" spans="1:24" ht="15.75" customHeight="1">
      <c r="A71" s="180"/>
      <c r="B71" s="180"/>
      <c r="C71" s="180"/>
      <c r="D71" s="180"/>
      <c r="E71" s="180"/>
      <c r="F71" s="180"/>
      <c r="G71" s="180"/>
      <c r="H71" s="180"/>
      <c r="I71" s="180"/>
      <c r="J71" s="180"/>
      <c r="K71" s="180"/>
      <c r="L71" s="180"/>
      <c r="M71" s="180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180"/>
    </row>
    <row r="72" spans="1:24" ht="15.75" customHeight="1">
      <c r="A72" s="180"/>
      <c r="B72" s="180"/>
      <c r="C72" s="180"/>
      <c r="D72" s="180"/>
      <c r="E72" s="180"/>
      <c r="F72" s="180"/>
      <c r="G72" s="180"/>
      <c r="H72" s="180"/>
      <c r="I72" s="180"/>
      <c r="J72" s="180"/>
      <c r="K72" s="180"/>
      <c r="L72" s="180"/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180"/>
    </row>
    <row r="73" spans="1:24" ht="15.75" customHeight="1">
      <c r="A73" s="180"/>
      <c r="B73" s="180"/>
      <c r="C73" s="180"/>
      <c r="D73" s="180"/>
      <c r="E73" s="180"/>
      <c r="F73" s="180"/>
      <c r="G73" s="180"/>
      <c r="H73" s="180"/>
      <c r="I73" s="180"/>
      <c r="J73" s="180"/>
      <c r="K73" s="180"/>
      <c r="L73" s="180"/>
      <c r="M73" s="180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180"/>
    </row>
    <row r="74" spans="1:24" ht="15.75" customHeight="1">
      <c r="A74" s="180"/>
      <c r="B74" s="180"/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180"/>
    </row>
    <row r="75" spans="1:24" ht="15.75" customHeight="1">
      <c r="A75" s="180"/>
      <c r="B75" s="180"/>
      <c r="C75" s="180"/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180"/>
    </row>
    <row r="76" spans="1:24" ht="15.75" customHeight="1">
      <c r="A76" s="180"/>
      <c r="B76" s="180"/>
      <c r="C76" s="180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180"/>
    </row>
    <row r="77" spans="1:24" ht="15.75" customHeight="1">
      <c r="A77" s="180"/>
      <c r="B77" s="180"/>
      <c r="C77" s="180"/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180"/>
    </row>
    <row r="78" spans="1:24" ht="15.75" customHeight="1">
      <c r="A78" s="180"/>
      <c r="B78" s="180"/>
      <c r="C78" s="180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180"/>
    </row>
    <row r="79" spans="1:24" ht="15.75" customHeight="1">
      <c r="A79" s="180"/>
      <c r="B79" s="180"/>
      <c r="C79" s="180"/>
      <c r="D79" s="180"/>
      <c r="E79" s="180"/>
      <c r="F79" s="180"/>
      <c r="G79" s="180"/>
      <c r="H79" s="180"/>
      <c r="I79" s="180"/>
      <c r="J79" s="180"/>
      <c r="K79" s="180"/>
      <c r="L79" s="180"/>
      <c r="M79" s="180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180"/>
    </row>
    <row r="80" spans="1:24" ht="15.75" customHeight="1">
      <c r="A80" s="180"/>
      <c r="B80" s="180"/>
      <c r="C80" s="180"/>
      <c r="D80" s="180"/>
      <c r="E80" s="180"/>
      <c r="F80" s="180"/>
      <c r="G80" s="180"/>
      <c r="H80" s="180"/>
      <c r="I80" s="180"/>
      <c r="J80" s="180"/>
      <c r="K80" s="180"/>
      <c r="L80" s="180"/>
      <c r="M80" s="180"/>
      <c r="N80" s="180"/>
      <c r="O80" s="180"/>
      <c r="P80" s="180"/>
      <c r="Q80" s="180"/>
      <c r="R80" s="180"/>
      <c r="S80" s="180"/>
      <c r="T80" s="180"/>
      <c r="U80" s="180"/>
      <c r="V80" s="180"/>
      <c r="W80" s="180"/>
      <c r="X80" s="180"/>
    </row>
    <row r="81" spans="1:24" ht="15.75" customHeight="1">
      <c r="A81" s="180"/>
      <c r="B81" s="180"/>
      <c r="C81" s="180"/>
      <c r="D81" s="180"/>
      <c r="E81" s="180"/>
      <c r="F81" s="180"/>
      <c r="G81" s="180"/>
      <c r="H81" s="180"/>
      <c r="I81" s="180"/>
      <c r="J81" s="180"/>
      <c r="K81" s="180"/>
      <c r="L81" s="180"/>
      <c r="M81" s="180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180"/>
    </row>
    <row r="82" spans="1:24" ht="15.75" customHeight="1">
      <c r="A82" s="180"/>
      <c r="B82" s="180"/>
      <c r="C82" s="180"/>
      <c r="D82" s="180"/>
      <c r="E82" s="180"/>
      <c r="F82" s="180"/>
      <c r="G82" s="180"/>
      <c r="H82" s="180"/>
      <c r="I82" s="180"/>
      <c r="J82" s="180"/>
      <c r="K82" s="180"/>
      <c r="L82" s="180"/>
      <c r="M82" s="180"/>
      <c r="N82" s="180"/>
      <c r="O82" s="180"/>
      <c r="P82" s="180"/>
      <c r="Q82" s="180"/>
      <c r="R82" s="180"/>
      <c r="S82" s="180"/>
      <c r="T82" s="180"/>
      <c r="U82" s="180"/>
      <c r="V82" s="180"/>
      <c r="W82" s="180"/>
      <c r="X82" s="180"/>
    </row>
    <row r="83" spans="1:24" ht="15.75" customHeight="1">
      <c r="A83" s="180"/>
      <c r="B83" s="180"/>
      <c r="C83" s="180"/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180"/>
    </row>
    <row r="84" spans="1:24" ht="15.75" customHeight="1">
      <c r="A84" s="180"/>
      <c r="B84" s="180"/>
      <c r="C84" s="180"/>
      <c r="D84" s="180"/>
      <c r="E84" s="180"/>
      <c r="F84" s="180"/>
      <c r="G84" s="180"/>
      <c r="H84" s="180"/>
      <c r="I84" s="180"/>
      <c r="J84" s="180"/>
      <c r="K84" s="180"/>
      <c r="L84" s="180"/>
      <c r="M84" s="180"/>
      <c r="N84" s="180"/>
      <c r="O84" s="180"/>
      <c r="P84" s="180"/>
      <c r="Q84" s="180"/>
      <c r="R84" s="180"/>
      <c r="S84" s="180"/>
      <c r="T84" s="180"/>
      <c r="U84" s="180"/>
      <c r="V84" s="180"/>
      <c r="W84" s="180"/>
      <c r="X84" s="180"/>
    </row>
    <row r="85" spans="1:24" ht="15.75" customHeight="1">
      <c r="A85" s="180"/>
      <c r="B85" s="180"/>
      <c r="C85" s="180"/>
      <c r="D85" s="180"/>
      <c r="E85" s="180"/>
      <c r="F85" s="180"/>
      <c r="G85" s="180"/>
      <c r="H85" s="180"/>
      <c r="I85" s="180"/>
      <c r="J85" s="180"/>
      <c r="K85" s="180"/>
      <c r="L85" s="180"/>
      <c r="M85" s="180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180"/>
    </row>
    <row r="86" spans="1:24" ht="15.75" customHeight="1">
      <c r="A86" s="180"/>
      <c r="B86" s="180"/>
      <c r="C86" s="180"/>
      <c r="D86" s="180"/>
      <c r="E86" s="180"/>
      <c r="F86" s="180"/>
      <c r="G86" s="180"/>
      <c r="H86" s="180"/>
      <c r="I86" s="180"/>
      <c r="J86" s="180"/>
      <c r="K86" s="180"/>
      <c r="L86" s="180"/>
      <c r="M86" s="180"/>
      <c r="N86" s="180"/>
      <c r="O86" s="180"/>
      <c r="P86" s="180"/>
      <c r="Q86" s="180"/>
      <c r="R86" s="180"/>
      <c r="S86" s="180"/>
      <c r="T86" s="180"/>
      <c r="U86" s="180"/>
      <c r="V86" s="180"/>
      <c r="W86" s="180"/>
      <c r="X86" s="180"/>
    </row>
    <row r="87" spans="1:24" ht="15.75" customHeight="1">
      <c r="A87" s="180"/>
      <c r="B87" s="180"/>
      <c r="C87" s="180"/>
      <c r="D87" s="180"/>
      <c r="E87" s="180"/>
      <c r="F87" s="180"/>
      <c r="G87" s="180"/>
      <c r="H87" s="180"/>
      <c r="I87" s="180"/>
      <c r="J87" s="180"/>
      <c r="K87" s="180"/>
      <c r="L87" s="180"/>
      <c r="M87" s="180"/>
      <c r="N87" s="180"/>
      <c r="O87" s="180"/>
      <c r="P87" s="180"/>
      <c r="Q87" s="180"/>
      <c r="R87" s="180"/>
      <c r="S87" s="180"/>
      <c r="T87" s="180"/>
      <c r="U87" s="180"/>
      <c r="V87" s="180"/>
      <c r="W87" s="180"/>
      <c r="X87" s="180"/>
    </row>
    <row r="88" spans="1:24" ht="15.75" customHeight="1">
      <c r="A88" s="180"/>
      <c r="B88" s="180"/>
      <c r="C88" s="180"/>
      <c r="D88" s="180"/>
      <c r="E88" s="180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 s="180"/>
      <c r="Q88" s="180"/>
      <c r="R88" s="180"/>
      <c r="S88" s="180"/>
      <c r="T88" s="180"/>
      <c r="U88" s="180"/>
      <c r="V88" s="180"/>
      <c r="W88" s="180"/>
      <c r="X88" s="180"/>
    </row>
    <row r="89" spans="1:24" ht="15.75" customHeight="1">
      <c r="A89" s="180"/>
      <c r="B89" s="180"/>
      <c r="C89" s="180"/>
      <c r="D89" s="180"/>
      <c r="E89" s="180"/>
      <c r="F89" s="180"/>
      <c r="G89" s="180"/>
      <c r="H89" s="180"/>
      <c r="I89" s="180"/>
      <c r="J89" s="180"/>
      <c r="K89" s="180"/>
      <c r="L89" s="180"/>
      <c r="M89" s="180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180"/>
    </row>
    <row r="90" spans="1:24" ht="15.75" customHeight="1">
      <c r="A90" s="180"/>
      <c r="B90" s="180"/>
      <c r="C90" s="180"/>
      <c r="D90" s="180"/>
      <c r="E90" s="180"/>
      <c r="F90" s="180"/>
      <c r="G90" s="180"/>
      <c r="H90" s="180"/>
      <c r="I90" s="180"/>
      <c r="J90" s="180"/>
      <c r="K90" s="180"/>
      <c r="L90" s="180"/>
      <c r="M90" s="180"/>
      <c r="N90" s="180"/>
      <c r="O90" s="180"/>
      <c r="P90" s="180"/>
      <c r="Q90" s="180"/>
      <c r="R90" s="180"/>
      <c r="S90" s="180"/>
      <c r="T90" s="180"/>
      <c r="U90" s="180"/>
      <c r="V90" s="180"/>
      <c r="W90" s="180"/>
      <c r="X90" s="180"/>
    </row>
    <row r="91" spans="1:24" ht="15.75" customHeight="1">
      <c r="A91" s="180"/>
      <c r="B91" s="180"/>
      <c r="C91" s="180"/>
      <c r="D91" s="180"/>
      <c r="E91" s="180"/>
      <c r="F91" s="180"/>
      <c r="G91" s="180"/>
      <c r="H91" s="180"/>
      <c r="I91" s="180"/>
      <c r="J91" s="180"/>
      <c r="K91" s="180"/>
      <c r="L91" s="180"/>
      <c r="M91" s="180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180"/>
    </row>
    <row r="92" spans="1:24" ht="15.75" customHeight="1">
      <c r="A92" s="180"/>
      <c r="B92" s="180"/>
      <c r="C92" s="180"/>
      <c r="D92" s="180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180"/>
    </row>
    <row r="93" spans="1:24" ht="15.75" customHeight="1">
      <c r="A93" s="180"/>
      <c r="B93" s="180"/>
      <c r="C93" s="180"/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180"/>
    </row>
    <row r="94" spans="1:24" ht="15.75" customHeight="1">
      <c r="A94" s="180"/>
      <c r="B94" s="180"/>
      <c r="C94" s="180"/>
      <c r="D94" s="180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180"/>
    </row>
    <row r="95" spans="1:24" ht="15.75" customHeight="1">
      <c r="A95" s="180"/>
      <c r="B95" s="180"/>
      <c r="C95" s="180"/>
      <c r="D95" s="180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180"/>
    </row>
    <row r="96" spans="1:24" ht="15.75" customHeight="1">
      <c r="A96" s="180"/>
      <c r="B96" s="180"/>
      <c r="C96" s="180"/>
      <c r="D96" s="180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180"/>
    </row>
    <row r="97" spans="1:24" ht="15.75" customHeight="1">
      <c r="A97" s="180"/>
      <c r="B97" s="180"/>
      <c r="C97" s="180"/>
      <c r="D97" s="180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180"/>
    </row>
    <row r="98" spans="1:24" ht="15.75" customHeight="1">
      <c r="A98" s="180"/>
      <c r="B98" s="180"/>
      <c r="C98" s="180"/>
      <c r="D98" s="180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180"/>
    </row>
    <row r="99" spans="1:24" ht="15.75" customHeight="1">
      <c r="A99" s="180"/>
      <c r="B99" s="180"/>
      <c r="C99" s="180"/>
      <c r="D99" s="180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180"/>
    </row>
    <row r="100" spans="1:24" ht="15.75" customHeight="1">
      <c r="A100" s="180"/>
      <c r="B100" s="180"/>
      <c r="C100" s="180"/>
      <c r="D100" s="180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</row>
    <row r="101" spans="1:24" ht="15.75" customHeight="1">
      <c r="A101" s="180"/>
      <c r="B101" s="180"/>
      <c r="C101" s="180"/>
      <c r="D101" s="180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</row>
    <row r="102" spans="1:24" ht="15.75" customHeight="1">
      <c r="A102" s="180"/>
      <c r="B102" s="180"/>
      <c r="C102" s="180"/>
      <c r="D102" s="180"/>
      <c r="E102" s="180"/>
      <c r="F102" s="180"/>
      <c r="G102" s="180"/>
      <c r="H102" s="180"/>
      <c r="I102" s="180"/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180"/>
    </row>
    <row r="103" spans="1:24" ht="15.75" customHeight="1">
      <c r="A103" s="180"/>
      <c r="B103" s="180"/>
      <c r="C103" s="180"/>
      <c r="D103" s="180"/>
      <c r="E103" s="180"/>
      <c r="F103" s="180"/>
      <c r="G103" s="180"/>
      <c r="H103" s="180"/>
      <c r="I103" s="180"/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180"/>
    </row>
    <row r="104" spans="1:24" ht="15.75" customHeight="1">
      <c r="A104" s="180"/>
      <c r="B104" s="180"/>
      <c r="C104" s="180"/>
      <c r="D104" s="180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180"/>
    </row>
    <row r="105" spans="1:24" ht="15.75" customHeight="1">
      <c r="A105" s="180"/>
      <c r="B105" s="180"/>
      <c r="C105" s="180"/>
      <c r="D105" s="180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180"/>
    </row>
    <row r="106" spans="1:24" ht="15.75" customHeight="1">
      <c r="A106" s="180"/>
      <c r="B106" s="180"/>
      <c r="C106" s="180"/>
      <c r="D106" s="180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180"/>
    </row>
    <row r="107" spans="1:24" ht="15.75" customHeight="1">
      <c r="A107" s="180"/>
      <c r="B107" s="180"/>
      <c r="C107" s="180"/>
      <c r="D107" s="180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180"/>
    </row>
    <row r="108" spans="1:24" ht="15.75" customHeight="1">
      <c r="A108" s="180"/>
      <c r="B108" s="180"/>
      <c r="C108" s="180"/>
      <c r="D108" s="180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</row>
    <row r="109" spans="1:24" ht="15.75" customHeight="1">
      <c r="A109" s="180"/>
      <c r="B109" s="180"/>
      <c r="C109" s="180"/>
      <c r="D109" s="180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</row>
    <row r="110" spans="1:24" ht="15.75" customHeight="1">
      <c r="A110" s="180"/>
      <c r="B110" s="180"/>
      <c r="C110" s="180"/>
      <c r="D110" s="180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</row>
    <row r="111" spans="1:24" ht="15.75" customHeight="1">
      <c r="A111" s="180"/>
      <c r="B111" s="180"/>
      <c r="C111" s="180"/>
      <c r="D111" s="180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</row>
    <row r="112" spans="1:24" ht="15.75" customHeight="1">
      <c r="A112" s="180"/>
      <c r="B112" s="180"/>
      <c r="C112" s="180"/>
      <c r="D112" s="180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</row>
    <row r="113" spans="1:24" ht="15.75" customHeight="1">
      <c r="A113" s="180"/>
      <c r="B113" s="180"/>
      <c r="C113" s="180"/>
      <c r="D113" s="180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180"/>
    </row>
    <row r="114" spans="1:24" ht="15.75" customHeight="1">
      <c r="A114" s="180"/>
      <c r="B114" s="180"/>
      <c r="C114" s="180"/>
      <c r="D114" s="180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180"/>
    </row>
    <row r="115" spans="1:24" ht="15.75" customHeight="1">
      <c r="A115" s="180"/>
      <c r="B115" s="180"/>
      <c r="C115" s="180"/>
      <c r="D115" s="180"/>
      <c r="E115" s="180"/>
      <c r="F115" s="180"/>
      <c r="G115" s="180"/>
      <c r="H115" s="180"/>
      <c r="I115" s="180"/>
      <c r="J115" s="180"/>
      <c r="K115" s="180"/>
      <c r="L115" s="180"/>
      <c r="M115" s="180"/>
      <c r="N115" s="180"/>
      <c r="O115" s="180"/>
      <c r="P115" s="180"/>
      <c r="Q115" s="180"/>
      <c r="R115" s="180"/>
      <c r="S115" s="180"/>
      <c r="T115" s="180"/>
      <c r="U115" s="180"/>
      <c r="V115" s="180"/>
      <c r="W115" s="180"/>
      <c r="X115" s="180"/>
    </row>
    <row r="116" spans="1:24" ht="15.75" customHeight="1">
      <c r="A116" s="180"/>
      <c r="B116" s="180"/>
      <c r="C116" s="180"/>
      <c r="D116" s="180"/>
      <c r="E116" s="180"/>
      <c r="F116" s="180"/>
      <c r="G116" s="180"/>
      <c r="H116" s="180"/>
      <c r="I116" s="180"/>
      <c r="J116" s="180"/>
      <c r="K116" s="180"/>
      <c r="L116" s="180"/>
      <c r="M116" s="180"/>
      <c r="N116" s="180"/>
      <c r="O116" s="180"/>
      <c r="P116" s="180"/>
      <c r="Q116" s="180"/>
      <c r="R116" s="180"/>
      <c r="S116" s="180"/>
      <c r="T116" s="180"/>
      <c r="U116" s="180"/>
      <c r="V116" s="180"/>
      <c r="W116" s="180"/>
      <c r="X116" s="180"/>
    </row>
    <row r="117" spans="1:24" ht="15.75" customHeight="1">
      <c r="A117" s="180"/>
      <c r="B117" s="180"/>
      <c r="C117" s="180"/>
      <c r="D117" s="180"/>
      <c r="E117" s="180"/>
      <c r="F117" s="180"/>
      <c r="G117" s="180"/>
      <c r="H117" s="180"/>
      <c r="I117" s="180"/>
      <c r="J117" s="180"/>
      <c r="K117" s="180"/>
      <c r="L117" s="180"/>
      <c r="M117" s="180"/>
      <c r="N117" s="180"/>
      <c r="O117" s="180"/>
      <c r="P117" s="180"/>
      <c r="Q117" s="180"/>
      <c r="R117" s="180"/>
      <c r="S117" s="180"/>
      <c r="T117" s="180"/>
      <c r="U117" s="180"/>
      <c r="V117" s="180"/>
      <c r="W117" s="180"/>
      <c r="X117" s="180"/>
    </row>
    <row r="118" spans="1:24" ht="15.75" customHeight="1">
      <c r="A118" s="180"/>
      <c r="B118" s="180"/>
      <c r="C118" s="180"/>
      <c r="D118" s="180"/>
      <c r="E118" s="180"/>
      <c r="F118" s="180"/>
      <c r="G118" s="180"/>
      <c r="H118" s="180"/>
      <c r="I118" s="180"/>
      <c r="J118" s="180"/>
      <c r="K118" s="180"/>
      <c r="L118" s="180"/>
      <c r="M118" s="180"/>
      <c r="N118" s="180"/>
      <c r="O118" s="180"/>
      <c r="P118" s="180"/>
      <c r="Q118" s="180"/>
      <c r="R118" s="180"/>
      <c r="S118" s="180"/>
      <c r="T118" s="180"/>
      <c r="U118" s="180"/>
      <c r="V118" s="180"/>
      <c r="W118" s="180"/>
      <c r="X118" s="180"/>
    </row>
    <row r="119" spans="1:24" ht="15.75" customHeight="1">
      <c r="A119" s="180"/>
      <c r="B119" s="180"/>
      <c r="C119" s="180"/>
      <c r="D119" s="180"/>
      <c r="E119" s="180"/>
      <c r="F119" s="180"/>
      <c r="G119" s="180"/>
      <c r="H119" s="180"/>
      <c r="I119" s="180"/>
      <c r="J119" s="180"/>
      <c r="K119" s="180"/>
      <c r="L119" s="180"/>
      <c r="M119" s="180"/>
      <c r="N119" s="180"/>
      <c r="O119" s="180"/>
      <c r="P119" s="180"/>
      <c r="Q119" s="180"/>
      <c r="R119" s="180"/>
      <c r="S119" s="180"/>
      <c r="T119" s="180"/>
      <c r="U119" s="180"/>
      <c r="V119" s="180"/>
      <c r="W119" s="180"/>
      <c r="X119" s="180"/>
    </row>
    <row r="120" spans="1:24" ht="15.75" customHeight="1">
      <c r="A120" s="180"/>
      <c r="B120" s="180"/>
      <c r="C120" s="180"/>
      <c r="D120" s="180"/>
      <c r="E120" s="180"/>
      <c r="F120" s="180"/>
      <c r="G120" s="180"/>
      <c r="H120" s="180"/>
      <c r="I120" s="180"/>
      <c r="J120" s="180"/>
      <c r="K120" s="180"/>
      <c r="L120" s="180"/>
      <c r="M120" s="180"/>
      <c r="N120" s="180"/>
      <c r="O120" s="180"/>
      <c r="P120" s="180"/>
      <c r="Q120" s="180"/>
      <c r="R120" s="180"/>
      <c r="S120" s="180"/>
      <c r="T120" s="180"/>
      <c r="U120" s="180"/>
      <c r="V120" s="180"/>
      <c r="W120" s="180"/>
      <c r="X120" s="180"/>
    </row>
    <row r="121" spans="1:24" ht="15.75" customHeight="1">
      <c r="A121" s="180"/>
      <c r="B121" s="180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  <c r="M121" s="180"/>
      <c r="N121" s="180"/>
      <c r="O121" s="180"/>
      <c r="P121" s="180"/>
      <c r="Q121" s="180"/>
      <c r="R121" s="180"/>
      <c r="S121" s="180"/>
      <c r="T121" s="180"/>
      <c r="U121" s="180"/>
      <c r="V121" s="180"/>
      <c r="W121" s="180"/>
      <c r="X121" s="180"/>
    </row>
    <row r="122" spans="1:24" ht="15.75" customHeight="1">
      <c r="A122" s="180"/>
      <c r="B122" s="180"/>
      <c r="C122" s="180"/>
      <c r="D122" s="180"/>
      <c r="E122" s="180"/>
      <c r="F122" s="180"/>
      <c r="G122" s="180"/>
      <c r="H122" s="180"/>
      <c r="I122" s="180"/>
      <c r="J122" s="180"/>
      <c r="K122" s="180"/>
      <c r="L122" s="180"/>
      <c r="M122" s="180"/>
      <c r="N122" s="180"/>
      <c r="O122" s="180"/>
      <c r="P122" s="180"/>
      <c r="Q122" s="180"/>
      <c r="R122" s="180"/>
      <c r="S122" s="180"/>
      <c r="T122" s="180"/>
      <c r="U122" s="180"/>
      <c r="V122" s="180"/>
      <c r="W122" s="180"/>
      <c r="X122" s="180"/>
    </row>
    <row r="123" spans="1:24" ht="15.75" customHeight="1">
      <c r="A123" s="180"/>
      <c r="B123" s="180"/>
      <c r="C123" s="180"/>
      <c r="D123" s="180"/>
      <c r="E123" s="180"/>
      <c r="F123" s="180"/>
      <c r="G123" s="180"/>
      <c r="H123" s="180"/>
      <c r="I123" s="180"/>
      <c r="J123" s="180"/>
      <c r="K123" s="180"/>
      <c r="L123" s="180"/>
      <c r="M123" s="180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180"/>
    </row>
    <row r="124" spans="1:24" ht="15.75" customHeight="1">
      <c r="A124" s="180"/>
      <c r="B124" s="180"/>
      <c r="C124" s="180"/>
      <c r="D124" s="180"/>
      <c r="E124" s="180"/>
      <c r="F124" s="180"/>
      <c r="G124" s="180"/>
      <c r="H124" s="180"/>
      <c r="I124" s="180"/>
      <c r="J124" s="180"/>
      <c r="K124" s="180"/>
      <c r="L124" s="180"/>
      <c r="M124" s="180"/>
      <c r="N124" s="180"/>
      <c r="O124" s="180"/>
      <c r="P124" s="180"/>
      <c r="Q124" s="180"/>
      <c r="R124" s="180"/>
      <c r="S124" s="180"/>
      <c r="T124" s="180"/>
      <c r="U124" s="180"/>
      <c r="V124" s="180"/>
      <c r="W124" s="180"/>
      <c r="X124" s="180"/>
    </row>
    <row r="125" spans="1:24" ht="15.75" customHeight="1">
      <c r="A125" s="180"/>
      <c r="B125" s="180"/>
      <c r="C125" s="180"/>
      <c r="D125" s="180"/>
      <c r="E125" s="180"/>
      <c r="F125" s="180"/>
      <c r="G125" s="180"/>
      <c r="H125" s="180"/>
      <c r="I125" s="180"/>
      <c r="J125" s="180"/>
      <c r="K125" s="180"/>
      <c r="L125" s="180"/>
      <c r="M125" s="180"/>
      <c r="N125" s="180"/>
      <c r="O125" s="180"/>
      <c r="P125" s="180"/>
      <c r="Q125" s="180"/>
      <c r="R125" s="180"/>
      <c r="S125" s="180"/>
      <c r="T125" s="180"/>
      <c r="U125" s="180"/>
      <c r="V125" s="180"/>
      <c r="W125" s="180"/>
      <c r="X125" s="180"/>
    </row>
    <row r="126" spans="1:24" ht="15.75" customHeight="1">
      <c r="A126" s="180"/>
      <c r="B126" s="180"/>
      <c r="C126" s="180"/>
      <c r="D126" s="180"/>
      <c r="E126" s="180"/>
      <c r="F126" s="180"/>
      <c r="G126" s="180"/>
      <c r="H126" s="180"/>
      <c r="I126" s="180"/>
      <c r="J126" s="180"/>
      <c r="K126" s="180"/>
      <c r="L126" s="180"/>
      <c r="M126" s="180"/>
      <c r="N126" s="180"/>
      <c r="O126" s="180"/>
      <c r="P126" s="180"/>
      <c r="Q126" s="180"/>
      <c r="R126" s="180"/>
      <c r="S126" s="180"/>
      <c r="T126" s="180"/>
      <c r="U126" s="180"/>
      <c r="V126" s="180"/>
      <c r="W126" s="180"/>
      <c r="X126" s="180"/>
    </row>
    <row r="127" spans="1:24" ht="15.75" customHeight="1">
      <c r="A127" s="180"/>
      <c r="B127" s="180"/>
      <c r="C127" s="180"/>
      <c r="D127" s="180"/>
      <c r="E127" s="180"/>
      <c r="F127" s="180"/>
      <c r="G127" s="180"/>
      <c r="H127" s="180"/>
      <c r="I127" s="180"/>
      <c r="J127" s="180"/>
      <c r="K127" s="180"/>
      <c r="L127" s="180"/>
      <c r="M127" s="180"/>
      <c r="N127" s="180"/>
      <c r="O127" s="180"/>
      <c r="P127" s="180"/>
      <c r="Q127" s="180"/>
      <c r="R127" s="180"/>
      <c r="S127" s="180"/>
      <c r="T127" s="180"/>
      <c r="U127" s="180"/>
      <c r="V127" s="180"/>
      <c r="W127" s="180"/>
      <c r="X127" s="180"/>
    </row>
    <row r="128" spans="1:24" ht="15.75" customHeight="1">
      <c r="A128" s="180"/>
      <c r="B128" s="180"/>
      <c r="C128" s="180"/>
      <c r="D128" s="180"/>
      <c r="E128" s="180"/>
      <c r="F128" s="180"/>
      <c r="G128" s="180"/>
      <c r="H128" s="180"/>
      <c r="I128" s="180"/>
      <c r="J128" s="180"/>
      <c r="K128" s="180"/>
      <c r="L128" s="180"/>
      <c r="M128" s="180"/>
      <c r="N128" s="180"/>
      <c r="O128" s="180"/>
      <c r="P128" s="180"/>
      <c r="Q128" s="180"/>
      <c r="R128" s="180"/>
      <c r="S128" s="180"/>
      <c r="T128" s="180"/>
      <c r="U128" s="180"/>
      <c r="V128" s="180"/>
      <c r="W128" s="180"/>
      <c r="X128" s="180"/>
    </row>
    <row r="129" spans="1:24" ht="15.75" customHeight="1">
      <c r="A129" s="180"/>
      <c r="B129" s="180"/>
      <c r="C129" s="180"/>
      <c r="D129" s="180"/>
      <c r="E129" s="180"/>
      <c r="F129" s="180"/>
      <c r="G129" s="180"/>
      <c r="H129" s="180"/>
      <c r="I129" s="180"/>
      <c r="J129" s="180"/>
      <c r="K129" s="180"/>
      <c r="L129" s="180"/>
      <c r="M129" s="180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180"/>
    </row>
    <row r="130" spans="1:24" ht="15.75" customHeight="1">
      <c r="A130" s="180"/>
      <c r="B130" s="180"/>
      <c r="C130" s="180"/>
      <c r="D130" s="180"/>
      <c r="E130" s="180"/>
      <c r="F130" s="180"/>
      <c r="G130" s="180"/>
      <c r="H130" s="180"/>
      <c r="I130" s="180"/>
      <c r="J130" s="180"/>
      <c r="K130" s="180"/>
      <c r="L130" s="180"/>
      <c r="M130" s="180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180"/>
    </row>
    <row r="131" spans="1:24" ht="15.75" customHeight="1">
      <c r="A131" s="180"/>
      <c r="B131" s="180"/>
      <c r="C131" s="180"/>
      <c r="D131" s="180"/>
      <c r="E131" s="180"/>
      <c r="F131" s="180"/>
      <c r="G131" s="180"/>
      <c r="H131" s="180"/>
      <c r="I131" s="180"/>
      <c r="J131" s="180"/>
      <c r="K131" s="180"/>
      <c r="L131" s="180"/>
      <c r="M131" s="180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180"/>
    </row>
    <row r="132" spans="1:24" ht="15.75" customHeight="1">
      <c r="A132" s="180"/>
      <c r="B132" s="180"/>
      <c r="C132" s="180"/>
      <c r="D132" s="180"/>
      <c r="E132" s="180"/>
      <c r="F132" s="180"/>
      <c r="G132" s="180"/>
      <c r="H132" s="180"/>
      <c r="I132" s="180"/>
      <c r="J132" s="180"/>
      <c r="K132" s="180"/>
      <c r="L132" s="180"/>
      <c r="M132" s="180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180"/>
    </row>
    <row r="133" spans="1:24" ht="15.75" customHeight="1">
      <c r="A133" s="180"/>
      <c r="B133" s="180"/>
      <c r="C133" s="180"/>
      <c r="D133" s="180"/>
      <c r="E133" s="180"/>
      <c r="F133" s="180"/>
      <c r="G133" s="180"/>
      <c r="H133" s="180"/>
      <c r="I133" s="180"/>
      <c r="J133" s="180"/>
      <c r="K133" s="180"/>
      <c r="L133" s="180"/>
      <c r="M133" s="180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180"/>
    </row>
    <row r="134" spans="1:24" ht="15.75" customHeight="1">
      <c r="A134" s="180"/>
      <c r="B134" s="180"/>
      <c r="C134" s="180"/>
      <c r="D134" s="180"/>
      <c r="E134" s="180"/>
      <c r="F134" s="180"/>
      <c r="G134" s="180"/>
      <c r="H134" s="180"/>
      <c r="I134" s="180"/>
      <c r="J134" s="180"/>
      <c r="K134" s="180"/>
      <c r="L134" s="180"/>
      <c r="M134" s="180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</row>
    <row r="135" spans="1:24" ht="15.75" customHeight="1">
      <c r="A135" s="180"/>
      <c r="B135" s="180"/>
      <c r="C135" s="180"/>
      <c r="D135" s="180"/>
      <c r="E135" s="180"/>
      <c r="F135" s="180"/>
      <c r="G135" s="180"/>
      <c r="H135" s="180"/>
      <c r="I135" s="180"/>
      <c r="J135" s="180"/>
      <c r="K135" s="180"/>
      <c r="L135" s="180"/>
      <c r="M135" s="180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180"/>
    </row>
    <row r="136" spans="1:24" ht="15.75" customHeight="1">
      <c r="A136" s="180"/>
      <c r="B136" s="180"/>
      <c r="C136" s="180"/>
      <c r="D136" s="180"/>
      <c r="E136" s="180"/>
      <c r="F136" s="180"/>
      <c r="G136" s="180"/>
      <c r="H136" s="180"/>
      <c r="I136" s="180"/>
      <c r="J136" s="180"/>
      <c r="K136" s="180"/>
      <c r="L136" s="180"/>
      <c r="M136" s="180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180"/>
    </row>
    <row r="137" spans="1:24" ht="15.75" customHeight="1">
      <c r="A137" s="180"/>
      <c r="B137" s="180"/>
      <c r="C137" s="180"/>
      <c r="D137" s="180"/>
      <c r="E137" s="180"/>
      <c r="F137" s="180"/>
      <c r="G137" s="180"/>
      <c r="H137" s="180"/>
      <c r="I137" s="180"/>
      <c r="J137" s="180"/>
      <c r="K137" s="180"/>
      <c r="L137" s="180"/>
      <c r="M137" s="180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180"/>
    </row>
    <row r="138" spans="1:24" ht="15.75" customHeight="1">
      <c r="A138" s="180"/>
      <c r="B138" s="180"/>
      <c r="C138" s="180"/>
      <c r="D138" s="180"/>
      <c r="E138" s="180"/>
      <c r="F138" s="180"/>
      <c r="G138" s="180"/>
      <c r="H138" s="180"/>
      <c r="I138" s="180"/>
      <c r="J138" s="180"/>
      <c r="K138" s="180"/>
      <c r="L138" s="180"/>
      <c r="M138" s="180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180"/>
    </row>
    <row r="139" spans="1:24" ht="15.75" customHeight="1">
      <c r="A139" s="180"/>
      <c r="B139" s="180"/>
      <c r="C139" s="180"/>
      <c r="D139" s="180"/>
      <c r="E139" s="180"/>
      <c r="F139" s="180"/>
      <c r="G139" s="180"/>
      <c r="H139" s="180"/>
      <c r="I139" s="180"/>
      <c r="J139" s="180"/>
      <c r="K139" s="180"/>
      <c r="L139" s="180"/>
      <c r="M139" s="180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180"/>
    </row>
    <row r="140" spans="1:24" ht="15.75" customHeight="1">
      <c r="A140" s="180"/>
      <c r="B140" s="180"/>
      <c r="C140" s="180"/>
      <c r="D140" s="180"/>
      <c r="E140" s="180"/>
      <c r="F140" s="180"/>
      <c r="G140" s="180"/>
      <c r="H140" s="180"/>
      <c r="I140" s="180"/>
      <c r="J140" s="180"/>
      <c r="K140" s="180"/>
      <c r="L140" s="180"/>
      <c r="M140" s="180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180"/>
    </row>
    <row r="141" spans="1:24" ht="15.75" customHeight="1">
      <c r="A141" s="180"/>
      <c r="B141" s="180"/>
      <c r="C141" s="180"/>
      <c r="D141" s="180"/>
      <c r="E141" s="180"/>
      <c r="F141" s="180"/>
      <c r="G141" s="180"/>
      <c r="H141" s="180"/>
      <c r="I141" s="180"/>
      <c r="J141" s="180"/>
      <c r="K141" s="180"/>
      <c r="L141" s="180"/>
      <c r="M141" s="180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180"/>
    </row>
    <row r="142" spans="1:24" ht="15.75" customHeight="1">
      <c r="A142" s="180"/>
      <c r="B142" s="180"/>
      <c r="C142" s="180"/>
      <c r="D142" s="180"/>
      <c r="E142" s="180"/>
      <c r="F142" s="180"/>
      <c r="G142" s="180"/>
      <c r="H142" s="180"/>
      <c r="I142" s="180"/>
      <c r="J142" s="180"/>
      <c r="K142" s="180"/>
      <c r="L142" s="180"/>
      <c r="M142" s="180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180"/>
    </row>
    <row r="143" spans="1:24" ht="15.75" customHeight="1">
      <c r="A143" s="180"/>
      <c r="B143" s="180"/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  <c r="M143" s="180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180"/>
    </row>
    <row r="144" spans="1:24" ht="15.75" customHeight="1">
      <c r="A144" s="180"/>
      <c r="B144" s="180"/>
      <c r="C144" s="180"/>
      <c r="D144" s="180"/>
      <c r="E144" s="180"/>
      <c r="F144" s="180"/>
      <c r="G144" s="180"/>
      <c r="H144" s="180"/>
      <c r="I144" s="180"/>
      <c r="J144" s="180"/>
      <c r="K144" s="180"/>
      <c r="L144" s="180"/>
      <c r="M144" s="180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180"/>
    </row>
    <row r="145" spans="1:24" ht="15.75" customHeight="1">
      <c r="A145" s="180"/>
      <c r="B145" s="180"/>
      <c r="C145" s="180"/>
      <c r="D145" s="180"/>
      <c r="E145" s="180"/>
      <c r="F145" s="180"/>
      <c r="G145" s="180"/>
      <c r="H145" s="180"/>
      <c r="I145" s="180"/>
      <c r="J145" s="180"/>
      <c r="K145" s="180"/>
      <c r="L145" s="180"/>
      <c r="M145" s="180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180"/>
    </row>
    <row r="146" spans="1:24" ht="15.75" customHeight="1">
      <c r="A146" s="180"/>
      <c r="B146" s="180"/>
      <c r="C146" s="180"/>
      <c r="D146" s="180"/>
      <c r="E146" s="180"/>
      <c r="F146" s="180"/>
      <c r="G146" s="180"/>
      <c r="H146" s="180"/>
      <c r="I146" s="180"/>
      <c r="J146" s="180"/>
      <c r="K146" s="180"/>
      <c r="L146" s="180"/>
      <c r="M146" s="180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180"/>
    </row>
    <row r="147" spans="1:24" ht="15.75" customHeight="1">
      <c r="A147" s="180"/>
      <c r="B147" s="180"/>
      <c r="C147" s="180"/>
      <c r="D147" s="180"/>
      <c r="E147" s="180"/>
      <c r="F147" s="180"/>
      <c r="G147" s="180"/>
      <c r="H147" s="180"/>
      <c r="I147" s="180"/>
      <c r="J147" s="180"/>
      <c r="K147" s="180"/>
      <c r="L147" s="180"/>
      <c r="M147" s="180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180"/>
    </row>
    <row r="148" spans="1:24" ht="15.75" customHeight="1">
      <c r="A148" s="180"/>
      <c r="B148" s="180"/>
      <c r="C148" s="180"/>
      <c r="D148" s="180"/>
      <c r="E148" s="180"/>
      <c r="F148" s="180"/>
      <c r="G148" s="180"/>
      <c r="H148" s="180"/>
      <c r="I148" s="180"/>
      <c r="J148" s="180"/>
      <c r="K148" s="180"/>
      <c r="L148" s="180"/>
      <c r="M148" s="180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180"/>
    </row>
    <row r="149" spans="1:24" ht="15.75" customHeight="1">
      <c r="A149" s="180"/>
      <c r="B149" s="180"/>
      <c r="C149" s="180"/>
      <c r="D149" s="180"/>
      <c r="E149" s="180"/>
      <c r="F149" s="180"/>
      <c r="G149" s="180"/>
      <c r="H149" s="180"/>
      <c r="I149" s="180"/>
      <c r="J149" s="180"/>
      <c r="K149" s="180"/>
      <c r="L149" s="180"/>
      <c r="M149" s="180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180"/>
    </row>
    <row r="150" spans="1:24" ht="15.75" customHeight="1">
      <c r="A150" s="180"/>
      <c r="B150" s="180"/>
      <c r="C150" s="180"/>
      <c r="D150" s="180"/>
      <c r="E150" s="180"/>
      <c r="F150" s="180"/>
      <c r="G150" s="180"/>
      <c r="H150" s="180"/>
      <c r="I150" s="180"/>
      <c r="J150" s="180"/>
      <c r="K150" s="180"/>
      <c r="L150" s="180"/>
      <c r="M150" s="180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180"/>
    </row>
    <row r="151" spans="1:24" ht="15.75" customHeight="1">
      <c r="A151" s="180"/>
      <c r="B151" s="180"/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  <c r="M151" s="180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180"/>
    </row>
    <row r="152" spans="1:24" ht="15.75" customHeight="1">
      <c r="A152" s="180"/>
      <c r="B152" s="180"/>
      <c r="C152" s="180"/>
      <c r="D152" s="180"/>
      <c r="E152" s="180"/>
      <c r="F152" s="180"/>
      <c r="G152" s="180"/>
      <c r="H152" s="180"/>
      <c r="I152" s="180"/>
      <c r="J152" s="180"/>
      <c r="K152" s="180"/>
      <c r="L152" s="180"/>
      <c r="M152" s="180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180"/>
    </row>
    <row r="153" spans="1:24" ht="15.75" customHeight="1">
      <c r="A153" s="180"/>
      <c r="B153" s="180"/>
      <c r="C153" s="180"/>
      <c r="D153" s="180"/>
      <c r="E153" s="180"/>
      <c r="F153" s="180"/>
      <c r="G153" s="180"/>
      <c r="H153" s="180"/>
      <c r="I153" s="180"/>
      <c r="J153" s="180"/>
      <c r="K153" s="180"/>
      <c r="L153" s="180"/>
      <c r="M153" s="180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180"/>
    </row>
    <row r="154" spans="1:24" ht="15.75" customHeight="1">
      <c r="A154" s="180"/>
      <c r="B154" s="180"/>
      <c r="C154" s="180"/>
      <c r="D154" s="180"/>
      <c r="E154" s="180"/>
      <c r="F154" s="180"/>
      <c r="G154" s="180"/>
      <c r="H154" s="180"/>
      <c r="I154" s="180"/>
      <c r="J154" s="180"/>
      <c r="K154" s="180"/>
      <c r="L154" s="180"/>
      <c r="M154" s="180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180"/>
    </row>
    <row r="155" spans="1:24" ht="15.75" customHeight="1">
      <c r="A155" s="180"/>
      <c r="B155" s="180"/>
      <c r="C155" s="180"/>
      <c r="D155" s="180"/>
      <c r="E155" s="180"/>
      <c r="F155" s="180"/>
      <c r="G155" s="180"/>
      <c r="H155" s="180"/>
      <c r="I155" s="180"/>
      <c r="J155" s="180"/>
      <c r="K155" s="180"/>
      <c r="L155" s="180"/>
      <c r="M155" s="180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180"/>
    </row>
    <row r="156" spans="1:24" ht="15.75" customHeight="1">
      <c r="A156" s="180"/>
      <c r="B156" s="180"/>
      <c r="C156" s="180"/>
      <c r="D156" s="180"/>
      <c r="E156" s="180"/>
      <c r="F156" s="180"/>
      <c r="G156" s="180"/>
      <c r="H156" s="180"/>
      <c r="I156" s="180"/>
      <c r="J156" s="180"/>
      <c r="K156" s="180"/>
      <c r="L156" s="180"/>
      <c r="M156" s="180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180"/>
    </row>
    <row r="157" spans="1:24" ht="15.75" customHeight="1">
      <c r="A157" s="180"/>
      <c r="B157" s="180"/>
      <c r="C157" s="180"/>
      <c r="D157" s="180"/>
      <c r="E157" s="180"/>
      <c r="F157" s="180"/>
      <c r="G157" s="180"/>
      <c r="H157" s="180"/>
      <c r="I157" s="180"/>
      <c r="J157" s="180"/>
      <c r="K157" s="180"/>
      <c r="L157" s="180"/>
      <c r="M157" s="180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180"/>
    </row>
    <row r="158" spans="1:24" ht="15.75" customHeight="1">
      <c r="A158" s="180"/>
      <c r="B158" s="180"/>
      <c r="C158" s="180"/>
      <c r="D158" s="180"/>
      <c r="E158" s="180"/>
      <c r="F158" s="180"/>
      <c r="G158" s="180"/>
      <c r="H158" s="180"/>
      <c r="I158" s="180"/>
      <c r="J158" s="180"/>
      <c r="K158" s="180"/>
      <c r="L158" s="180"/>
      <c r="M158" s="180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180"/>
    </row>
    <row r="159" spans="1:24" ht="15.75" customHeight="1">
      <c r="A159" s="180"/>
      <c r="B159" s="180"/>
      <c r="C159" s="180"/>
      <c r="D159" s="180"/>
      <c r="E159" s="180"/>
      <c r="F159" s="180"/>
      <c r="G159" s="180"/>
      <c r="H159" s="180"/>
      <c r="I159" s="180"/>
      <c r="J159" s="180"/>
      <c r="K159" s="180"/>
      <c r="L159" s="180"/>
      <c r="M159" s="180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180"/>
    </row>
    <row r="160" spans="1:24" ht="15.75" customHeight="1">
      <c r="A160" s="180"/>
      <c r="B160" s="180"/>
      <c r="C160" s="180"/>
      <c r="D160" s="180"/>
      <c r="E160" s="180"/>
      <c r="F160" s="180"/>
      <c r="G160" s="180"/>
      <c r="H160" s="180"/>
      <c r="I160" s="180"/>
      <c r="J160" s="180"/>
      <c r="K160" s="180"/>
      <c r="L160" s="180"/>
      <c r="M160" s="180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180"/>
    </row>
    <row r="161" spans="1:24" ht="15.75" customHeight="1">
      <c r="A161" s="180"/>
      <c r="B161" s="180"/>
      <c r="C161" s="180"/>
      <c r="D161" s="180"/>
      <c r="E161" s="180"/>
      <c r="F161" s="180"/>
      <c r="G161" s="180"/>
      <c r="H161" s="180"/>
      <c r="I161" s="180"/>
      <c r="J161" s="180"/>
      <c r="K161" s="180"/>
      <c r="L161" s="180"/>
      <c r="M161" s="180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180"/>
    </row>
    <row r="162" spans="1:24" ht="15.75" customHeight="1">
      <c r="A162" s="180"/>
      <c r="B162" s="180"/>
      <c r="C162" s="180"/>
      <c r="D162" s="180"/>
      <c r="E162" s="180"/>
      <c r="F162" s="180"/>
      <c r="G162" s="180"/>
      <c r="H162" s="180"/>
      <c r="I162" s="180"/>
      <c r="J162" s="180"/>
      <c r="K162" s="180"/>
      <c r="L162" s="180"/>
      <c r="M162" s="180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180"/>
    </row>
    <row r="163" spans="1:24" ht="15.75" customHeight="1">
      <c r="A163" s="180"/>
      <c r="B163" s="180"/>
      <c r="C163" s="180"/>
      <c r="D163" s="180"/>
      <c r="E163" s="180"/>
      <c r="F163" s="180"/>
      <c r="G163" s="180"/>
      <c r="H163" s="180"/>
      <c r="I163" s="180"/>
      <c r="J163" s="180"/>
      <c r="K163" s="180"/>
      <c r="L163" s="180"/>
      <c r="M163" s="180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180"/>
    </row>
    <row r="164" spans="1:24" ht="15.75" customHeight="1">
      <c r="A164" s="180"/>
      <c r="B164" s="180"/>
      <c r="C164" s="180"/>
      <c r="D164" s="180"/>
      <c r="E164" s="180"/>
      <c r="F164" s="180"/>
      <c r="G164" s="180"/>
      <c r="H164" s="180"/>
      <c r="I164" s="180"/>
      <c r="J164" s="180"/>
      <c r="K164" s="180"/>
      <c r="L164" s="180"/>
      <c r="M164" s="180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180"/>
    </row>
    <row r="165" spans="1:24" ht="15.75" customHeight="1">
      <c r="A165" s="180"/>
      <c r="B165" s="180"/>
      <c r="C165" s="180"/>
      <c r="D165" s="180"/>
      <c r="E165" s="180"/>
      <c r="F165" s="180"/>
      <c r="G165" s="180"/>
      <c r="H165" s="180"/>
      <c r="I165" s="180"/>
      <c r="J165" s="180"/>
      <c r="K165" s="180"/>
      <c r="L165" s="180"/>
      <c r="M165" s="180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180"/>
    </row>
    <row r="166" spans="1:24" ht="15.75" customHeight="1">
      <c r="A166" s="180"/>
      <c r="B166" s="180"/>
      <c r="C166" s="180"/>
      <c r="D166" s="180"/>
      <c r="E166" s="180"/>
      <c r="F166" s="180"/>
      <c r="G166" s="180"/>
      <c r="H166" s="180"/>
      <c r="I166" s="180"/>
      <c r="J166" s="180"/>
      <c r="K166" s="180"/>
      <c r="L166" s="180"/>
      <c r="M166" s="180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180"/>
    </row>
    <row r="167" spans="1:24" ht="15.75" customHeight="1">
      <c r="A167" s="180"/>
      <c r="B167" s="180"/>
      <c r="C167" s="180"/>
      <c r="D167" s="180"/>
      <c r="E167" s="180"/>
      <c r="F167" s="180"/>
      <c r="G167" s="180"/>
      <c r="H167" s="180"/>
      <c r="I167" s="180"/>
      <c r="J167" s="180"/>
      <c r="K167" s="180"/>
      <c r="L167" s="180"/>
      <c r="M167" s="180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180"/>
    </row>
    <row r="168" spans="1:24" ht="15.75" customHeight="1">
      <c r="A168" s="180"/>
      <c r="B168" s="180"/>
      <c r="C168" s="180"/>
      <c r="D168" s="180"/>
      <c r="E168" s="180"/>
      <c r="F168" s="180"/>
      <c r="G168" s="180"/>
      <c r="H168" s="180"/>
      <c r="I168" s="180"/>
      <c r="J168" s="180"/>
      <c r="K168" s="180"/>
      <c r="L168" s="180"/>
      <c r="M168" s="180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180"/>
    </row>
    <row r="169" spans="1:24" ht="15.75" customHeight="1">
      <c r="A169" s="180"/>
      <c r="B169" s="180"/>
      <c r="C169" s="180"/>
      <c r="D169" s="180"/>
      <c r="E169" s="180"/>
      <c r="F169" s="180"/>
      <c r="G169" s="180"/>
      <c r="H169" s="180"/>
      <c r="I169" s="180"/>
      <c r="J169" s="180"/>
      <c r="K169" s="180"/>
      <c r="L169" s="180"/>
      <c r="M169" s="180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180"/>
    </row>
    <row r="170" spans="1:24" ht="15.75" customHeight="1">
      <c r="A170" s="180"/>
      <c r="B170" s="180"/>
      <c r="C170" s="180"/>
      <c r="D170" s="180"/>
      <c r="E170" s="180"/>
      <c r="F170" s="180"/>
      <c r="G170" s="180"/>
      <c r="H170" s="180"/>
      <c r="I170" s="180"/>
      <c r="J170" s="180"/>
      <c r="K170" s="180"/>
      <c r="L170" s="180"/>
      <c r="M170" s="180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180"/>
    </row>
    <row r="171" spans="1:24" ht="15.75" customHeight="1">
      <c r="A171" s="180"/>
      <c r="B171" s="180"/>
      <c r="C171" s="180"/>
      <c r="D171" s="180"/>
      <c r="E171" s="180"/>
      <c r="F171" s="180"/>
      <c r="G171" s="180"/>
      <c r="H171" s="180"/>
      <c r="I171" s="180"/>
      <c r="J171" s="180"/>
      <c r="K171" s="180"/>
      <c r="L171" s="180"/>
      <c r="M171" s="180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180"/>
    </row>
    <row r="172" spans="1:24" ht="15.75" customHeight="1">
      <c r="A172" s="180"/>
      <c r="B172" s="180"/>
      <c r="C172" s="180"/>
      <c r="D172" s="180"/>
      <c r="E172" s="180"/>
      <c r="F172" s="180"/>
      <c r="G172" s="180"/>
      <c r="H172" s="180"/>
      <c r="I172" s="180"/>
      <c r="J172" s="180"/>
      <c r="K172" s="180"/>
      <c r="L172" s="180"/>
      <c r="M172" s="180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180"/>
    </row>
    <row r="173" spans="1:24" ht="15.75" customHeight="1">
      <c r="A173" s="180"/>
      <c r="B173" s="180"/>
      <c r="C173" s="180"/>
      <c r="D173" s="180"/>
      <c r="E173" s="180"/>
      <c r="F173" s="180"/>
      <c r="G173" s="180"/>
      <c r="H173" s="180"/>
      <c r="I173" s="180"/>
      <c r="J173" s="180"/>
      <c r="K173" s="180"/>
      <c r="L173" s="180"/>
      <c r="M173" s="180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180"/>
    </row>
    <row r="174" spans="1:24" ht="15.75" customHeight="1">
      <c r="A174" s="180"/>
      <c r="B174" s="180"/>
      <c r="C174" s="180"/>
      <c r="D174" s="180"/>
      <c r="E174" s="180"/>
      <c r="F174" s="180"/>
      <c r="G174" s="180"/>
      <c r="H174" s="180"/>
      <c r="I174" s="180"/>
      <c r="J174" s="180"/>
      <c r="K174" s="180"/>
      <c r="L174" s="180"/>
      <c r="M174" s="180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180"/>
    </row>
    <row r="175" spans="1:24" ht="15.75" customHeight="1">
      <c r="A175" s="180"/>
      <c r="B175" s="180"/>
      <c r="C175" s="180"/>
      <c r="D175" s="180"/>
      <c r="E175" s="180"/>
      <c r="F175" s="180"/>
      <c r="G175" s="180"/>
      <c r="H175" s="180"/>
      <c r="I175" s="180"/>
      <c r="J175" s="180"/>
      <c r="K175" s="180"/>
      <c r="L175" s="180"/>
      <c r="M175" s="180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180"/>
    </row>
    <row r="176" spans="1:24" ht="15.75" customHeight="1">
      <c r="A176" s="180"/>
      <c r="B176" s="180"/>
      <c r="C176" s="180"/>
      <c r="D176" s="180"/>
      <c r="E176" s="180"/>
      <c r="F176" s="180"/>
      <c r="G176" s="180"/>
      <c r="H176" s="180"/>
      <c r="I176" s="180"/>
      <c r="J176" s="180"/>
      <c r="K176" s="180"/>
      <c r="L176" s="180"/>
      <c r="M176" s="180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180"/>
    </row>
    <row r="177" spans="1:24" ht="15.75" customHeight="1">
      <c r="A177" s="180"/>
      <c r="B177" s="180"/>
      <c r="C177" s="180"/>
      <c r="D177" s="180"/>
      <c r="E177" s="180"/>
      <c r="F177" s="180"/>
      <c r="G177" s="180"/>
      <c r="H177" s="180"/>
      <c r="I177" s="180"/>
      <c r="J177" s="180"/>
      <c r="K177" s="180"/>
      <c r="L177" s="180"/>
      <c r="M177" s="180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180"/>
    </row>
    <row r="178" spans="1:24" ht="15.75" customHeight="1">
      <c r="A178" s="180"/>
      <c r="B178" s="180"/>
      <c r="C178" s="180"/>
      <c r="D178" s="180"/>
      <c r="E178" s="180"/>
      <c r="F178" s="180"/>
      <c r="G178" s="180"/>
      <c r="H178" s="180"/>
      <c r="I178" s="180"/>
      <c r="J178" s="180"/>
      <c r="K178" s="180"/>
      <c r="L178" s="180"/>
      <c r="M178" s="180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180"/>
    </row>
    <row r="179" spans="1:24" ht="15.75" customHeight="1">
      <c r="A179" s="180"/>
      <c r="B179" s="180"/>
      <c r="C179" s="180"/>
      <c r="D179" s="180"/>
      <c r="E179" s="180"/>
      <c r="F179" s="180"/>
      <c r="G179" s="180"/>
      <c r="H179" s="180"/>
      <c r="I179" s="180"/>
      <c r="J179" s="180"/>
      <c r="K179" s="180"/>
      <c r="L179" s="180"/>
      <c r="M179" s="180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180"/>
    </row>
    <row r="180" spans="1:24" ht="15.75" customHeight="1">
      <c r="A180" s="180"/>
      <c r="B180" s="180"/>
      <c r="C180" s="180"/>
      <c r="D180" s="180"/>
      <c r="E180" s="180"/>
      <c r="F180" s="180"/>
      <c r="G180" s="180"/>
      <c r="H180" s="180"/>
      <c r="I180" s="180"/>
      <c r="J180" s="180"/>
      <c r="K180" s="180"/>
      <c r="L180" s="180"/>
      <c r="M180" s="180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180"/>
    </row>
    <row r="181" spans="1:24" ht="15.75" customHeight="1">
      <c r="A181" s="180"/>
      <c r="B181" s="180"/>
      <c r="C181" s="180"/>
      <c r="D181" s="180"/>
      <c r="E181" s="180"/>
      <c r="F181" s="180"/>
      <c r="G181" s="180"/>
      <c r="H181" s="180"/>
      <c r="I181" s="180"/>
      <c r="J181" s="180"/>
      <c r="K181" s="180"/>
      <c r="L181" s="180"/>
      <c r="M181" s="180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180"/>
    </row>
    <row r="182" spans="1:24" ht="15.75" customHeight="1">
      <c r="A182" s="180"/>
      <c r="B182" s="180"/>
      <c r="C182" s="180"/>
      <c r="D182" s="180"/>
      <c r="E182" s="180"/>
      <c r="F182" s="180"/>
      <c r="G182" s="180"/>
      <c r="H182" s="180"/>
      <c r="I182" s="180"/>
      <c r="J182" s="180"/>
      <c r="K182" s="180"/>
      <c r="L182" s="180"/>
      <c r="M182" s="180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180"/>
    </row>
    <row r="183" spans="1:24" ht="15.75" customHeight="1">
      <c r="A183" s="180"/>
      <c r="B183" s="180"/>
      <c r="C183" s="180"/>
      <c r="D183" s="180"/>
      <c r="E183" s="180"/>
      <c r="F183" s="180"/>
      <c r="G183" s="180"/>
      <c r="H183" s="180"/>
      <c r="I183" s="180"/>
      <c r="J183" s="180"/>
      <c r="K183" s="180"/>
      <c r="L183" s="180"/>
      <c r="M183" s="180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180"/>
    </row>
    <row r="184" spans="1:24" ht="15.75" customHeight="1">
      <c r="A184" s="180"/>
      <c r="B184" s="180"/>
      <c r="C184" s="180"/>
      <c r="D184" s="180"/>
      <c r="E184" s="180"/>
      <c r="F184" s="180"/>
      <c r="G184" s="180"/>
      <c r="H184" s="180"/>
      <c r="I184" s="180"/>
      <c r="J184" s="180"/>
      <c r="K184" s="180"/>
      <c r="L184" s="180"/>
      <c r="M184" s="180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180"/>
    </row>
    <row r="185" spans="1:24" ht="15.75" customHeight="1">
      <c r="A185" s="180"/>
      <c r="B185" s="180"/>
      <c r="C185" s="180"/>
      <c r="D185" s="180"/>
      <c r="E185" s="180"/>
      <c r="F185" s="180"/>
      <c r="G185" s="180"/>
      <c r="H185" s="180"/>
      <c r="I185" s="180"/>
      <c r="J185" s="180"/>
      <c r="K185" s="180"/>
      <c r="L185" s="180"/>
      <c r="M185" s="180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180"/>
    </row>
    <row r="186" spans="1:24" ht="15.75" customHeight="1">
      <c r="A186" s="180"/>
      <c r="B186" s="180"/>
      <c r="C186" s="180"/>
      <c r="D186" s="180"/>
      <c r="E186" s="180"/>
      <c r="F186" s="180"/>
      <c r="G186" s="180"/>
      <c r="H186" s="180"/>
      <c r="I186" s="180"/>
      <c r="J186" s="180"/>
      <c r="K186" s="180"/>
      <c r="L186" s="180"/>
      <c r="M186" s="180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180"/>
    </row>
    <row r="187" spans="1:24" ht="15.75" customHeight="1">
      <c r="A187" s="180"/>
      <c r="B187" s="180"/>
      <c r="C187" s="180"/>
      <c r="D187" s="180"/>
      <c r="E187" s="180"/>
      <c r="F187" s="180"/>
      <c r="G187" s="180"/>
      <c r="H187" s="180"/>
      <c r="I187" s="180"/>
      <c r="J187" s="180"/>
      <c r="K187" s="180"/>
      <c r="L187" s="180"/>
      <c r="M187" s="180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180"/>
    </row>
    <row r="188" spans="1:24" ht="15.75" customHeight="1">
      <c r="A188" s="180"/>
      <c r="B188" s="180"/>
      <c r="C188" s="180"/>
      <c r="D188" s="180"/>
      <c r="E188" s="180"/>
      <c r="F188" s="180"/>
      <c r="G188" s="180"/>
      <c r="H188" s="180"/>
      <c r="I188" s="180"/>
      <c r="J188" s="180"/>
      <c r="K188" s="180"/>
      <c r="L188" s="180"/>
      <c r="M188" s="180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180"/>
    </row>
    <row r="189" spans="1:24" ht="15.75" customHeight="1">
      <c r="A189" s="180"/>
      <c r="B189" s="180"/>
      <c r="C189" s="180"/>
      <c r="D189" s="180"/>
      <c r="E189" s="180"/>
      <c r="F189" s="180"/>
      <c r="G189" s="180"/>
      <c r="H189" s="180"/>
      <c r="I189" s="180"/>
      <c r="J189" s="180"/>
      <c r="K189" s="180"/>
      <c r="L189" s="180"/>
      <c r="M189" s="180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180"/>
    </row>
    <row r="190" spans="1:24" ht="15.75" customHeight="1">
      <c r="A190" s="180"/>
      <c r="B190" s="180"/>
      <c r="C190" s="180"/>
      <c r="D190" s="180"/>
      <c r="E190" s="180"/>
      <c r="F190" s="180"/>
      <c r="G190" s="180"/>
      <c r="H190" s="180"/>
      <c r="I190" s="180"/>
      <c r="J190" s="180"/>
      <c r="K190" s="180"/>
      <c r="L190" s="180"/>
      <c r="M190" s="180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180"/>
    </row>
    <row r="191" spans="1:24" ht="15.75" customHeight="1">
      <c r="A191" s="180"/>
      <c r="B191" s="180"/>
      <c r="C191" s="180"/>
      <c r="D191" s="180"/>
      <c r="E191" s="180"/>
      <c r="F191" s="180"/>
      <c r="G191" s="180"/>
      <c r="H191" s="180"/>
      <c r="I191" s="180"/>
      <c r="J191" s="180"/>
      <c r="K191" s="180"/>
      <c r="L191" s="180"/>
      <c r="M191" s="180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180"/>
    </row>
    <row r="192" spans="1:24" ht="15.75" customHeight="1">
      <c r="A192" s="180"/>
      <c r="B192" s="180"/>
      <c r="C192" s="180"/>
      <c r="D192" s="180"/>
      <c r="E192" s="180"/>
      <c r="F192" s="180"/>
      <c r="G192" s="180"/>
      <c r="H192" s="180"/>
      <c r="I192" s="180"/>
      <c r="J192" s="180"/>
      <c r="K192" s="180"/>
      <c r="L192" s="180"/>
      <c r="M192" s="180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180"/>
    </row>
    <row r="193" spans="1:24" ht="15.75" customHeight="1">
      <c r="A193" s="180"/>
      <c r="B193" s="180"/>
      <c r="C193" s="180"/>
      <c r="D193" s="180"/>
      <c r="E193" s="180"/>
      <c r="F193" s="180"/>
      <c r="G193" s="180"/>
      <c r="H193" s="180"/>
      <c r="I193" s="180"/>
      <c r="J193" s="180"/>
      <c r="K193" s="180"/>
      <c r="L193" s="180"/>
      <c r="M193" s="180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180"/>
    </row>
    <row r="194" spans="1:24" ht="15.75" customHeight="1">
      <c r="A194" s="180"/>
      <c r="B194" s="180"/>
      <c r="C194" s="180"/>
      <c r="D194" s="180"/>
      <c r="E194" s="180"/>
      <c r="F194" s="180"/>
      <c r="G194" s="180"/>
      <c r="H194" s="180"/>
      <c r="I194" s="180"/>
      <c r="J194" s="180"/>
      <c r="K194" s="180"/>
      <c r="L194" s="180"/>
      <c r="M194" s="180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180"/>
    </row>
    <row r="195" spans="1:24" ht="15.75" customHeight="1">
      <c r="A195" s="180"/>
      <c r="B195" s="180"/>
      <c r="C195" s="180"/>
      <c r="D195" s="180"/>
      <c r="E195" s="180"/>
      <c r="F195" s="180"/>
      <c r="G195" s="180"/>
      <c r="H195" s="180"/>
      <c r="I195" s="180"/>
      <c r="J195" s="180"/>
      <c r="K195" s="180"/>
      <c r="L195" s="180"/>
      <c r="M195" s="180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180"/>
    </row>
    <row r="196" spans="1:24" ht="15.75" customHeight="1">
      <c r="A196" s="180"/>
      <c r="B196" s="180"/>
      <c r="C196" s="180"/>
      <c r="D196" s="180"/>
      <c r="E196" s="180"/>
      <c r="F196" s="180"/>
      <c r="G196" s="180"/>
      <c r="H196" s="180"/>
      <c r="I196" s="180"/>
      <c r="J196" s="180"/>
      <c r="K196" s="180"/>
      <c r="L196" s="180"/>
      <c r="M196" s="180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180"/>
    </row>
    <row r="197" spans="1:24" ht="15.75" customHeight="1">
      <c r="A197" s="180"/>
      <c r="B197" s="180"/>
      <c r="C197" s="180"/>
      <c r="D197" s="180"/>
      <c r="E197" s="180"/>
      <c r="F197" s="180"/>
      <c r="G197" s="180"/>
      <c r="H197" s="180"/>
      <c r="I197" s="180"/>
      <c r="J197" s="180"/>
      <c r="K197" s="180"/>
      <c r="L197" s="180"/>
      <c r="M197" s="180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180"/>
    </row>
    <row r="198" spans="1:24" ht="15.75" customHeight="1">
      <c r="A198" s="180"/>
      <c r="B198" s="180"/>
      <c r="C198" s="180"/>
      <c r="D198" s="180"/>
      <c r="E198" s="180"/>
      <c r="F198" s="180"/>
      <c r="G198" s="180"/>
      <c r="H198" s="180"/>
      <c r="I198" s="180"/>
      <c r="J198" s="180"/>
      <c r="K198" s="180"/>
      <c r="L198" s="180"/>
      <c r="M198" s="180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180"/>
    </row>
    <row r="199" spans="1:24" ht="15.75" customHeight="1">
      <c r="A199" s="180"/>
      <c r="B199" s="180"/>
      <c r="C199" s="180"/>
      <c r="D199" s="180"/>
      <c r="E199" s="180"/>
      <c r="F199" s="180"/>
      <c r="G199" s="180"/>
      <c r="H199" s="180"/>
      <c r="I199" s="180"/>
      <c r="J199" s="180"/>
      <c r="K199" s="180"/>
      <c r="L199" s="180"/>
      <c r="M199" s="180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180"/>
    </row>
    <row r="200" spans="1:24" ht="15.75" customHeight="1">
      <c r="A200" s="180"/>
      <c r="B200" s="180"/>
      <c r="C200" s="180"/>
      <c r="D200" s="180"/>
      <c r="E200" s="180"/>
      <c r="F200" s="180"/>
      <c r="G200" s="180"/>
      <c r="H200" s="180"/>
      <c r="I200" s="180"/>
      <c r="J200" s="180"/>
      <c r="K200" s="180"/>
      <c r="L200" s="180"/>
      <c r="M200" s="180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180"/>
    </row>
    <row r="201" spans="1:24" ht="15.75" customHeight="1">
      <c r="A201" s="180"/>
      <c r="B201" s="180"/>
      <c r="C201" s="180"/>
      <c r="D201" s="180"/>
      <c r="E201" s="180"/>
      <c r="F201" s="180"/>
      <c r="G201" s="180"/>
      <c r="H201" s="180"/>
      <c r="I201" s="180"/>
      <c r="J201" s="180"/>
      <c r="K201" s="180"/>
      <c r="L201" s="180"/>
      <c r="M201" s="180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180"/>
    </row>
    <row r="202" spans="1:24" ht="15.75" customHeight="1">
      <c r="A202" s="180"/>
      <c r="B202" s="180"/>
      <c r="C202" s="180"/>
      <c r="D202" s="180"/>
      <c r="E202" s="180"/>
      <c r="F202" s="180"/>
      <c r="G202" s="180"/>
      <c r="H202" s="180"/>
      <c r="I202" s="180"/>
      <c r="J202" s="180"/>
      <c r="K202" s="180"/>
      <c r="L202" s="180"/>
      <c r="M202" s="180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180"/>
    </row>
    <row r="203" spans="1:24" ht="15.75" customHeight="1">
      <c r="A203" s="180"/>
      <c r="B203" s="180"/>
      <c r="C203" s="180"/>
      <c r="D203" s="180"/>
      <c r="E203" s="180"/>
      <c r="F203" s="180"/>
      <c r="G203" s="180"/>
      <c r="H203" s="180"/>
      <c r="I203" s="180"/>
      <c r="J203" s="180"/>
      <c r="K203" s="180"/>
      <c r="L203" s="180"/>
      <c r="M203" s="180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180"/>
    </row>
    <row r="204" spans="1:24" ht="15.75" customHeight="1">
      <c r="A204" s="180"/>
      <c r="B204" s="180"/>
      <c r="C204" s="180"/>
      <c r="D204" s="180"/>
      <c r="E204" s="180"/>
      <c r="F204" s="180"/>
      <c r="G204" s="180"/>
      <c r="H204" s="180"/>
      <c r="I204" s="180"/>
      <c r="J204" s="180"/>
      <c r="K204" s="180"/>
      <c r="L204" s="180"/>
      <c r="M204" s="180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180"/>
    </row>
    <row r="205" spans="1:24" ht="15.75" customHeight="1">
      <c r="A205" s="180"/>
      <c r="B205" s="180"/>
      <c r="C205" s="180"/>
      <c r="D205" s="180"/>
      <c r="E205" s="180"/>
      <c r="F205" s="180"/>
      <c r="G205" s="180"/>
      <c r="H205" s="180"/>
      <c r="I205" s="180"/>
      <c r="J205" s="180"/>
      <c r="K205" s="180"/>
      <c r="L205" s="180"/>
      <c r="M205" s="180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180"/>
    </row>
    <row r="206" spans="1:24" ht="15.75" customHeight="1">
      <c r="A206" s="180"/>
      <c r="B206" s="180"/>
      <c r="C206" s="180"/>
      <c r="D206" s="180"/>
      <c r="E206" s="180"/>
      <c r="F206" s="180"/>
      <c r="G206" s="180"/>
      <c r="H206" s="180"/>
      <c r="I206" s="180"/>
      <c r="J206" s="180"/>
      <c r="K206" s="180"/>
      <c r="L206" s="180"/>
      <c r="M206" s="180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180"/>
    </row>
    <row r="207" spans="1:24" ht="15.75" customHeight="1">
      <c r="A207" s="180"/>
      <c r="B207" s="180"/>
      <c r="C207" s="180"/>
      <c r="D207" s="180"/>
      <c r="E207" s="180"/>
      <c r="F207" s="180"/>
      <c r="G207" s="180"/>
      <c r="H207" s="180"/>
      <c r="I207" s="180"/>
      <c r="J207" s="180"/>
      <c r="K207" s="180"/>
      <c r="L207" s="180"/>
      <c r="M207" s="180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180"/>
    </row>
    <row r="208" spans="1:24" ht="15.75" customHeight="1">
      <c r="A208" s="180"/>
      <c r="B208" s="180"/>
      <c r="C208" s="180"/>
      <c r="D208" s="180"/>
      <c r="E208" s="180"/>
      <c r="F208" s="180"/>
      <c r="G208" s="180"/>
      <c r="H208" s="180"/>
      <c r="I208" s="180"/>
      <c r="J208" s="180"/>
      <c r="K208" s="180"/>
      <c r="L208" s="180"/>
      <c r="M208" s="180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180"/>
    </row>
    <row r="209" spans="1:24" ht="15.75" customHeight="1">
      <c r="A209" s="180"/>
      <c r="B209" s="180"/>
      <c r="C209" s="180"/>
      <c r="D209" s="180"/>
      <c r="E209" s="180"/>
      <c r="F209" s="180"/>
      <c r="G209" s="180"/>
      <c r="H209" s="180"/>
      <c r="I209" s="180"/>
      <c r="J209" s="180"/>
      <c r="K209" s="180"/>
      <c r="L209" s="180"/>
      <c r="M209" s="180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180"/>
    </row>
    <row r="210" spans="1:24" ht="15.75" customHeight="1">
      <c r="A210" s="180"/>
      <c r="B210" s="180"/>
      <c r="C210" s="180"/>
      <c r="D210" s="180"/>
      <c r="E210" s="180"/>
      <c r="F210" s="180"/>
      <c r="G210" s="180"/>
      <c r="H210" s="180"/>
      <c r="I210" s="180"/>
      <c r="J210" s="180"/>
      <c r="K210" s="180"/>
      <c r="L210" s="180"/>
      <c r="M210" s="180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180"/>
    </row>
    <row r="211" spans="1:24" ht="15.75" customHeight="1">
      <c r="A211" s="180"/>
      <c r="B211" s="180"/>
      <c r="C211" s="180"/>
      <c r="D211" s="180"/>
      <c r="E211" s="180"/>
      <c r="F211" s="180"/>
      <c r="G211" s="180"/>
      <c r="H211" s="180"/>
      <c r="I211" s="180"/>
      <c r="J211" s="180"/>
      <c r="K211" s="180"/>
      <c r="L211" s="180"/>
      <c r="M211" s="180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180"/>
    </row>
    <row r="212" spans="1:24" ht="15.75" customHeight="1">
      <c r="A212" s="180"/>
      <c r="B212" s="180"/>
      <c r="C212" s="180"/>
      <c r="D212" s="180"/>
      <c r="E212" s="180"/>
      <c r="F212" s="180"/>
      <c r="G212" s="180"/>
      <c r="H212" s="180"/>
      <c r="I212" s="180"/>
      <c r="J212" s="180"/>
      <c r="K212" s="180"/>
      <c r="L212" s="180"/>
      <c r="M212" s="180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180"/>
    </row>
    <row r="213" spans="1:24" ht="15.75" customHeight="1">
      <c r="A213" s="180"/>
      <c r="B213" s="180"/>
      <c r="C213" s="180"/>
      <c r="D213" s="180"/>
      <c r="E213" s="180"/>
      <c r="F213" s="180"/>
      <c r="G213" s="180"/>
      <c r="H213" s="180"/>
      <c r="I213" s="180"/>
      <c r="J213" s="180"/>
      <c r="K213" s="180"/>
      <c r="L213" s="180"/>
      <c r="M213" s="180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180"/>
    </row>
    <row r="214" spans="1:24" ht="15.75" customHeight="1">
      <c r="A214" s="180"/>
      <c r="B214" s="180"/>
      <c r="C214" s="180"/>
      <c r="D214" s="180"/>
      <c r="E214" s="180"/>
      <c r="F214" s="180"/>
      <c r="G214" s="180"/>
      <c r="H214" s="180"/>
      <c r="I214" s="180"/>
      <c r="J214" s="180"/>
      <c r="K214" s="180"/>
      <c r="L214" s="180"/>
      <c r="M214" s="180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180"/>
    </row>
    <row r="215" spans="1:24" ht="15.75" customHeight="1">
      <c r="A215" s="180"/>
      <c r="B215" s="180"/>
      <c r="C215" s="180"/>
      <c r="D215" s="180"/>
      <c r="E215" s="180"/>
      <c r="F215" s="180"/>
      <c r="G215" s="180"/>
      <c r="H215" s="180"/>
      <c r="I215" s="180"/>
      <c r="J215" s="180"/>
      <c r="K215" s="180"/>
      <c r="L215" s="180"/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</row>
    <row r="216" spans="1:24" ht="15.75" customHeight="1">
      <c r="A216" s="180"/>
      <c r="B216" s="180"/>
      <c r="C216" s="180"/>
      <c r="D216" s="180"/>
      <c r="E216" s="180"/>
      <c r="F216" s="180"/>
      <c r="G216" s="180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180"/>
    </row>
    <row r="217" spans="1:24" ht="15.75" customHeight="1">
      <c r="A217" s="180"/>
      <c r="B217" s="180"/>
      <c r="C217" s="180"/>
      <c r="D217" s="180"/>
      <c r="E217" s="180"/>
      <c r="F217" s="180"/>
      <c r="G217" s="180"/>
      <c r="H217" s="180"/>
      <c r="I217" s="180"/>
      <c r="J217" s="180"/>
      <c r="K217" s="180"/>
      <c r="L217" s="180"/>
      <c r="M217" s="180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180"/>
    </row>
    <row r="218" spans="1:24" ht="15.75" customHeight="1">
      <c r="A218" s="180"/>
      <c r="B218" s="180"/>
      <c r="C218" s="180"/>
      <c r="D218" s="180"/>
      <c r="E218" s="180"/>
      <c r="F218" s="180"/>
      <c r="G218" s="180"/>
      <c r="H218" s="180"/>
      <c r="I218" s="180"/>
      <c r="J218" s="180"/>
      <c r="K218" s="180"/>
      <c r="L218" s="180"/>
      <c r="M218" s="180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180"/>
    </row>
    <row r="219" spans="1:24" ht="15.75" customHeight="1">
      <c r="A219" s="180"/>
      <c r="B219" s="180"/>
      <c r="C219" s="180"/>
      <c r="D219" s="180"/>
      <c r="E219" s="180"/>
      <c r="F219" s="180"/>
      <c r="G219" s="180"/>
      <c r="H219" s="180"/>
      <c r="I219" s="180"/>
      <c r="J219" s="180"/>
      <c r="K219" s="180"/>
      <c r="L219" s="180"/>
      <c r="M219" s="180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180"/>
    </row>
    <row r="220" spans="1:24" ht="15.75" customHeight="1">
      <c r="A220" s="180"/>
      <c r="B220" s="180"/>
      <c r="C220" s="180"/>
      <c r="D220" s="180"/>
      <c r="E220" s="180"/>
      <c r="F220" s="180"/>
      <c r="G220" s="180"/>
      <c r="H220" s="180"/>
      <c r="I220" s="180"/>
      <c r="J220" s="180"/>
      <c r="K220" s="180"/>
      <c r="L220" s="180"/>
      <c r="M220" s="180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180"/>
    </row>
    <row r="221" spans="1:24" ht="15.75" customHeight="1">
      <c r="A221" s="180"/>
      <c r="B221" s="180"/>
      <c r="C221" s="180"/>
      <c r="D221" s="180"/>
      <c r="E221" s="180"/>
      <c r="F221" s="180"/>
      <c r="G221" s="180"/>
      <c r="H221" s="180"/>
      <c r="I221" s="180"/>
      <c r="J221" s="180"/>
      <c r="K221" s="180"/>
      <c r="L221" s="180"/>
      <c r="M221" s="180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180"/>
    </row>
    <row r="222" spans="1:24" ht="15.75" customHeight="1">
      <c r="A222" s="180"/>
      <c r="B222" s="180"/>
      <c r="C222" s="180"/>
      <c r="D222" s="180"/>
      <c r="E222" s="180"/>
      <c r="F222" s="180"/>
      <c r="G222" s="180"/>
      <c r="H222" s="180"/>
      <c r="I222" s="180"/>
      <c r="J222" s="180"/>
      <c r="K222" s="180"/>
      <c r="L222" s="180"/>
      <c r="M222" s="180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180"/>
    </row>
    <row r="223" spans="1:24" ht="15.75" customHeight="1">
      <c r="A223" s="180"/>
      <c r="B223" s="180"/>
      <c r="C223" s="180"/>
      <c r="D223" s="180"/>
      <c r="E223" s="180"/>
      <c r="F223" s="180"/>
      <c r="G223" s="180"/>
      <c r="H223" s="180"/>
      <c r="I223" s="180"/>
      <c r="J223" s="180"/>
      <c r="K223" s="180"/>
      <c r="L223" s="180"/>
      <c r="M223" s="180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180"/>
    </row>
    <row r="224" spans="1:24" ht="15.75" customHeight="1">
      <c r="A224" s="180"/>
      <c r="B224" s="180"/>
      <c r="C224" s="180"/>
      <c r="D224" s="180"/>
      <c r="E224" s="180"/>
      <c r="F224" s="180"/>
      <c r="G224" s="180"/>
      <c r="H224" s="180"/>
      <c r="I224" s="180"/>
      <c r="J224" s="180"/>
      <c r="K224" s="180"/>
      <c r="L224" s="180"/>
      <c r="M224" s="180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180"/>
    </row>
    <row r="225" spans="1:24" ht="15.75" customHeight="1">
      <c r="A225" s="180"/>
      <c r="B225" s="180"/>
      <c r="C225" s="180"/>
      <c r="D225" s="180"/>
      <c r="E225" s="180"/>
      <c r="F225" s="180"/>
      <c r="G225" s="180"/>
      <c r="H225" s="180"/>
      <c r="I225" s="180"/>
      <c r="J225" s="180"/>
      <c r="K225" s="180"/>
      <c r="L225" s="180"/>
      <c r="M225" s="180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180"/>
    </row>
    <row r="226" spans="1:24" ht="15.75" customHeight="1">
      <c r="A226" s="180"/>
      <c r="B226" s="180"/>
      <c r="C226" s="180"/>
      <c r="D226" s="180"/>
      <c r="E226" s="180"/>
      <c r="F226" s="180"/>
      <c r="G226" s="180"/>
      <c r="H226" s="180"/>
      <c r="I226" s="180"/>
      <c r="J226" s="180"/>
      <c r="K226" s="180"/>
      <c r="L226" s="180"/>
      <c r="M226" s="180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180"/>
    </row>
    <row r="227" spans="1:24" ht="15.75" customHeight="1">
      <c r="A227" s="180"/>
      <c r="B227" s="180"/>
      <c r="C227" s="180"/>
      <c r="D227" s="180"/>
      <c r="E227" s="180"/>
      <c r="F227" s="180"/>
      <c r="G227" s="180"/>
      <c r="H227" s="180"/>
      <c r="I227" s="180"/>
      <c r="J227" s="180"/>
      <c r="K227" s="180"/>
      <c r="L227" s="180"/>
      <c r="M227" s="180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180"/>
    </row>
    <row r="228" spans="1:24" ht="15.75" customHeight="1">
      <c r="A228" s="180"/>
      <c r="B228" s="180"/>
      <c r="C228" s="180"/>
      <c r="D228" s="180"/>
      <c r="E228" s="180"/>
      <c r="F228" s="180"/>
      <c r="G228" s="180"/>
      <c r="H228" s="180"/>
      <c r="I228" s="180"/>
      <c r="J228" s="180"/>
      <c r="K228" s="180"/>
      <c r="L228" s="180"/>
      <c r="M228" s="180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180"/>
    </row>
    <row r="229" spans="1:24" ht="15.75" customHeight="1">
      <c r="A229" s="180"/>
      <c r="B229" s="180"/>
      <c r="C229" s="180"/>
      <c r="D229" s="180"/>
      <c r="E229" s="180"/>
      <c r="F229" s="180"/>
      <c r="G229" s="180"/>
      <c r="H229" s="180"/>
      <c r="I229" s="180"/>
      <c r="J229" s="180"/>
      <c r="K229" s="180"/>
      <c r="L229" s="180"/>
      <c r="M229" s="180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180"/>
    </row>
    <row r="230" spans="1:24" ht="15.75" customHeight="1">
      <c r="A230" s="180"/>
      <c r="B230" s="180"/>
      <c r="C230" s="180"/>
      <c r="D230" s="180"/>
      <c r="E230" s="180"/>
      <c r="F230" s="180"/>
      <c r="G230" s="180"/>
      <c r="H230" s="180"/>
      <c r="I230" s="180"/>
      <c r="J230" s="180"/>
      <c r="K230" s="180"/>
      <c r="L230" s="180"/>
      <c r="M230" s="180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180"/>
    </row>
    <row r="231" spans="1:24" ht="15.75" customHeight="1">
      <c r="A231" s="180"/>
      <c r="B231" s="180"/>
      <c r="C231" s="180"/>
      <c r="D231" s="180"/>
      <c r="E231" s="180"/>
      <c r="F231" s="180"/>
      <c r="G231" s="180"/>
      <c r="H231" s="180"/>
      <c r="I231" s="180"/>
      <c r="J231" s="180"/>
      <c r="K231" s="180"/>
      <c r="L231" s="180"/>
      <c r="M231" s="180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180"/>
    </row>
    <row r="232" spans="1:24" ht="15.75" customHeight="1">
      <c r="A232" s="180"/>
      <c r="B232" s="180"/>
      <c r="C232" s="180"/>
      <c r="D232" s="180"/>
      <c r="E232" s="180"/>
      <c r="F232" s="180"/>
      <c r="G232" s="180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</row>
    <row r="233" spans="1:24" ht="15.75" customHeight="1">
      <c r="A233" s="180"/>
      <c r="B233" s="180"/>
      <c r="C233" s="180"/>
      <c r="D233" s="180"/>
      <c r="E233" s="180"/>
      <c r="F233" s="180"/>
      <c r="G233" s="180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180"/>
    </row>
    <row r="234" spans="1:24" ht="15.75" customHeight="1">
      <c r="A234" s="180"/>
      <c r="B234" s="180"/>
      <c r="C234" s="180"/>
      <c r="D234" s="180"/>
      <c r="E234" s="180"/>
      <c r="F234" s="180"/>
      <c r="G234" s="180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</row>
    <row r="235" spans="1:24" ht="15.75" customHeight="1">
      <c r="A235" s="180"/>
      <c r="B235" s="180"/>
      <c r="C235" s="180"/>
      <c r="D235" s="180"/>
      <c r="E235" s="180"/>
      <c r="F235" s="180"/>
      <c r="G235" s="180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180"/>
    </row>
    <row r="236" spans="1:24" ht="15.75" customHeight="1"/>
    <row r="237" spans="1:24" ht="15.75" customHeight="1"/>
    <row r="238" spans="1:24" ht="15.75" customHeight="1"/>
    <row r="239" spans="1:24" ht="15.75" customHeight="1"/>
    <row r="240" spans="1:2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11:B11"/>
    <mergeCell ref="A12:B12"/>
    <mergeCell ref="A1:D1"/>
    <mergeCell ref="A6:B6"/>
    <mergeCell ref="A7:B7"/>
    <mergeCell ref="C7:C12"/>
    <mergeCell ref="A8:B8"/>
    <mergeCell ref="A9:B9"/>
    <mergeCell ref="A10:B10"/>
    <mergeCell ref="A22:D22"/>
    <mergeCell ref="A23:D23"/>
    <mergeCell ref="A24:D24"/>
    <mergeCell ref="A25:D25"/>
    <mergeCell ref="A14:D14"/>
    <mergeCell ref="A15:D15"/>
    <mergeCell ref="A16:D16"/>
    <mergeCell ref="A17:D17"/>
    <mergeCell ref="A18:D18"/>
    <mergeCell ref="A19:D19"/>
    <mergeCell ref="A20:D20"/>
  </mergeCells>
  <dataValidations count="1">
    <dataValidation type="list" allowBlank="1" showErrorMessage="1" sqref="B2:B3" xr:uid="{00000000-0002-0000-0400-000000000000}">
      <formula1>Course_Code</formula1>
    </dataValidation>
  </dataValidations>
  <pageMargins left="0.7" right="0.7" top="0.75" bottom="0.75" header="0" footer="0"/>
  <pageSetup paperSize="9" orientation="portrait"/>
  <headerFooter>
    <oddHeader>&amp;LDepartment of CSE, ULAB&amp;CCQI Form&amp;RCSE005(00)</oddHeader>
    <oddFooter>&amp;LGenerated on &amp;D &amp;T&amp;CPage &amp;P of&amp;RCSE005(00) 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4.42578125" defaultRowHeight="15" customHeight="1"/>
  <cols>
    <col min="1" max="26" width="8.7109375" customWidth="1"/>
  </cols>
  <sheetData>
    <row r="1" ht="12" customHeight="1"/>
    <row r="2" ht="12" customHeight="1"/>
    <row r="3" ht="12" customHeight="1"/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GradeSheet</vt:lpstr>
      <vt:lpstr>GradingPolicy</vt:lpstr>
      <vt:lpstr>CourseSummary</vt:lpstr>
      <vt:lpstr>CO_PO_AttainmentAnalysis</vt:lpstr>
      <vt:lpstr>ContinuousQualityImprovement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Muhammad Golam Kibria</dc:creator>
  <cp:lastModifiedBy>Atanu Roy</cp:lastModifiedBy>
  <dcterms:created xsi:type="dcterms:W3CDTF">2019-05-06T03:48:27Z</dcterms:created>
  <dcterms:modified xsi:type="dcterms:W3CDTF">2026-05-27T20:57:47Z</dcterms:modified>
</cp:coreProperties>
</file>