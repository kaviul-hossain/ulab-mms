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ownloads\"/>
    </mc:Choice>
  </mc:AlternateContent>
  <xr:revisionPtr revIDLastSave="0" documentId="13_ncr:1_{50E07F4C-8923-40A9-8F04-2FF5E34775A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I9" i="1" l="1"/>
  <c r="E9" i="1"/>
  <c r="S57" i="1"/>
  <c r="T57" i="1"/>
  <c r="U57" i="1"/>
  <c r="V57" i="1"/>
  <c r="S56" i="1"/>
  <c r="T56" i="1"/>
  <c r="U56" i="1"/>
  <c r="V56" i="1"/>
  <c r="S55" i="1"/>
  <c r="T55" i="1"/>
  <c r="U55" i="1"/>
  <c r="V55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64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BA56" i="4" a="1"/>
  <c r="BA56" i="4" s="1"/>
  <c r="AM56" i="4"/>
  <c r="AL56" i="4"/>
  <c r="AJ56" i="4"/>
  <c r="AG56" i="4"/>
  <c r="AF56" i="4"/>
  <c r="AE56" i="4"/>
  <c r="AK56" i="4" s="1"/>
  <c r="AD56" i="4"/>
  <c r="AC56" i="4"/>
  <c r="AI56" i="4" s="1"/>
  <c r="AB56" i="4"/>
  <c r="AH56" i="4" s="1"/>
  <c r="AM55" i="4"/>
  <c r="AK55" i="4"/>
  <c r="AJ55" i="4"/>
  <c r="AG55" i="4"/>
  <c r="AF55" i="4"/>
  <c r="AL55" i="4" s="1"/>
  <c r="AE55" i="4"/>
  <c r="AD55" i="4"/>
  <c r="AC55" i="4"/>
  <c r="AI55" i="4" s="1"/>
  <c r="AB55" i="4"/>
  <c r="AH55" i="4" s="1"/>
  <c r="AL54" i="4"/>
  <c r="AK54" i="4"/>
  <c r="AI54" i="4"/>
  <c r="AG54" i="4"/>
  <c r="AM54" i="4" s="1"/>
  <c r="AF54" i="4"/>
  <c r="AE54" i="4"/>
  <c r="AD54" i="4"/>
  <c r="AJ54" i="4" s="1"/>
  <c r="AC54" i="4"/>
  <c r="AB54" i="4"/>
  <c r="AH54" i="4" s="1"/>
  <c r="AM53" i="4"/>
  <c r="AJ53" i="4"/>
  <c r="AH53" i="4"/>
  <c r="AG53" i="4"/>
  <c r="AF53" i="4"/>
  <c r="AL53" i="4" s="1"/>
  <c r="AE53" i="4"/>
  <c r="AK53" i="4" s="1"/>
  <c r="AD53" i="4"/>
  <c r="AC53" i="4"/>
  <c r="AI53" i="4" s="1"/>
  <c r="AB53" i="4"/>
  <c r="BF52" i="4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BF51" i="4"/>
  <c r="AJ51" i="4"/>
  <c r="AG51" i="4"/>
  <c r="AM51" i="4" s="1"/>
  <c r="AF51" i="4"/>
  <c r="AL51" i="4" s="1"/>
  <c r="AE51" i="4"/>
  <c r="AK51" i="4" s="1"/>
  <c r="AD51" i="4"/>
  <c r="AC51" i="4"/>
  <c r="AI51" i="4" s="1"/>
  <c r="AB51" i="4"/>
  <c r="AH51" i="4" s="1"/>
  <c r="AM50" i="4"/>
  <c r="AK50" i="4"/>
  <c r="AH50" i="4"/>
  <c r="AG50" i="4"/>
  <c r="AF50" i="4"/>
  <c r="AL50" i="4" s="1"/>
  <c r="AE50" i="4"/>
  <c r="AD50" i="4"/>
  <c r="AJ50" i="4" s="1"/>
  <c r="AC50" i="4"/>
  <c r="AI50" i="4" s="1"/>
  <c r="AB50" i="4"/>
  <c r="AL49" i="4"/>
  <c r="AJ49" i="4"/>
  <c r="AI49" i="4"/>
  <c r="AG49" i="4"/>
  <c r="AM49" i="4" s="1"/>
  <c r="AF49" i="4"/>
  <c r="AE49" i="4"/>
  <c r="AK49" i="4" s="1"/>
  <c r="AD49" i="4"/>
  <c r="AC49" i="4"/>
  <c r="AB49" i="4"/>
  <c r="AH49" i="4" s="1"/>
  <c r="BA48" i="4" a="1"/>
  <c r="BA48" i="4"/>
  <c r="AM48" i="4"/>
  <c r="AK48" i="4"/>
  <c r="AJ48" i="4"/>
  <c r="AI48" i="4"/>
  <c r="AH48" i="4"/>
  <c r="AG48" i="4"/>
  <c r="AF48" i="4"/>
  <c r="AL48" i="4" s="1"/>
  <c r="AE48" i="4"/>
  <c r="AD48" i="4"/>
  <c r="AC48" i="4"/>
  <c r="AB48" i="4"/>
  <c r="AM47" i="4"/>
  <c r="AL47" i="4"/>
  <c r="AK47" i="4"/>
  <c r="AI47" i="4"/>
  <c r="AG47" i="4"/>
  <c r="AF47" i="4"/>
  <c r="AE47" i="4"/>
  <c r="AD47" i="4"/>
  <c r="AJ47" i="4" s="1"/>
  <c r="AC47" i="4"/>
  <c r="AB47" i="4"/>
  <c r="AH47" i="4" s="1"/>
  <c r="AL46" i="4"/>
  <c r="AJ46" i="4"/>
  <c r="AG46" i="4"/>
  <c r="AM46" i="4" s="1"/>
  <c r="AF46" i="4"/>
  <c r="AE46" i="4"/>
  <c r="AK46" i="4" s="1"/>
  <c r="AD46" i="4"/>
  <c r="AC46" i="4"/>
  <c r="AI46" i="4" s="1"/>
  <c r="AB46" i="4"/>
  <c r="AH46" i="4" s="1"/>
  <c r="BE45" i="4"/>
  <c r="BD45" i="4" a="1"/>
  <c r="BD45" i="4" s="1"/>
  <c r="AM45" i="4"/>
  <c r="AK45" i="4"/>
  <c r="AH45" i="4"/>
  <c r="AG45" i="4"/>
  <c r="AF45" i="4"/>
  <c r="AL45" i="4" s="1"/>
  <c r="AE45" i="4"/>
  <c r="AD45" i="4"/>
  <c r="AJ45" i="4" s="1"/>
  <c r="AC45" i="4"/>
  <c r="AI45" i="4" s="1"/>
  <c r="AB45" i="4"/>
  <c r="AL44" i="4"/>
  <c r="AJ44" i="4"/>
  <c r="AI44" i="4"/>
  <c r="AG44" i="4"/>
  <c r="AM44" i="4" s="1"/>
  <c r="AF44" i="4"/>
  <c r="AE44" i="4"/>
  <c r="AK44" i="4" s="1"/>
  <c r="AD44" i="4"/>
  <c r="AC44" i="4"/>
  <c r="AB44" i="4"/>
  <c r="AH44" i="4" s="1"/>
  <c r="AM43" i="4"/>
  <c r="AK43" i="4"/>
  <c r="AJ43" i="4"/>
  <c r="AH43" i="4"/>
  <c r="AG43" i="4"/>
  <c r="AF43" i="4"/>
  <c r="AL43" i="4" s="1"/>
  <c r="AE43" i="4"/>
  <c r="AD43" i="4"/>
  <c r="AC43" i="4"/>
  <c r="AI43" i="4" s="1"/>
  <c r="AB43" i="4"/>
  <c r="AL42" i="4"/>
  <c r="AK42" i="4"/>
  <c r="AG42" i="4"/>
  <c r="AM42" i="4" s="1"/>
  <c r="AF42" i="4"/>
  <c r="AE42" i="4"/>
  <c r="AD42" i="4"/>
  <c r="AJ42" i="4" s="1"/>
  <c r="AC42" i="4"/>
  <c r="AI42" i="4" s="1"/>
  <c r="AB42" i="4"/>
  <c r="AH42" i="4" s="1"/>
  <c r="AM41" i="4"/>
  <c r="AL41" i="4"/>
  <c r="AH41" i="4"/>
  <c r="AG41" i="4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BB39" i="4" a="1"/>
  <c r="BB39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L38" i="4"/>
  <c r="AK38" i="4"/>
  <c r="AJ38" i="4"/>
  <c r="AI38" i="4"/>
  <c r="AH38" i="4"/>
  <c r="AG38" i="4"/>
  <c r="AM38" i="4" s="1"/>
  <c r="AF38" i="4"/>
  <c r="AE38" i="4"/>
  <c r="AD38" i="4"/>
  <c r="AC38" i="4"/>
  <c r="AB38" i="4"/>
  <c r="AK37" i="4"/>
  <c r="AH37" i="4"/>
  <c r="AG37" i="4"/>
  <c r="AM37" i="4" s="1"/>
  <c r="AF37" i="4"/>
  <c r="AL37" i="4" s="1"/>
  <c r="AE37" i="4"/>
  <c r="AD37" i="4"/>
  <c r="AJ37" i="4" s="1"/>
  <c r="AC37" i="4"/>
  <c r="AI37" i="4" s="1"/>
  <c r="AB37" i="4"/>
  <c r="BF36" i="4"/>
  <c r="BE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M35" i="4"/>
  <c r="AI35" i="4"/>
  <c r="AH35" i="4"/>
  <c r="AG35" i="4"/>
  <c r="AF35" i="4"/>
  <c r="AL35" i="4" s="1"/>
  <c r="AE35" i="4"/>
  <c r="AK35" i="4" s="1"/>
  <c r="AD35" i="4"/>
  <c r="AJ35" i="4" s="1"/>
  <c r="AC35" i="4"/>
  <c r="AB35" i="4"/>
  <c r="AI34" i="4"/>
  <c r="AH34" i="4"/>
  <c r="AG34" i="4"/>
  <c r="AM34" i="4" s="1"/>
  <c r="AF34" i="4"/>
  <c r="AL34" i="4" s="1"/>
  <c r="AE34" i="4"/>
  <c r="AK34" i="4" s="1"/>
  <c r="AD34" i="4"/>
  <c r="AJ34" i="4" s="1"/>
  <c r="AC34" i="4"/>
  <c r="AB34" i="4"/>
  <c r="AJ33" i="4"/>
  <c r="AI33" i="4"/>
  <c r="AH33" i="4"/>
  <c r="AG33" i="4"/>
  <c r="AM33" i="4" s="1"/>
  <c r="AF33" i="4"/>
  <c r="AL33" i="4" s="1"/>
  <c r="AE33" i="4"/>
  <c r="AK33" i="4" s="1"/>
  <c r="AD33" i="4"/>
  <c r="AC33" i="4"/>
  <c r="AB33" i="4"/>
  <c r="AK32" i="4"/>
  <c r="AJ32" i="4"/>
  <c r="AI32" i="4"/>
  <c r="AH32" i="4"/>
  <c r="AG32" i="4"/>
  <c r="AM32" i="4" s="1"/>
  <c r="AF32" i="4"/>
  <c r="AL32" i="4" s="1"/>
  <c r="AE32" i="4"/>
  <c r="AD32" i="4"/>
  <c r="AC32" i="4"/>
  <c r="AB32" i="4"/>
  <c r="AV31" i="4"/>
  <c r="AU31" i="4"/>
  <c r="AK31" i="4"/>
  <c r="AJ31" i="4"/>
  <c r="AI31" i="4"/>
  <c r="AH31" i="4"/>
  <c r="AG31" i="4"/>
  <c r="AM31" i="4" s="1"/>
  <c r="AF31" i="4"/>
  <c r="AL31" i="4" s="1"/>
  <c r="AE31" i="4"/>
  <c r="AD31" i="4"/>
  <c r="AC31" i="4"/>
  <c r="AB31" i="4"/>
  <c r="AL30" i="4"/>
  <c r="AK30" i="4"/>
  <c r="AJ30" i="4"/>
  <c r="AI30" i="4"/>
  <c r="AH30" i="4"/>
  <c r="AG30" i="4"/>
  <c r="AM30" i="4" s="1"/>
  <c r="AF30" i="4"/>
  <c r="AE30" i="4"/>
  <c r="AD30" i="4"/>
  <c r="AC30" i="4"/>
  <c r="AB30" i="4"/>
  <c r="BD29" i="4" a="1"/>
  <c r="BD29" i="4" s="1"/>
  <c r="AM29" i="4"/>
  <c r="AL29" i="4"/>
  <c r="AK29" i="4"/>
  <c r="AJ29" i="4"/>
  <c r="AI29" i="4"/>
  <c r="AH29" i="4"/>
  <c r="AG29" i="4"/>
  <c r="AF29" i="4"/>
  <c r="AE29" i="4"/>
  <c r="AD29" i="4"/>
  <c r="AC29" i="4"/>
  <c r="AB29" i="4"/>
  <c r="BE28" i="4"/>
  <c r="AM28" i="4"/>
  <c r="AL28" i="4"/>
  <c r="AK28" i="4"/>
  <c r="AJ28" i="4"/>
  <c r="AI28" i="4"/>
  <c r="AG28" i="4"/>
  <c r="AF28" i="4"/>
  <c r="AE28" i="4"/>
  <c r="AD28" i="4"/>
  <c r="AC28" i="4"/>
  <c r="AB28" i="4"/>
  <c r="AH28" i="4" s="1"/>
  <c r="BF27" i="4"/>
  <c r="BE27" i="4"/>
  <c r="AM27" i="4"/>
  <c r="AL27" i="4"/>
  <c r="AK27" i="4"/>
  <c r="AJ27" i="4"/>
  <c r="AG27" i="4"/>
  <c r="AF27" i="4"/>
  <c r="AE27" i="4"/>
  <c r="AD27" i="4"/>
  <c r="AC27" i="4"/>
  <c r="AI27" i="4" s="1"/>
  <c r="AB27" i="4"/>
  <c r="AH27" i="4" s="1"/>
  <c r="AM26" i="4"/>
  <c r="AL26" i="4"/>
  <c r="AK26" i="4"/>
  <c r="AG26" i="4"/>
  <c r="AF26" i="4"/>
  <c r="AE26" i="4"/>
  <c r="AD26" i="4"/>
  <c r="AJ26" i="4" s="1"/>
  <c r="AC26" i="4"/>
  <c r="AI26" i="4" s="1"/>
  <c r="AB26" i="4"/>
  <c r="AH26" i="4" s="1"/>
  <c r="BD25" i="4" a="1"/>
  <c r="BD25" i="4"/>
  <c r="AW25" i="4" a="1"/>
  <c r="AW25" i="4" s="1"/>
  <c r="AM25" i="4"/>
  <c r="AL25" i="4"/>
  <c r="AK25" i="4"/>
  <c r="AJ25" i="4"/>
  <c r="AG25" i="4"/>
  <c r="AF25" i="4"/>
  <c r="AE25" i="4"/>
  <c r="AD25" i="4"/>
  <c r="AC25" i="4"/>
  <c r="AI25" i="4" s="1"/>
  <c r="AB25" i="4"/>
  <c r="AH25" i="4" s="1"/>
  <c r="BD24" i="4" a="1"/>
  <c r="BD24" i="4"/>
  <c r="AW24" i="4" a="1"/>
  <c r="AW24" i="4" s="1"/>
  <c r="AM24" i="4"/>
  <c r="AL24" i="4"/>
  <c r="AK24" i="4"/>
  <c r="AG24" i="4"/>
  <c r="AF24" i="4"/>
  <c r="AE24" i="4"/>
  <c r="AD24" i="4"/>
  <c r="AJ24" i="4" s="1"/>
  <c r="AC24" i="4"/>
  <c r="AI24" i="4" s="1"/>
  <c r="AB24" i="4"/>
  <c r="AH24" i="4" s="1"/>
  <c r="BE23" i="4"/>
  <c r="BD23" i="4" a="1"/>
  <c r="BD23" i="4" s="1"/>
  <c r="AX23" i="4" a="1"/>
  <c r="AX23" i="4"/>
  <c r="AM23" i="4"/>
  <c r="AL23" i="4"/>
  <c r="AG23" i="4"/>
  <c r="AF23" i="4"/>
  <c r="AE23" i="4"/>
  <c r="AK23" i="4" s="1"/>
  <c r="AD23" i="4"/>
  <c r="AJ23" i="4" s="1"/>
  <c r="AC23" i="4"/>
  <c r="AI23" i="4" s="1"/>
  <c r="AB23" i="4"/>
  <c r="AH23" i="4" s="1"/>
  <c r="BF22" i="4"/>
  <c r="BE22" i="4"/>
  <c r="AX22" i="4" a="1"/>
  <c r="AX22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H20" i="4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Z19" i="4" a="1"/>
  <c r="AZ19" i="4" s="1"/>
  <c r="AI19" i="4"/>
  <c r="AH19" i="4"/>
  <c r="AG19" i="4"/>
  <c r="AM19" i="4" s="1"/>
  <c r="AF19" i="4"/>
  <c r="AL19" i="4" s="1"/>
  <c r="AE19" i="4"/>
  <c r="AK19" i="4" s="1"/>
  <c r="AD19" i="4"/>
  <c r="AJ19" i="4" s="1"/>
  <c r="AC19" i="4"/>
  <c r="AB19" i="4"/>
  <c r="BA18" i="4" a="1"/>
  <c r="BA18" i="4"/>
  <c r="AJ18" i="4"/>
  <c r="AI18" i="4"/>
  <c r="AH18" i="4"/>
  <c r="AG18" i="4"/>
  <c r="AM18" i="4" s="1"/>
  <c r="AF18" i="4"/>
  <c r="AL18" i="4" s="1"/>
  <c r="AE18" i="4"/>
  <c r="AK18" i="4" s="1"/>
  <c r="AD18" i="4"/>
  <c r="AC18" i="4"/>
  <c r="AB18" i="4"/>
  <c r="BA17" i="4" a="1"/>
  <c r="BA17" i="4" s="1"/>
  <c r="AV17" i="4"/>
  <c r="AK17" i="4"/>
  <c r="AJ17" i="4"/>
  <c r="AI17" i="4"/>
  <c r="AH17" i="4"/>
  <c r="AG17" i="4"/>
  <c r="AM17" i="4" s="1"/>
  <c r="AF17" i="4"/>
  <c r="AL17" i="4" s="1"/>
  <c r="AE17" i="4"/>
  <c r="AD17" i="4"/>
  <c r="AC17" i="4"/>
  <c r="AB17" i="4"/>
  <c r="BB16" i="4" a="1"/>
  <c r="BB16" i="4"/>
  <c r="AW16" i="4" a="1"/>
  <c r="AW16" i="4" s="1"/>
  <c r="AV16" i="4"/>
  <c r="AU16" i="4"/>
  <c r="AL16" i="4"/>
  <c r="AK16" i="4"/>
  <c r="AJ16" i="4"/>
  <c r="AI16" i="4"/>
  <c r="AH16" i="4"/>
  <c r="AG16" i="4"/>
  <c r="AM16" i="4" s="1"/>
  <c r="AF16" i="4"/>
  <c r="AE16" i="4"/>
  <c r="AD16" i="4"/>
  <c r="AC16" i="4"/>
  <c r="AB16" i="4"/>
  <c r="BD15" i="4" a="1"/>
  <c r="BD15" i="4" s="1"/>
  <c r="BB15" i="4" a="1"/>
  <c r="BB15" i="4" s="1"/>
  <c r="AW15" i="4" a="1"/>
  <c r="AW15" i="4" s="1"/>
  <c r="AV15" i="4"/>
  <c r="AU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15" i="4" s="1"/>
  <c r="BD9" i="4"/>
  <c r="BE15" i="4" s="1"/>
  <c r="BC9" i="4"/>
  <c r="BB9" i="4"/>
  <c r="BC16" i="4" s="1" a="1"/>
  <c r="BC16" i="4" s="1"/>
  <c r="BA9" i="4"/>
  <c r="BB17" i="4" s="1" a="1"/>
  <c r="BB17" i="4" s="1"/>
  <c r="AZ9" i="4"/>
  <c r="AY9" i="4"/>
  <c r="AX9" i="4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66" i="1"/>
  <c r="C62" i="1"/>
  <c r="R57" i="1"/>
  <c r="Q57" i="1"/>
  <c r="P57" i="1"/>
  <c r="R56" i="1"/>
  <c r="Q56" i="1"/>
  <c r="P56" i="1"/>
  <c r="R55" i="1"/>
  <c r="Q55" i="1"/>
  <c r="P55" i="1"/>
  <c r="M51" i="1"/>
  <c r="L51" i="1"/>
  <c r="M50" i="1"/>
  <c r="L50" i="1"/>
  <c r="M49" i="1"/>
  <c r="L49" i="1"/>
  <c r="M48" i="1"/>
  <c r="L48" i="1"/>
  <c r="M47" i="1"/>
  <c r="AS52" i="4" s="1"/>
  <c r="L47" i="1"/>
  <c r="M46" i="1"/>
  <c r="L46" i="1"/>
  <c r="M45" i="1"/>
  <c r="AO50" i="4" s="1"/>
  <c r="L45" i="1"/>
  <c r="M44" i="1"/>
  <c r="AN49" i="4" s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AN40" i="4" s="1"/>
  <c r="L35" i="1"/>
  <c r="M34" i="1"/>
  <c r="L34" i="1"/>
  <c r="M33" i="1"/>
  <c r="L33" i="1"/>
  <c r="M32" i="1"/>
  <c r="AR37" i="4" s="1"/>
  <c r="L32" i="1"/>
  <c r="M31" i="1"/>
  <c r="L31" i="1"/>
  <c r="M30" i="1"/>
  <c r="L30" i="1"/>
  <c r="M29" i="1"/>
  <c r="AS34" i="4" s="1"/>
  <c r="L29" i="1"/>
  <c r="M28" i="1"/>
  <c r="AS33" i="4" s="1"/>
  <c r="L28" i="1"/>
  <c r="M27" i="1"/>
  <c r="L27" i="1"/>
  <c r="M26" i="1"/>
  <c r="L26" i="1"/>
  <c r="M25" i="1"/>
  <c r="L25" i="1"/>
  <c r="M24" i="1"/>
  <c r="L24" i="1"/>
  <c r="M23" i="1"/>
  <c r="BQ28" i="4" s="1"/>
  <c r="L23" i="1"/>
  <c r="M22" i="1"/>
  <c r="BR27" i="4" s="1"/>
  <c r="L22" i="1"/>
  <c r="M21" i="1"/>
  <c r="AR26" i="4" s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J9" i="1"/>
  <c r="H9" i="1"/>
  <c r="G9" i="1"/>
  <c r="F9" i="1"/>
  <c r="D9" i="1"/>
  <c r="A7" i="1"/>
  <c r="H57" i="1" l="1"/>
  <c r="D24" i="3" s="1"/>
  <c r="BR21" i="4"/>
  <c r="H62" i="1"/>
  <c r="I24" i="3" s="1"/>
  <c r="H63" i="1"/>
  <c r="J24" i="3" s="1"/>
  <c r="H65" i="1"/>
  <c r="L24" i="3" s="1"/>
  <c r="AN21" i="4"/>
  <c r="AO21" i="4"/>
  <c r="BP15" i="4"/>
  <c r="BN24" i="4"/>
  <c r="BJ16" i="4"/>
  <c r="BP22" i="4"/>
  <c r="AR46" i="4"/>
  <c r="AP46" i="4"/>
  <c r="AS46" i="4"/>
  <c r="BL29" i="4"/>
  <c r="AS29" i="4"/>
  <c r="AR29" i="4"/>
  <c r="AQ29" i="4"/>
  <c r="AP29" i="4"/>
  <c r="AO29" i="4"/>
  <c r="BR29" i="4"/>
  <c r="AN29" i="4"/>
  <c r="AS35" i="4"/>
  <c r="AP35" i="4"/>
  <c r="BL35" i="4"/>
  <c r="AO35" i="4"/>
  <c r="AN35" i="4"/>
  <c r="BI35" i="4"/>
  <c r="AN41" i="4"/>
  <c r="BG41" i="4"/>
  <c r="AS41" i="4"/>
  <c r="AR41" i="4"/>
  <c r="AQ41" i="4"/>
  <c r="AP41" i="4"/>
  <c r="AQ47" i="4"/>
  <c r="AO47" i="4"/>
  <c r="BK47" i="4"/>
  <c r="AS47" i="4"/>
  <c r="AR47" i="4"/>
  <c r="AP47" i="4"/>
  <c r="AN47" i="4"/>
  <c r="AS53" i="4"/>
  <c r="BR53" i="4"/>
  <c r="AN53" i="4"/>
  <c r="AR53" i="4"/>
  <c r="AQ53" i="4"/>
  <c r="AP53" i="4"/>
  <c r="AO53" i="4"/>
  <c r="BL53" i="4"/>
  <c r="AY53" i="4"/>
  <c r="BK53" i="4" s="1"/>
  <c r="AY41" i="4"/>
  <c r="AY50" i="4"/>
  <c r="AY38" i="4"/>
  <c r="AY37" i="4"/>
  <c r="AY48" i="4"/>
  <c r="AY55" i="4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AY30" i="4"/>
  <c r="AY29" i="4"/>
  <c r="BK29" i="4" s="1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BG40" i="4"/>
  <c r="AO40" i="4"/>
  <c r="AS40" i="4"/>
  <c r="AR40" i="4"/>
  <c r="BK30" i="4"/>
  <c r="AS30" i="4"/>
  <c r="AR30" i="4"/>
  <c r="AQ30" i="4"/>
  <c r="AP30" i="4"/>
  <c r="AO30" i="4"/>
  <c r="AN30" i="4"/>
  <c r="BP30" i="4"/>
  <c r="AR36" i="4"/>
  <c r="AO36" i="4"/>
  <c r="BR36" i="4"/>
  <c r="BQ36" i="4"/>
  <c r="AS36" i="4"/>
  <c r="AQ36" i="4"/>
  <c r="AP36" i="4"/>
  <c r="AN36" i="4"/>
  <c r="BI36" i="4"/>
  <c r="BK48" i="4"/>
  <c r="AS48" i="4"/>
  <c r="AP48" i="4"/>
  <c r="BR48" i="4"/>
  <c r="AN48" i="4"/>
  <c r="AR48" i="4"/>
  <c r="AQ48" i="4"/>
  <c r="AO48" i="4"/>
  <c r="H66" i="1"/>
  <c r="AJ58" i="4" s="1"/>
  <c r="J60" i="3" s="1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BL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AZ38" i="4" a="1"/>
  <c r="AZ38" i="4" s="1"/>
  <c r="AZ36" i="4" a="1"/>
  <c r="AZ36" i="4" s="1"/>
  <c r="BL36" i="4" s="1"/>
  <c r="AZ43" i="4" a="1"/>
  <c r="AZ43" i="4" s="1"/>
  <c r="BL43" i="4" s="1"/>
  <c r="BK17" i="4"/>
  <c r="BJ18" i="4"/>
  <c r="AQ19" i="4"/>
  <c r="AP20" i="4"/>
  <c r="AY22" i="4"/>
  <c r="BR22" i="4"/>
  <c r="BQ23" i="4"/>
  <c r="BP24" i="4"/>
  <c r="BP25" i="4"/>
  <c r="BN28" i="4"/>
  <c r="BM29" i="4"/>
  <c r="BN30" i="4"/>
  <c r="BK32" i="4"/>
  <c r="AR33" i="4"/>
  <c r="AR35" i="4"/>
  <c r="AP40" i="4"/>
  <c r="AQ46" i="4"/>
  <c r="BM56" i="4"/>
  <c r="BN42" i="4"/>
  <c r="BI42" i="4"/>
  <c r="BH42" i="4"/>
  <c r="AS42" i="4"/>
  <c r="AR42" i="4"/>
  <c r="AQ42" i="4"/>
  <c r="AP42" i="4"/>
  <c r="AO42" i="4"/>
  <c r="AR54" i="4"/>
  <c r="BQ54" i="4"/>
  <c r="AS54" i="4"/>
  <c r="AQ54" i="4"/>
  <c r="AP54" i="4"/>
  <c r="AO54" i="4"/>
  <c r="AN54" i="4"/>
  <c r="BP54" i="4"/>
  <c r="H56" i="1"/>
  <c r="C24" i="3" s="1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A30" i="4" a="1"/>
  <c r="BA30" i="4" s="1"/>
  <c r="BM30" i="4" s="1"/>
  <c r="BA51" i="4" a="1"/>
  <c r="BA51" i="4" s="1"/>
  <c r="BA45" i="4" a="1"/>
  <c r="BA45" i="4" s="1"/>
  <c r="BA29" i="4" a="1"/>
  <c r="BA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N15" i="4"/>
  <c r="AU17" i="4"/>
  <c r="AS18" i="4"/>
  <c r="BK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/>
  <c r="AX25" i="4" a="1"/>
  <c r="AX25" i="4" s="1"/>
  <c r="BE25" i="4"/>
  <c r="BQ25" i="4"/>
  <c r="AZ26" i="4" a="1"/>
  <c r="AZ26" i="4" s="1"/>
  <c r="BO27" i="4"/>
  <c r="BO28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BI52" i="4"/>
  <c r="AX53" i="4" a="1"/>
  <c r="AX53" i="4" s="1"/>
  <c r="BJ53" i="4" s="1"/>
  <c r="AQ37" i="4"/>
  <c r="AN37" i="4"/>
  <c r="BK37" i="4"/>
  <c r="BQ37" i="4"/>
  <c r="BP37" i="4"/>
  <c r="BO37" i="4"/>
  <c r="AS37" i="4"/>
  <c r="AR49" i="4"/>
  <c r="AO49" i="4"/>
  <c r="BL49" i="4"/>
  <c r="BK49" i="4"/>
  <c r="BI49" i="4"/>
  <c r="AS49" i="4"/>
  <c r="AQ49" i="4"/>
  <c r="AP49" i="4"/>
  <c r="AQ55" i="4"/>
  <c r="BK55" i="4"/>
  <c r="AS55" i="4"/>
  <c r="BL55" i="4"/>
  <c r="BJ55" i="4"/>
  <c r="AR55" i="4"/>
  <c r="AP55" i="4"/>
  <c r="AO55" i="4"/>
  <c r="AN55" i="4"/>
  <c r="H58" i="1"/>
  <c r="E24" i="3" s="1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B51" i="4" a="1"/>
  <c r="BB51" i="4" s="1"/>
  <c r="BB29" i="4" a="1"/>
  <c r="BB29" i="4" s="1"/>
  <c r="BB45" i="4" a="1"/>
  <c r="BB45" i="4" s="1"/>
  <c r="BB28" i="4" a="1"/>
  <c r="BB28" i="4" s="1"/>
  <c r="BB27" i="4" a="1"/>
  <c r="BB27" i="4" s="1"/>
  <c r="BB26" i="4" a="1"/>
  <c r="BB26" i="4" s="1"/>
  <c r="BB53" i="4" a="1"/>
  <c r="BB53" i="4" s="1"/>
  <c r="BN53" i="4" s="1"/>
  <c r="BB38" i="4" a="1"/>
  <c r="BB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B34" i="4" a="1"/>
  <c r="BB34" i="4" s="1"/>
  <c r="BO15" i="4"/>
  <c r="BN16" i="4"/>
  <c r="BM17" i="4"/>
  <c r="AU18" i="4"/>
  <c r="BB18" i="4" a="1"/>
  <c r="BB18" i="4" s="1"/>
  <c r="AS19" i="4"/>
  <c r="BK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F25" i="4"/>
  <c r="BR25" i="4"/>
  <c r="AO26" i="4"/>
  <c r="BA26" i="4" a="1"/>
  <c r="BA26" i="4" s="1"/>
  <c r="AN27" i="4"/>
  <c r="BP28" i="4"/>
  <c r="BO29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BN48" i="4"/>
  <c r="AY54" i="4"/>
  <c r="BK54" i="4" s="1"/>
  <c r="BK31" i="4"/>
  <c r="AS31" i="4"/>
  <c r="AR31" i="4"/>
  <c r="AQ31" i="4"/>
  <c r="BH31" i="4"/>
  <c r="AP31" i="4"/>
  <c r="BG31" i="4"/>
  <c r="AO31" i="4"/>
  <c r="BR31" i="4"/>
  <c r="BQ31" i="4"/>
  <c r="BP31" i="4"/>
  <c r="BM43" i="4"/>
  <c r="AS43" i="4"/>
  <c r="AR43" i="4"/>
  <c r="BR43" i="4"/>
  <c r="AQ43" i="4"/>
  <c r="AP43" i="4"/>
  <c r="BO43" i="4"/>
  <c r="AO43" i="4"/>
  <c r="AN43" i="4"/>
  <c r="H59" i="1"/>
  <c r="F24" i="3" s="1"/>
  <c r="BC50" i="4" a="1"/>
  <c r="BC50" i="4" s="1"/>
  <c r="BC56" i="4" a="1"/>
  <c r="BC56" i="4" s="1"/>
  <c r="BO56" i="4" s="1"/>
  <c r="BC45" i="4" a="1"/>
  <c r="BC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C27" i="4" a="1"/>
  <c r="BC27" i="4" s="1"/>
  <c r="BC26" i="4" a="1"/>
  <c r="BC26" i="4" s="1"/>
  <c r="BO26" i="4" s="1"/>
  <c r="BC44" i="4" a="1"/>
  <c r="BC44" i="4" s="1"/>
  <c r="BC38" i="4" a="1"/>
  <c r="BC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C33" i="4" a="1"/>
  <c r="BC33" i="4" s="1"/>
  <c r="BC32" i="4" a="1"/>
  <c r="BC32" i="4" s="1"/>
  <c r="BO16" i="4"/>
  <c r="BC17" i="4" a="1"/>
  <c r="BC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BG24" i="4"/>
  <c r="AO25" i="4"/>
  <c r="AP26" i="4"/>
  <c r="AR27" i="4"/>
  <c r="BQ27" i="4"/>
  <c r="BP29" i="4"/>
  <c r="AU30" i="4"/>
  <c r="BG30" i="4" s="1"/>
  <c r="BA33" i="4" a="1"/>
  <c r="BA33" i="4" s="1"/>
  <c r="BB37" i="4" a="1"/>
  <c r="BB37" i="4" s="1"/>
  <c r="BC46" i="4" a="1"/>
  <c r="BC46" i="4" s="1"/>
  <c r="BO46" i="4" s="1"/>
  <c r="BO48" i="4"/>
  <c r="AP56" i="4"/>
  <c r="AR56" i="4"/>
  <c r="BH56" i="4"/>
  <c r="AS56" i="4"/>
  <c r="AQ56" i="4"/>
  <c r="AO56" i="4"/>
  <c r="H60" i="1"/>
  <c r="G24" i="3" s="1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D30" i="4" a="1"/>
  <c r="BD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O17" i="4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O44" i="4"/>
  <c r="BL44" i="4"/>
  <c r="BJ44" i="4"/>
  <c r="AR44" i="4"/>
  <c r="AS44" i="4"/>
  <c r="AQ44" i="4"/>
  <c r="AP44" i="4"/>
  <c r="AO44" i="4"/>
  <c r="AN44" i="4"/>
  <c r="BM44" i="4"/>
  <c r="H61" i="1"/>
  <c r="H24" i="3" s="1"/>
  <c r="BE47" i="4"/>
  <c r="BQ47" i="4" s="1"/>
  <c r="BE54" i="4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B58" i="4"/>
  <c r="AN15" i="4"/>
  <c r="AY15" i="4"/>
  <c r="BK15" i="4" s="1"/>
  <c r="BR15" i="4"/>
  <c r="AX16" i="4" a="1"/>
  <c r="AX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BJ23" i="4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L28" i="4"/>
  <c r="BK28" i="4"/>
  <c r="AS28" i="4"/>
  <c r="BJ28" i="4"/>
  <c r="AR28" i="4"/>
  <c r="AQ28" i="4"/>
  <c r="AP28" i="4"/>
  <c r="AO28" i="4"/>
  <c r="BR28" i="4"/>
  <c r="AN28" i="4"/>
  <c r="BN26" i="4"/>
  <c r="BM26" i="4"/>
  <c r="BL26" i="4"/>
  <c r="AR32" i="4"/>
  <c r="AQ32" i="4"/>
  <c r="AP32" i="4"/>
  <c r="AO32" i="4"/>
  <c r="AN32" i="4"/>
  <c r="BQ32" i="4"/>
  <c r="BO32" i="4"/>
  <c r="AQ38" i="4"/>
  <c r="BO38" i="4"/>
  <c r="AS38" i="4"/>
  <c r="BN38" i="4"/>
  <c r="AR38" i="4"/>
  <c r="BM38" i="4"/>
  <c r="AP38" i="4"/>
  <c r="BL38" i="4"/>
  <c r="AO38" i="4"/>
  <c r="BK38" i="4"/>
  <c r="AQ50" i="4"/>
  <c r="AN50" i="4"/>
  <c r="BP50" i="4"/>
  <c r="BO50" i="4"/>
  <c r="BM50" i="4"/>
  <c r="BL50" i="4"/>
  <c r="BK50" i="4"/>
  <c r="AS50" i="4"/>
  <c r="AR50" i="4"/>
  <c r="H55" i="1"/>
  <c r="BN27" i="4"/>
  <c r="BM27" i="4"/>
  <c r="BL27" i="4"/>
  <c r="AS27" i="4"/>
  <c r="BI27" i="4"/>
  <c r="AQ27" i="4"/>
  <c r="AP27" i="4"/>
  <c r="AO27" i="4"/>
  <c r="BI33" i="4"/>
  <c r="AQ33" i="4"/>
  <c r="BH33" i="4"/>
  <c r="AP33" i="4"/>
  <c r="BG33" i="4"/>
  <c r="AO33" i="4"/>
  <c r="AN33" i="4"/>
  <c r="BQ33" i="4"/>
  <c r="BP33" i="4"/>
  <c r="BO33" i="4"/>
  <c r="BN33" i="4"/>
  <c r="BM33" i="4"/>
  <c r="BH39" i="4"/>
  <c r="AP39" i="4"/>
  <c r="BO39" i="4"/>
  <c r="BN39" i="4"/>
  <c r="AO39" i="4"/>
  <c r="BM39" i="4"/>
  <c r="AN39" i="4"/>
  <c r="BK39" i="4"/>
  <c r="BI39" i="4"/>
  <c r="BG39" i="4"/>
  <c r="BN45" i="4"/>
  <c r="BK45" i="4"/>
  <c r="AS45" i="4"/>
  <c r="AQ45" i="4"/>
  <c r="BQ45" i="4"/>
  <c r="AP45" i="4"/>
  <c r="BP45" i="4"/>
  <c r="AO45" i="4"/>
  <c r="BO45" i="4"/>
  <c r="AN45" i="4"/>
  <c r="BM45" i="4"/>
  <c r="BM51" i="4"/>
  <c r="AP51" i="4"/>
  <c r="BQ51" i="4"/>
  <c r="AO51" i="4"/>
  <c r="BR51" i="4"/>
  <c r="AN51" i="4"/>
  <c r="BN51" i="4"/>
  <c r="BK51" i="4"/>
  <c r="BF53" i="4"/>
  <c r="BF41" i="4"/>
  <c r="BR41" i="4" s="1"/>
  <c r="BF50" i="4"/>
  <c r="BR50" i="4" s="1"/>
  <c r="BF38" i="4"/>
  <c r="BR38" i="4" s="1"/>
  <c r="BF37" i="4"/>
  <c r="BR37" i="4" s="1"/>
  <c r="BF48" i="4"/>
  <c r="BF43" i="4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F30" i="4"/>
  <c r="BR30" i="4" s="1"/>
  <c r="BF29" i="4"/>
  <c r="BF39" i="4"/>
  <c r="BR39" i="4" s="1"/>
  <c r="BF28" i="4"/>
  <c r="BF45" i="4"/>
  <c r="BR45" i="4" s="1"/>
  <c r="AC58" i="4"/>
  <c r="AO15" i="4"/>
  <c r="BG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BM31" i="4"/>
  <c r="AS32" i="4"/>
  <c r="AR34" i="4"/>
  <c r="BN37" i="4"/>
  <c r="AW38" i="4" a="1"/>
  <c r="AW38" i="4" s="1"/>
  <c r="BI38" i="4" s="1"/>
  <c r="BO40" i="4"/>
  <c r="AZ41" i="4" a="1"/>
  <c r="AZ41" i="4" s="1"/>
  <c r="AX44" i="4" a="1"/>
  <c r="AX44" i="4" s="1"/>
  <c r="BQ46" i="4"/>
  <c r="AZ47" i="4" a="1"/>
  <c r="AZ47" i="4" s="1"/>
  <c r="BL47" i="4" s="1"/>
  <c r="AP50" i="4"/>
  <c r="AQ51" i="4"/>
  <c r="BM54" i="4"/>
  <c r="AZ55" i="4" a="1"/>
  <c r="AZ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AU56" i="4" a="1"/>
  <c r="AU56" i="4" s="1"/>
  <c r="BG56" i="4" s="1"/>
  <c r="AU49" i="4"/>
  <c r="BG49" i="4" s="1"/>
  <c r="AU50" i="4"/>
  <c r="BG50" i="4" s="1"/>
  <c r="AU40" i="4"/>
  <c r="AU46" i="4"/>
  <c r="BG46" i="4" s="1"/>
  <c r="AU37" i="4"/>
  <c r="BG37" i="4" s="1"/>
  <c r="AU51" i="4"/>
  <c r="BG51" i="4" s="1"/>
  <c r="AU39" i="4"/>
  <c r="AU34" i="4"/>
  <c r="BG34" i="4" s="1"/>
  <c r="AD58" i="4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E18" i="4"/>
  <c r="BQ18" i="4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K25" i="4"/>
  <c r="BF26" i="4"/>
  <c r="BR26" i="4" s="1"/>
  <c r="AX27" i="4" a="1"/>
  <c r="AX27" i="4" s="1"/>
  <c r="BJ27" i="4" s="1"/>
  <c r="AX28" i="4" a="1"/>
  <c r="AX28" i="4" s="1"/>
  <c r="BB30" i="4" a="1"/>
  <c r="BB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AV34" i="4"/>
  <c r="BH34" i="4" s="1"/>
  <c r="AV35" i="4"/>
  <c r="BH35" i="4" s="1"/>
  <c r="AV33" i="4"/>
  <c r="AE58" i="4"/>
  <c r="AQ15" i="4"/>
  <c r="BI15" i="4"/>
  <c r="AP16" i="4"/>
  <c r="AZ16" i="4" a="1"/>
  <c r="AZ16" i="4" s="1"/>
  <c r="BL16" i="4" s="1"/>
  <c r="BH16" i="4"/>
  <c r="AO17" i="4"/>
  <c r="BG17" i="4"/>
  <c r="AN18" i="4"/>
  <c r="AY18" i="4"/>
  <c r="BF18" i="4"/>
  <c r="BR18" i="4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N22" i="4"/>
  <c r="AV23" i="4"/>
  <c r="BH23" i="4" s="1"/>
  <c r="AU24" i="4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H64" i="1"/>
  <c r="K24" i="3" s="1"/>
  <c r="AW49" i="4" a="1"/>
  <c r="AW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AW33" i="4" a="1"/>
  <c r="AW33" i="4" s="1"/>
  <c r="AW32" i="4" a="1"/>
  <c r="AW32" i="4" s="1"/>
  <c r="BI32" i="4" s="1"/>
  <c r="AW45" i="4" a="1"/>
  <c r="AW45" i="4" s="1"/>
  <c r="BI45" i="4" s="1"/>
  <c r="AW31" i="4" a="1"/>
  <c r="AW31" i="4" s="1"/>
  <c r="BI31" i="4" s="1"/>
  <c r="AF58" i="4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F19" i="4"/>
  <c r="BR19" i="4"/>
  <c r="BE20" i="4"/>
  <c r="BQ20" i="4" s="1"/>
  <c r="BD21" i="4" a="1"/>
  <c r="BD21" i="4" s="1"/>
  <c r="BP21" i="4"/>
  <c r="AW22" i="4" a="1"/>
  <c r="AW22" i="4" s="1"/>
  <c r="BI22" i="4" s="1"/>
  <c r="BO22" i="4"/>
  <c r="BC23" i="4" a="1"/>
  <c r="BC23" i="4" s="1"/>
  <c r="BO23" i="4" s="1"/>
  <c r="AV24" i="4"/>
  <c r="BH24" i="4" s="1"/>
  <c r="BM24" i="4"/>
  <c r="AV25" i="4"/>
  <c r="BH25" i="4" s="1"/>
  <c r="BM25" i="4"/>
  <c r="BH26" i="4"/>
  <c r="BC29" i="4" a="1"/>
  <c r="BC29" i="4" s="1"/>
  <c r="BC30" i="4" a="1"/>
  <c r="BC30" i="4" s="1"/>
  <c r="BO30" i="4" s="1"/>
  <c r="BA34" i="4" a="1"/>
  <c r="BA34" i="4" s="1"/>
  <c r="BE38" i="4"/>
  <c r="BQ38" i="4" s="1"/>
  <c r="AR39" i="4"/>
  <c r="BK41" i="4"/>
  <c r="BH44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G58" i="4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BL41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Q55" i="4"/>
  <c r="AZ56" i="4" a="1"/>
  <c r="AZ56" i="4" s="1"/>
  <c r="BL56" i="4" s="1"/>
  <c r="BE58" i="4" l="1"/>
  <c r="AU58" i="4"/>
  <c r="AK58" i="4"/>
  <c r="K60" i="3" s="1"/>
  <c r="AI58" i="4"/>
  <c r="I60" i="3" s="1"/>
  <c r="BF58" i="4"/>
  <c r="AL58" i="4"/>
  <c r="L60" i="3" s="1"/>
  <c r="AM58" i="4"/>
  <c r="M60" i="3" s="1"/>
  <c r="AH58" i="4"/>
  <c r="H60" i="3" s="1"/>
  <c r="BK58" i="4"/>
  <c r="BP58" i="4"/>
  <c r="BG58" i="4"/>
  <c r="BD58" i="4"/>
  <c r="AP58" i="4"/>
  <c r="AO58" i="4"/>
  <c r="B24" i="3"/>
  <c r="H67" i="1"/>
  <c r="H25" i="3" s="1"/>
  <c r="M24" i="3"/>
  <c r="G31" i="3"/>
  <c r="BI58" i="4"/>
  <c r="AQ58" i="4"/>
  <c r="AV58" i="4"/>
  <c r="AS58" i="4"/>
  <c r="AW58" i="4"/>
  <c r="BM58" i="4"/>
  <c r="AX58" i="4"/>
  <c r="BQ58" i="4"/>
  <c r="BN58" i="4"/>
  <c r="AY58" i="4"/>
  <c r="AZ58" i="4"/>
  <c r="BR58" i="4"/>
  <c r="BO58" i="4"/>
  <c r="AR58" i="4"/>
  <c r="BA58" i="4"/>
  <c r="BJ58" i="4"/>
  <c r="BB58" i="4"/>
  <c r="BH58" i="4"/>
  <c r="AN58" i="4"/>
  <c r="BC58" i="4"/>
  <c r="BL58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<sst xmlns="http://schemas.openxmlformats.org/spreadsheetml/2006/main" count="314" uniqueCount="164">
  <si>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</si>
  <si>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</si>
  <si>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</si>
  <si>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</si>
  <si>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</si>
  <si>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</si>
  <si>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</si>
  <si>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</si>
  <si>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</si>
  <si>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</si>
  <si>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</si>
  <si>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</si>
  <si>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</si>
  <si>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</si>
  <si>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</si>
  <si>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</si>
  <si>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</si>
  <si>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</si>
  <si>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</si>
  <si>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</si>
  <si>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</si>
  <si>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</si>
  <si>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</si>
  <si>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</si>
  <si>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</si>
  <si>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</si>
  <si>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</si>
  <si>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</si>
  <si>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</si>
  <si>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85% to 94%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</si>
  <si>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</si>
  <si>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</si>
  <si>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</si>
  <si>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</si>
  <si>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</si>
  <si>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</si>
  <si>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</si>
  <si>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</si>
  <si>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</si>
  <si>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</si>
  <si>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</si>
  <si>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</si>
  <si>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</si>
  <si>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</si>
  <si>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</si>
  <si>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</si>
  <si>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</si>
  <si>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</si>
  <si>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55% to 59%</t>
  </si>
  <si>
    <t>C</t>
  </si>
  <si>
    <t>50% to 54%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</si>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</sst>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6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94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3" xfId="0" applyNumberFormat="1" applyFont="1" applyFill="1" applyBorder="1" applyAlignment="1">
      <alignment horizontal="center" vertical="center"/>
    </xf>
    <xf numFmtId="2" fontId="7" fillId="2" borderId="73" xfId="0" applyNumberFormat="1" applyFont="1" applyFill="1" applyBorder="1" applyAlignment="1">
      <alignment horizontal="center" vertical="center"/>
    </xf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5" fillId="2" borderId="76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7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8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9" xfId="0" applyNumberFormat="1" applyFont="1" applyBorder="1" applyAlignment="1">
      <alignment horizontal="center"/>
    </xf>
    <xf numFmtId="1" fontId="7" fillId="0" borderId="50" xfId="0" applyFont="1" applyBorder="1" applyAlignment="1">
      <alignment horizontal="center" wrapText="1"/>
    </xf>
    <xf numFmtId="49" fontId="5" fillId="0" borderId="0" xfId="0" applyNumberFormat="1" applyFont="1" applyAlignment="1">
      <alignment vertical="top"/>
    </xf>
    <xf numFmtId="1" fontId="5" fillId="0" borderId="0" xfId="0" applyFont="1" applyAlignment="1">
      <alignment vertical="top"/>
    </xf>
    <xf numFmtId="2" fontId="5" fillId="11" borderId="80" xfId="0" applyNumberFormat="1" applyFont="1" applyFill="1" applyBorder="1"/>
    <xf numFmtId="2" fontId="5" fillId="2" borderId="80" xfId="0" applyNumberFormat="1" applyFont="1" applyFill="1" applyBorder="1"/>
    <xf numFmtId="2" fontId="5" fillId="2" borderId="72" xfId="0" applyNumberFormat="1" applyFont="1" applyFill="1" applyBorder="1"/>
    <xf numFmtId="2" fontId="7" fillId="0" borderId="18" xfId="0" applyNumberFormat="1" applyFont="1" applyBorder="1" applyAlignment="1">
      <alignment horizontal="center"/>
    </xf>
    <xf numFmtId="9" fontId="7" fillId="0" borderId="28" xfId="0" applyNumberFormat="1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5" fillId="0" borderId="0" xfId="0" applyFont="1"/>
    <xf numFmtId="9" fontId="7" fillId="0" borderId="0" xfId="0" applyNumberFormat="1" applyFont="1" applyAlignment="1">
      <alignment horizontal="center"/>
    </xf>
    <xf numFmtId="1" fontId="16" fillId="6" borderId="8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1" fontId="16" fillId="0" borderId="0" xfId="0" applyFont="1"/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7" xfId="0" applyFont="1" applyFill="1" applyBorder="1" applyAlignment="1">
      <alignment horizontal="center" vertical="center" wrapText="1"/>
    </xf>
    <xf numFmtId="164" fontId="9" fillId="12" borderId="82" xfId="0" applyNumberFormat="1" applyFont="1" applyFill="1" applyBorder="1" applyAlignment="1">
      <alignment horizontal="center" vertical="center"/>
    </xf>
    <xf numFmtId="0" fontId="9" fillId="12" borderId="82" xfId="0" applyNumberFormat="1" applyFont="1" applyFill="1" applyBorder="1" applyAlignment="1">
      <alignment horizontal="center" vertical="center"/>
    </xf>
    <xf numFmtId="1" fontId="9" fillId="12" borderId="83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90" xfId="0" applyNumberFormat="1" applyFont="1" applyFill="1" applyBorder="1" applyAlignment="1">
      <alignment horizontal="center"/>
    </xf>
    <xf numFmtId="0" fontId="11" fillId="13" borderId="9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3" fillId="0" borderId="8" xfId="0" applyNumberFormat="1" applyFont="1" applyBorder="1"/>
    <xf numFmtId="0" fontId="11" fillId="0" borderId="2" xfId="0" applyNumberFormat="1" applyFont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1" fontId="16" fillId="0" borderId="53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52" xfId="0" applyNumberFormat="1" applyFont="1" applyBorder="1"/>
    <xf numFmtId="1" fontId="16" fillId="6" borderId="49" xfId="0" applyFont="1" applyFill="1" applyBorder="1" applyAlignment="1">
      <alignment horizontal="center" vertical="center"/>
    </xf>
    <xf numFmtId="0" fontId="3" fillId="0" borderId="46" xfId="0" applyNumberFormat="1" applyFont="1" applyBorder="1"/>
    <xf numFmtId="1" fontId="17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49" xfId="0" applyFont="1" applyBorder="1" applyAlignment="1">
      <alignment horizontal="center"/>
    </xf>
    <xf numFmtId="0" fontId="3" fillId="0" borderId="48" xfId="0" applyNumberFormat="1" applyFont="1" applyBorder="1"/>
    <xf numFmtId="1" fontId="16" fillId="0" borderId="27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1" fontId="16" fillId="10" borderId="49" xfId="0" applyFont="1" applyFill="1" applyBorder="1" applyAlignment="1">
      <alignment horizontal="center"/>
    </xf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0" fontId="9" fillId="0" borderId="84" xfId="0" applyNumberFormat="1" applyFont="1" applyBorder="1" applyAlignment="1">
      <alignment horizontal="center" vertical="center"/>
    </xf>
    <xf numFmtId="0" fontId="3" fillId="0" borderId="85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6" xfId="0" applyNumberFormat="1" applyFont="1" applyBorder="1" applyAlignment="1">
      <alignment horizontal="center" vertical="center" wrapText="1"/>
    </xf>
    <xf numFmtId="0" fontId="3" fillId="0" borderId="88" xfId="0" applyNumberFormat="1" applyFont="1" applyBorder="1"/>
    <xf numFmtId="0" fontId="3" fillId="0" borderId="89" xfId="0" applyNumberFormat="1" applyFont="1" applyBorder="1"/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1" fontId="6" fillId="0" borderId="5" xfId="0" applyFont="1" applyBorder="1" applyAlignment="1">
      <alignment horizontal="center" vertical="center"/>
    </xf>
    <xf numFmtId="0" fontId="7" fillId="0" borderId="90" xfId="0" applyNumberFormat="1" applyFont="1" applyBorder="1" applyAlignment="1">
      <alignment horizontal="center" vertical="top"/>
    </xf>
    <xf numFmtId="2" fontId="7" fillId="11" borderId="75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2" xfId="0" applyNumberFormat="1" applyFont="1" applyFill="1" applyBorder="1" applyAlignment="1">
      <alignment horizontal="center"/>
    </xf>
    <xf numFmtId="2" fontId="7" fillId="11" borderId="92" xfId="0" applyNumberFormat="1" applyFont="1" applyFill="1" applyBorder="1" applyAlignment="1">
      <alignment horizontal="center" vertical="center"/>
    </xf>
    <xf numFmtId="0" fontId="8" fillId="11" borderId="92" xfId="0" applyNumberFormat="1" applyFont="1" applyFill="1" applyBorder="1" applyAlignment="1">
      <alignment horizontal="center"/>
    </xf>
    <xf numFmtId="2" fontId="7" fillId="2" borderId="9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GradeSheet!$G$55:$G$66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GradeSheet!$H$55:$H$66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53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workbookViewId="0">
      <selection activeCell="C9" sqref="C9"/>
    </sheetView>
  </sheetViews>
  <sheetFormatPr defaultColWidth="14.42578125" defaultRowHeight="15" customHeight="1"/>
  <cols>
    <col min="1" max="1" width="4.42578125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8.28515625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08" t="s">
        <v>1</v>
      </c>
      <c r="I2" s="209"/>
      <c r="J2" s="210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08" t="s">
        <v>4</v>
      </c>
      <c r="I3" s="209"/>
      <c r="J3" s="210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08">
        <v>3</v>
      </c>
      <c r="I4" s="209"/>
      <c r="J4" s="210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08" t="s">
        <v>10</v>
      </c>
      <c r="I5" s="209"/>
      <c r="J5" s="210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11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09"/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32</v>
      </c>
      <c r="S8" s="12" t="s">
        <v>41</v>
      </c>
      <c r="T8" s="13" t="s">
        <v>163</v>
      </c>
      <c r="U8" s="14" t="s">
        <v>41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285" t="s">
        <v>16</v>
      </c>
      <c r="D9" s="13" t="str">
        <f>CONCATENATE("Attendance (",GradeSheet!$C$55, ")")</f>
        <v>Attendance (5)</v>
      </c>
      <c r="E9" s="13" t="str">
        <f>CONCATENATE("Performance (",GradeSheet!$C$56, ")")</f>
        <v>Performance (5)</v>
      </c>
      <c r="F9" s="17" t="str">
        <f>CONCATENATE("Quiz (",GradeSheet!$C$57, ")")</f>
        <v>Quiz (15)</v>
      </c>
      <c r="G9" s="13" t="str">
        <f>CONCATENATE("Assignment (",GradeSheet!$C$58, ")")</f>
        <v>Assignment (10)</v>
      </c>
      <c r="H9" s="17" t="str">
        <f>CONCATENATE("Midterm (",GradeSheet!$C$59, ")")</f>
        <v>Midterm (25)</v>
      </c>
      <c r="I9" s="16" t="str">
        <f>CONCATENATE("Project (",GradeSheet!$C$60, ")")</f>
        <v>Project (0)</v>
      </c>
      <c r="J9" s="16" t="str">
        <f>CONCATENATE("Final (",GradeSheet!$C$61, ")")</f>
        <v>Final (40)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C55</f>
        <v>5</v>
      </c>
      <c r="Q9" s="19">
        <f>C56</f>
        <v>5</v>
      </c>
      <c r="R9" s="19">
        <f>C57</f>
        <v>15</v>
      </c>
      <c r="S9" s="19">
        <f>C58</f>
        <v>10</v>
      </c>
      <c r="T9" s="19">
        <f>C59</f>
        <v>25</v>
      </c>
      <c r="U9" s="19">
        <f>C60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2"/>
      <c r="C10" s="23"/>
      <c r="D10" s="24"/>
      <c r="E10" s="24"/>
      <c r="F10" s="25"/>
      <c r="G10" s="25"/>
      <c r="H10" s="25"/>
      <c r="I10" s="26"/>
      <c r="J10" s="26"/>
      <c r="K10" s="26"/>
      <c r="L10" s="27">
        <f t="shared" ref="L10:L51" si="0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2"/>
      <c r="Y10" s="1"/>
      <c r="Z10" s="1"/>
      <c r="AA10" s="1"/>
    </row>
    <row r="11" spans="1:27" ht="15.75" customHeight="1">
      <c r="A11" s="31">
        <v>2</v>
      </c>
      <c r="B11" s="22"/>
      <c r="C11" s="23"/>
      <c r="D11" s="24"/>
      <c r="E11" s="24"/>
      <c r="F11" s="25"/>
      <c r="G11" s="25"/>
      <c r="H11" s="25"/>
      <c r="I11" s="26"/>
      <c r="J11" s="26"/>
      <c r="K11" s="26"/>
      <c r="L11" s="27">
        <f t="shared" si="0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2"/>
      <c r="C12" s="23"/>
      <c r="D12" s="24"/>
      <c r="E12" s="24"/>
      <c r="F12" s="25"/>
      <c r="G12" s="25"/>
      <c r="H12" s="25"/>
      <c r="I12" s="26"/>
      <c r="J12" s="26"/>
      <c r="K12" s="26"/>
      <c r="L12" s="27">
        <f t="shared" si="0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2"/>
      <c r="C13" s="23"/>
      <c r="D13" s="24"/>
      <c r="E13" s="24"/>
      <c r="F13" s="25"/>
      <c r="G13" s="25"/>
      <c r="H13" s="25"/>
      <c r="I13" s="26"/>
      <c r="J13" s="26"/>
      <c r="K13" s="26"/>
      <c r="L13" s="27">
        <f t="shared" si="0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2"/>
      <c r="C14" s="23"/>
      <c r="D14" s="24"/>
      <c r="E14" s="24"/>
      <c r="F14" s="25"/>
      <c r="G14" s="25"/>
      <c r="H14" s="25"/>
      <c r="I14" s="26"/>
      <c r="J14" s="26"/>
      <c r="K14" s="26"/>
      <c r="L14" s="27">
        <f t="shared" si="0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2"/>
      <c r="C15" s="23"/>
      <c r="D15" s="24"/>
      <c r="E15" s="24"/>
      <c r="F15" s="25"/>
      <c r="G15" s="25"/>
      <c r="H15" s="25"/>
      <c r="I15" s="26"/>
      <c r="J15" s="26"/>
      <c r="K15" s="26"/>
      <c r="L15" s="27">
        <f t="shared" si="0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2"/>
      <c r="C16" s="23"/>
      <c r="D16" s="24"/>
      <c r="E16" s="24"/>
      <c r="F16" s="25"/>
      <c r="G16" s="25"/>
      <c r="H16" s="25"/>
      <c r="I16" s="26"/>
      <c r="J16" s="26"/>
      <c r="K16" s="26"/>
      <c r="L16" s="27">
        <f t="shared" si="0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2"/>
      <c r="C17" s="23"/>
      <c r="D17" s="24"/>
      <c r="E17" s="24"/>
      <c r="F17" s="25"/>
      <c r="G17" s="25"/>
      <c r="H17" s="25"/>
      <c r="I17" s="26"/>
      <c r="J17" s="26"/>
      <c r="K17" s="26"/>
      <c r="L17" s="27">
        <f t="shared" si="0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2"/>
      <c r="C18" s="23"/>
      <c r="D18" s="24"/>
      <c r="E18" s="24"/>
      <c r="F18" s="25"/>
      <c r="G18" s="25"/>
      <c r="H18" s="25"/>
      <c r="I18" s="26"/>
      <c r="J18" s="26"/>
      <c r="K18" s="26"/>
      <c r="L18" s="27">
        <f t="shared" si="0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32"/>
      <c r="C19" s="23"/>
      <c r="D19" s="24"/>
      <c r="E19" s="24"/>
      <c r="F19" s="25"/>
      <c r="G19" s="25"/>
      <c r="H19" s="25"/>
      <c r="I19" s="26"/>
      <c r="J19" s="26"/>
      <c r="K19" s="26"/>
      <c r="L19" s="27">
        <f t="shared" si="0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2"/>
      <c r="C20" s="23"/>
      <c r="D20" s="24"/>
      <c r="E20" s="24"/>
      <c r="F20" s="25"/>
      <c r="G20" s="25"/>
      <c r="H20" s="25"/>
      <c r="I20" s="26"/>
      <c r="J20" s="26"/>
      <c r="K20" s="26"/>
      <c r="L20" s="27">
        <f t="shared" si="0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2"/>
      <c r="C21" s="23"/>
      <c r="D21" s="24"/>
      <c r="E21" s="24"/>
      <c r="F21" s="25"/>
      <c r="G21" s="25"/>
      <c r="H21" s="25"/>
      <c r="I21" s="26"/>
      <c r="J21" s="26"/>
      <c r="K21" s="26"/>
      <c r="L21" s="27">
        <f t="shared" si="0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2"/>
      <c r="C22" s="23"/>
      <c r="D22" s="24"/>
      <c r="E22" s="24"/>
      <c r="F22" s="25"/>
      <c r="G22" s="25"/>
      <c r="H22" s="25"/>
      <c r="I22" s="26"/>
      <c r="J22" s="26"/>
      <c r="K22" s="26"/>
      <c r="L22" s="27">
        <f t="shared" si="0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2"/>
      <c r="C23" s="23"/>
      <c r="D23" s="24"/>
      <c r="E23" s="24"/>
      <c r="F23" s="25"/>
      <c r="G23" s="25"/>
      <c r="H23" s="25"/>
      <c r="I23" s="26"/>
      <c r="J23" s="26"/>
      <c r="K23" s="26"/>
      <c r="L23" s="27">
        <f t="shared" si="0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2"/>
      <c r="C24" s="23"/>
      <c r="D24" s="24"/>
      <c r="E24" s="24"/>
      <c r="F24" s="25"/>
      <c r="G24" s="25"/>
      <c r="H24" s="25"/>
      <c r="I24" s="26"/>
      <c r="J24" s="26"/>
      <c r="K24" s="26"/>
      <c r="L24" s="27">
        <f t="shared" si="0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2"/>
      <c r="C25" s="23"/>
      <c r="D25" s="24"/>
      <c r="E25" s="24"/>
      <c r="F25" s="25"/>
      <c r="G25" s="25"/>
      <c r="H25" s="25"/>
      <c r="I25" s="26"/>
      <c r="J25" s="26"/>
      <c r="K25" s="26"/>
      <c r="L25" s="27">
        <f t="shared" si="0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2"/>
      <c r="C26" s="23"/>
      <c r="D26" s="24"/>
      <c r="E26" s="24"/>
      <c r="F26" s="25"/>
      <c r="G26" s="25"/>
      <c r="H26" s="25"/>
      <c r="I26" s="26"/>
      <c r="J26" s="26"/>
      <c r="K26" s="26"/>
      <c r="L26" s="27">
        <f t="shared" si="0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2"/>
      <c r="C27" s="23"/>
      <c r="D27" s="24"/>
      <c r="E27" s="24"/>
      <c r="F27" s="25"/>
      <c r="G27" s="25"/>
      <c r="H27" s="25"/>
      <c r="I27" s="26"/>
      <c r="J27" s="26"/>
      <c r="K27" s="26"/>
      <c r="L27" s="27">
        <f t="shared" si="0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2"/>
      <c r="C28" s="23"/>
      <c r="D28" s="24"/>
      <c r="E28" s="24"/>
      <c r="F28" s="25"/>
      <c r="G28" s="25"/>
      <c r="H28" s="25"/>
      <c r="I28" s="26"/>
      <c r="J28" s="26"/>
      <c r="K28" s="26"/>
      <c r="L28" s="27">
        <f t="shared" si="0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2"/>
      <c r="C29" s="23"/>
      <c r="D29" s="24"/>
      <c r="E29" s="24"/>
      <c r="F29" s="25"/>
      <c r="G29" s="25"/>
      <c r="H29" s="25"/>
      <c r="I29" s="26"/>
      <c r="J29" s="26"/>
      <c r="K29" s="26"/>
      <c r="L29" s="27">
        <f t="shared" si="0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2"/>
      <c r="C30" s="23"/>
      <c r="D30" s="24"/>
      <c r="E30" s="24"/>
      <c r="F30" s="25"/>
      <c r="G30" s="25"/>
      <c r="H30" s="25"/>
      <c r="I30" s="26"/>
      <c r="J30" s="26"/>
      <c r="K30" s="26"/>
      <c r="L30" s="27">
        <f t="shared" si="0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2"/>
      <c r="C31" s="23"/>
      <c r="D31" s="24"/>
      <c r="E31" s="24"/>
      <c r="F31" s="25"/>
      <c r="G31" s="25"/>
      <c r="H31" s="25"/>
      <c r="I31" s="26"/>
      <c r="J31" s="26"/>
      <c r="K31" s="26"/>
      <c r="L31" s="27">
        <f t="shared" si="0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2"/>
      <c r="C32" s="23"/>
      <c r="D32" s="24"/>
      <c r="E32" s="24"/>
      <c r="F32" s="25"/>
      <c r="G32" s="25"/>
      <c r="H32" s="25"/>
      <c r="I32" s="26"/>
      <c r="J32" s="26"/>
      <c r="K32" s="26"/>
      <c r="L32" s="27">
        <f t="shared" si="0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2"/>
      <c r="C33" s="23"/>
      <c r="D33" s="24"/>
      <c r="E33" s="24"/>
      <c r="F33" s="25"/>
      <c r="G33" s="25"/>
      <c r="H33" s="25"/>
      <c r="I33" s="26"/>
      <c r="J33" s="26"/>
      <c r="K33" s="26"/>
      <c r="L33" s="27">
        <f t="shared" si="0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2"/>
      <c r="C34" s="23"/>
      <c r="D34" s="24"/>
      <c r="E34" s="24"/>
      <c r="F34" s="25"/>
      <c r="G34" s="25"/>
      <c r="H34" s="25"/>
      <c r="I34" s="26"/>
      <c r="J34" s="26"/>
      <c r="K34" s="26"/>
      <c r="L34" s="27">
        <f t="shared" si="0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2"/>
      <c r="C35" s="23"/>
      <c r="D35" s="24"/>
      <c r="E35" s="24"/>
      <c r="F35" s="25"/>
      <c r="G35" s="25"/>
      <c r="H35" s="25"/>
      <c r="I35" s="26"/>
      <c r="J35" s="26"/>
      <c r="K35" s="26"/>
      <c r="L35" s="27">
        <f t="shared" si="0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2"/>
      <c r="C36" s="23"/>
      <c r="D36" s="24"/>
      <c r="E36" s="24"/>
      <c r="F36" s="25"/>
      <c r="G36" s="25"/>
      <c r="H36" s="25"/>
      <c r="I36" s="26"/>
      <c r="J36" s="26"/>
      <c r="K36" s="26"/>
      <c r="L36" s="27">
        <f t="shared" si="0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2"/>
      <c r="C37" s="23"/>
      <c r="D37" s="24"/>
      <c r="E37" s="24"/>
      <c r="F37" s="25"/>
      <c r="G37" s="25"/>
      <c r="H37" s="25"/>
      <c r="I37" s="26"/>
      <c r="J37" s="26"/>
      <c r="K37" s="26"/>
      <c r="L37" s="27">
        <f t="shared" si="0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2"/>
      <c r="C38" s="23"/>
      <c r="D38" s="24"/>
      <c r="E38" s="24"/>
      <c r="F38" s="25"/>
      <c r="G38" s="25"/>
      <c r="H38" s="25"/>
      <c r="I38" s="26"/>
      <c r="J38" s="26"/>
      <c r="K38" s="26"/>
      <c r="L38" s="27">
        <f t="shared" si="0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2"/>
      <c r="C39" s="23"/>
      <c r="D39" s="24"/>
      <c r="E39" s="24"/>
      <c r="F39" s="25"/>
      <c r="G39" s="25"/>
      <c r="H39" s="25"/>
      <c r="I39" s="26"/>
      <c r="J39" s="26"/>
      <c r="K39" s="26"/>
      <c r="L39" s="27">
        <f t="shared" si="0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2"/>
      <c r="C40" s="23"/>
      <c r="D40" s="24"/>
      <c r="E40" s="24"/>
      <c r="F40" s="25"/>
      <c r="G40" s="25"/>
      <c r="H40" s="25"/>
      <c r="I40" s="26"/>
      <c r="J40" s="26"/>
      <c r="K40" s="26"/>
      <c r="L40" s="27">
        <f t="shared" si="0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2"/>
      <c r="C41" s="23"/>
      <c r="D41" s="24"/>
      <c r="E41" s="24"/>
      <c r="F41" s="25"/>
      <c r="G41" s="25"/>
      <c r="H41" s="25"/>
      <c r="I41" s="26"/>
      <c r="J41" s="26"/>
      <c r="K41" s="26"/>
      <c r="L41" s="27">
        <f t="shared" si="0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2"/>
      <c r="C42" s="23"/>
      <c r="D42" s="24"/>
      <c r="E42" s="24"/>
      <c r="F42" s="25"/>
      <c r="G42" s="25"/>
      <c r="H42" s="25"/>
      <c r="I42" s="26"/>
      <c r="J42" s="26"/>
      <c r="K42" s="26"/>
      <c r="L42" s="27">
        <f t="shared" si="0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2"/>
      <c r="C43" s="23"/>
      <c r="D43" s="24"/>
      <c r="E43" s="24"/>
      <c r="F43" s="25"/>
      <c r="G43" s="25"/>
      <c r="H43" s="25"/>
      <c r="I43" s="26"/>
      <c r="J43" s="26"/>
      <c r="K43" s="26"/>
      <c r="L43" s="27">
        <f t="shared" si="0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2"/>
      <c r="C44" s="23"/>
      <c r="D44" s="24"/>
      <c r="E44" s="24"/>
      <c r="F44" s="25"/>
      <c r="G44" s="25"/>
      <c r="H44" s="25"/>
      <c r="I44" s="26"/>
      <c r="J44" s="26"/>
      <c r="K44" s="26"/>
      <c r="L44" s="27">
        <f t="shared" si="0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2"/>
      <c r="C45" s="23"/>
      <c r="D45" s="24"/>
      <c r="E45" s="24"/>
      <c r="F45" s="25"/>
      <c r="G45" s="25"/>
      <c r="H45" s="25"/>
      <c r="I45" s="26"/>
      <c r="J45" s="26"/>
      <c r="K45" s="26"/>
      <c r="L45" s="27">
        <f t="shared" si="0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2"/>
      <c r="C46" s="23"/>
      <c r="D46" s="24"/>
      <c r="E46" s="24"/>
      <c r="F46" s="25"/>
      <c r="G46" s="25"/>
      <c r="H46" s="25"/>
      <c r="I46" s="26"/>
      <c r="J46" s="26"/>
      <c r="K46" s="26"/>
      <c r="L46" s="27">
        <f t="shared" si="0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2"/>
      <c r="C47" s="23"/>
      <c r="D47" s="24"/>
      <c r="E47" s="24"/>
      <c r="F47" s="25"/>
      <c r="G47" s="25"/>
      <c r="H47" s="25"/>
      <c r="I47" s="26"/>
      <c r="J47" s="26"/>
      <c r="K47" s="26"/>
      <c r="L47" s="27">
        <f t="shared" si="0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2"/>
      <c r="C48" s="23"/>
      <c r="D48" s="24"/>
      <c r="E48" s="24"/>
      <c r="F48" s="25"/>
      <c r="G48" s="25"/>
      <c r="H48" s="25"/>
      <c r="I48" s="26"/>
      <c r="J48" s="26"/>
      <c r="K48" s="26"/>
      <c r="L48" s="27">
        <f t="shared" si="0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2"/>
      <c r="C49" s="23"/>
      <c r="D49" s="24"/>
      <c r="E49" s="24"/>
      <c r="F49" s="25"/>
      <c r="G49" s="25"/>
      <c r="H49" s="25"/>
      <c r="I49" s="26"/>
      <c r="J49" s="26"/>
      <c r="K49" s="26"/>
      <c r="L49" s="27">
        <f t="shared" si="0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2"/>
      <c r="C50" s="23"/>
      <c r="D50" s="24"/>
      <c r="E50" s="24"/>
      <c r="F50" s="25"/>
      <c r="G50" s="25"/>
      <c r="H50" s="25"/>
      <c r="I50" s="26"/>
      <c r="J50" s="26"/>
      <c r="K50" s="26"/>
      <c r="L50" s="27">
        <f t="shared" si="0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2"/>
      <c r="C51" s="23"/>
      <c r="D51" s="24"/>
      <c r="E51" s="24"/>
      <c r="F51" s="25"/>
      <c r="G51" s="25"/>
      <c r="H51" s="25"/>
      <c r="I51" s="26"/>
      <c r="J51" s="26"/>
      <c r="K51" s="26"/>
      <c r="L51" s="27">
        <f t="shared" si="0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1"/>
      <c r="B52" s="2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11" t="s">
        <v>20</v>
      </c>
      <c r="C54" s="33" t="s">
        <v>21</v>
      </c>
      <c r="D54" s="34"/>
      <c r="E54" s="34"/>
      <c r="F54" s="35" t="s">
        <v>22</v>
      </c>
      <c r="G54" s="35" t="s">
        <v>23</v>
      </c>
      <c r="H54" s="14" t="s">
        <v>24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customHeight="1">
      <c r="A55" s="1"/>
      <c r="B55" s="36" t="s">
        <v>11</v>
      </c>
      <c r="C55" s="37">
        <v>5</v>
      </c>
      <c r="D55" s="2"/>
      <c r="E55" s="2"/>
      <c r="F55" s="38" t="s">
        <v>26</v>
      </c>
      <c r="G55" s="39" t="s">
        <v>27</v>
      </c>
      <c r="H55" s="40">
        <f>COUNTIF(M10:M51, "A+ (Plus)")</f>
        <v>0</v>
      </c>
      <c r="I55" s="1"/>
      <c r="J55" s="1"/>
      <c r="K55" s="1"/>
      <c r="L55" s="1"/>
      <c r="M55" s="1"/>
      <c r="N55" s="1"/>
      <c r="O55" s="41" t="s">
        <v>28</v>
      </c>
      <c r="P55" s="26">
        <f t="shared" ref="P55:V55" si="1">MAX(P10:P49)</f>
        <v>0</v>
      </c>
      <c r="Q55" s="42">
        <f t="shared" si="1"/>
        <v>0</v>
      </c>
      <c r="R55" s="42">
        <f t="shared" si="1"/>
        <v>0</v>
      </c>
      <c r="S55" s="42">
        <f t="shared" si="1"/>
        <v>0</v>
      </c>
      <c r="T55" s="42">
        <f t="shared" si="1"/>
        <v>0</v>
      </c>
      <c r="U55" s="42">
        <f t="shared" si="1"/>
        <v>0</v>
      </c>
      <c r="V55" s="42">
        <f t="shared" si="1"/>
        <v>0</v>
      </c>
      <c r="W55" s="1"/>
      <c r="X55" s="1"/>
      <c r="Y55" s="1"/>
      <c r="Z55" s="1"/>
      <c r="AA55" s="1"/>
    </row>
    <row r="56" spans="1:27" ht="15.75" customHeight="1">
      <c r="A56" s="1"/>
      <c r="B56" s="36" t="s">
        <v>25</v>
      </c>
      <c r="C56" s="37">
        <v>5</v>
      </c>
      <c r="D56" s="2"/>
      <c r="E56" s="2"/>
      <c r="F56" s="38" t="s">
        <v>29</v>
      </c>
      <c r="G56" s="40" t="s">
        <v>30</v>
      </c>
      <c r="H56" s="40">
        <f>COUNTIF(M10:M51, "A (Plain)")</f>
        <v>0</v>
      </c>
      <c r="I56" s="1"/>
      <c r="J56" s="1"/>
      <c r="K56" s="1"/>
      <c r="L56" s="1"/>
      <c r="M56" s="1"/>
      <c r="N56" s="1"/>
      <c r="O56" s="41" t="s">
        <v>31</v>
      </c>
      <c r="P56" s="26" t="e">
        <f t="shared" ref="P56:V56" si="2">AVERAGE(P10:P49)</f>
        <v>#DIV/0!</v>
      </c>
      <c r="Q56" s="26" t="e">
        <f t="shared" si="2"/>
        <v>#DIV/0!</v>
      </c>
      <c r="R56" s="26" t="e">
        <f t="shared" si="2"/>
        <v>#DIV/0!</v>
      </c>
      <c r="S56" s="26" t="e">
        <f t="shared" si="2"/>
        <v>#DIV/0!</v>
      </c>
      <c r="T56" s="26" t="e">
        <f t="shared" si="2"/>
        <v>#DIV/0!</v>
      </c>
      <c r="U56" s="26" t="e">
        <f t="shared" si="2"/>
        <v>#DIV/0!</v>
      </c>
      <c r="V56" s="26" t="e">
        <f t="shared" si="2"/>
        <v>#DIV/0!</v>
      </c>
      <c r="W56" s="1"/>
      <c r="X56" s="1"/>
      <c r="Y56" s="1"/>
      <c r="Z56" s="1"/>
      <c r="AA56" s="1"/>
    </row>
    <row r="57" spans="1:27" ht="15.75" customHeight="1">
      <c r="A57" s="1"/>
      <c r="B57" s="21" t="s">
        <v>32</v>
      </c>
      <c r="C57" s="43">
        <v>15</v>
      </c>
      <c r="D57" s="2"/>
      <c r="E57" s="2"/>
      <c r="F57" s="38" t="s">
        <v>33</v>
      </c>
      <c r="G57" s="40" t="s">
        <v>34</v>
      </c>
      <c r="H57" s="40">
        <f>COUNTIF(M10:M51, "A- (Minus)")</f>
        <v>0</v>
      </c>
      <c r="I57" s="1"/>
      <c r="J57" s="1"/>
      <c r="K57" s="1"/>
      <c r="L57" s="1"/>
      <c r="M57" s="1"/>
      <c r="N57" s="1"/>
      <c r="O57" s="41" t="s">
        <v>35</v>
      </c>
      <c r="P57" s="26">
        <f t="shared" ref="P57:V57" si="3">MIN(P10:P49)</f>
        <v>0</v>
      </c>
      <c r="Q57" s="42">
        <f t="shared" si="3"/>
        <v>0</v>
      </c>
      <c r="R57" s="42">
        <f t="shared" si="3"/>
        <v>0</v>
      </c>
      <c r="S57" s="42">
        <f t="shared" si="3"/>
        <v>0</v>
      </c>
      <c r="T57" s="42">
        <f t="shared" si="3"/>
        <v>0</v>
      </c>
      <c r="U57" s="42">
        <f t="shared" si="3"/>
        <v>0</v>
      </c>
      <c r="V57" s="42">
        <f t="shared" si="3"/>
        <v>0</v>
      </c>
      <c r="W57" s="1"/>
      <c r="X57" s="1"/>
      <c r="Y57" s="1"/>
      <c r="Z57" s="1"/>
      <c r="AA57" s="1"/>
    </row>
    <row r="58" spans="1:27" ht="15.75" customHeight="1">
      <c r="A58" s="1"/>
      <c r="B58" s="21" t="s">
        <v>12</v>
      </c>
      <c r="C58" s="43">
        <v>10</v>
      </c>
      <c r="D58" s="2"/>
      <c r="E58" s="2"/>
      <c r="F58" s="38" t="s">
        <v>36</v>
      </c>
      <c r="G58" s="40" t="s">
        <v>37</v>
      </c>
      <c r="H58" s="40">
        <f>COUNTIF(M10:M51, "B+ (Plus)")</f>
        <v>0</v>
      </c>
      <c r="I58" s="1"/>
      <c r="J58" s="1"/>
      <c r="K58" s="1"/>
      <c r="L58" s="1"/>
      <c r="M58" s="1"/>
      <c r="N58" s="1"/>
      <c r="O58" s="1"/>
      <c r="P58" s="1"/>
      <c r="Q58" s="44"/>
      <c r="R58" s="44"/>
      <c r="S58" s="44"/>
      <c r="T58" s="44"/>
      <c r="U58" s="44"/>
      <c r="V58" s="44"/>
      <c r="W58" s="1"/>
      <c r="X58" s="1"/>
      <c r="Y58" s="1"/>
      <c r="Z58" s="1"/>
      <c r="AA58" s="1"/>
    </row>
    <row r="59" spans="1:27" ht="15.75" customHeight="1">
      <c r="A59" s="1"/>
      <c r="B59" s="21" t="s">
        <v>38</v>
      </c>
      <c r="C59" s="43">
        <v>25</v>
      </c>
      <c r="D59" s="2"/>
      <c r="E59" s="2"/>
      <c r="F59" s="38" t="s">
        <v>39</v>
      </c>
      <c r="G59" s="40" t="s">
        <v>40</v>
      </c>
      <c r="H59" s="40">
        <f>COUNTIF(M10:M51, "B (Plain)")</f>
        <v>0</v>
      </c>
      <c r="I59" s="1"/>
      <c r="J59" s="1"/>
      <c r="K59" s="1"/>
      <c r="L59" s="1"/>
      <c r="M59" s="1"/>
      <c r="N59" s="1"/>
      <c r="O59" s="1"/>
      <c r="P59" s="1"/>
      <c r="Q59" s="44"/>
      <c r="R59" s="44"/>
      <c r="S59" s="44"/>
      <c r="T59" s="44"/>
      <c r="U59" s="44"/>
      <c r="V59" s="44"/>
      <c r="W59" s="1"/>
      <c r="X59" s="1"/>
      <c r="Y59" s="1"/>
      <c r="Z59" s="1"/>
      <c r="AA59" s="1"/>
    </row>
    <row r="60" spans="1:27" ht="15.75" customHeight="1">
      <c r="A60" s="1"/>
      <c r="B60" s="21" t="s">
        <v>41</v>
      </c>
      <c r="C60" s="43">
        <v>0</v>
      </c>
      <c r="D60" s="2"/>
      <c r="E60" s="2"/>
      <c r="F60" s="38" t="s">
        <v>42</v>
      </c>
      <c r="G60" s="40" t="s">
        <v>43</v>
      </c>
      <c r="H60" s="40">
        <f>COUNTIF($M$10:$M$51, "B- (Minus)")</f>
        <v>0</v>
      </c>
      <c r="I60" s="1"/>
      <c r="J60" s="1"/>
      <c r="K60" s="1"/>
      <c r="L60" s="1"/>
      <c r="M60" s="1"/>
      <c r="N60" s="1"/>
      <c r="O60" s="1"/>
      <c r="P60" s="1"/>
      <c r="Q60" s="44"/>
      <c r="R60" s="44"/>
      <c r="S60" s="44"/>
      <c r="T60" s="44"/>
      <c r="U60" s="44"/>
      <c r="V60" s="44"/>
      <c r="W60" s="1"/>
      <c r="X60" s="1"/>
      <c r="Y60" s="1"/>
      <c r="Z60" s="1"/>
      <c r="AA60" s="1"/>
    </row>
    <row r="61" spans="1:27" ht="15.75" customHeight="1">
      <c r="A61" s="1"/>
      <c r="B61" s="21" t="s">
        <v>44</v>
      </c>
      <c r="C61" s="43">
        <v>40</v>
      </c>
      <c r="D61" s="2"/>
      <c r="E61" s="2"/>
      <c r="F61" s="38" t="s">
        <v>45</v>
      </c>
      <c r="G61" s="40" t="s">
        <v>46</v>
      </c>
      <c r="H61" s="40">
        <f>COUNTIF(M10:M51, "C+ (Plus)")</f>
        <v>0</v>
      </c>
      <c r="I61" s="1"/>
      <c r="J61" s="1"/>
      <c r="K61" s="1"/>
      <c r="L61" s="1"/>
      <c r="M61" s="1"/>
      <c r="N61" s="1"/>
      <c r="O61" s="1"/>
      <c r="P61" s="1"/>
      <c r="Q61" s="44"/>
      <c r="R61" s="44"/>
      <c r="S61" s="44"/>
      <c r="T61" s="44"/>
      <c r="U61" s="44"/>
      <c r="V61" s="44"/>
      <c r="W61" s="1"/>
      <c r="X61" s="1"/>
      <c r="Y61" s="1"/>
      <c r="Z61" s="1"/>
      <c r="AA61" s="1"/>
    </row>
    <row r="62" spans="1:27" ht="15.75" customHeight="1">
      <c r="A62" s="1"/>
      <c r="B62" s="21" t="s">
        <v>47</v>
      </c>
      <c r="C62" s="21">
        <f>SUM(C55:C61)</f>
        <v>100</v>
      </c>
      <c r="D62" s="45"/>
      <c r="E62" s="45"/>
      <c r="F62" s="38" t="s">
        <v>48</v>
      </c>
      <c r="G62" s="40" t="s">
        <v>49</v>
      </c>
      <c r="H62" s="40">
        <f>COUNTIF(M10:M51, "C (Plain)")</f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"/>
      <c r="C63" s="3"/>
      <c r="D63" s="1"/>
      <c r="E63" s="1"/>
      <c r="F63" s="38" t="s">
        <v>50</v>
      </c>
      <c r="G63" s="40" t="s">
        <v>51</v>
      </c>
      <c r="H63" s="40">
        <f>COUNTIF(M10:M51, "D (Plain)")</f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/>
      <c r="C64" s="3"/>
      <c r="D64" s="1"/>
      <c r="E64" s="1"/>
      <c r="F64" s="38" t="s">
        <v>52</v>
      </c>
      <c r="G64" s="40" t="s">
        <v>53</v>
      </c>
      <c r="H64" s="40">
        <f>COUNTIF(M10:M51, "F (Fail)")</f>
        <v>42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"/>
      <c r="C65" s="3"/>
      <c r="D65" s="1"/>
      <c r="E65" s="1"/>
      <c r="F65" s="46" t="s">
        <v>54</v>
      </c>
      <c r="G65" s="40" t="s">
        <v>55</v>
      </c>
      <c r="H65" s="40">
        <f>COUNTIF(M10:M51, "I (Incomplete)")</f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04" t="str">
        <f>GradeSheet!$H$5</f>
        <v>Rubaiya Hafiz</v>
      </c>
      <c r="C66" s="205"/>
      <c r="D66" s="1"/>
      <c r="E66" s="1"/>
      <c r="F66" s="46" t="s">
        <v>56</v>
      </c>
      <c r="G66" s="40" t="s">
        <v>57</v>
      </c>
      <c r="H66" s="40">
        <f>COUNTIF(M10:M51, "W (Withdrawn)")</f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06" t="s">
        <v>58</v>
      </c>
      <c r="C67" s="207"/>
      <c r="D67" s="1"/>
      <c r="E67" s="1"/>
      <c r="F67" s="46" t="s">
        <v>59</v>
      </c>
      <c r="G67" s="46"/>
      <c r="H67" s="40">
        <f>SUM(H55:H66)</f>
        <v>42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06" t="s">
        <v>60</v>
      </c>
      <c r="C68" s="207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"/>
      <c r="C75" s="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"/>
      <c r="C76" s="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"/>
      <c r="C77" s="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2"/>
      <c r="C78" s="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2"/>
      <c r="C79" s="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6.5" customHeight="1">
      <c r="A84" s="1"/>
      <c r="B84" s="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66:C66"/>
    <mergeCell ref="B67:C67"/>
    <mergeCell ref="B68:C68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/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61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52</v>
      </c>
      <c r="B2" s="50">
        <v>0</v>
      </c>
      <c r="C2" s="50" t="s">
        <v>62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50</v>
      </c>
      <c r="B3" s="52">
        <v>50</v>
      </c>
      <c r="C3" s="52" t="s">
        <v>63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48</v>
      </c>
      <c r="B4" s="52">
        <v>55</v>
      </c>
      <c r="C4" s="52" t="s">
        <v>64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45</v>
      </c>
      <c r="B5" s="52">
        <v>60</v>
      </c>
      <c r="C5" s="52" t="s">
        <v>65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42</v>
      </c>
      <c r="B6" s="52">
        <v>65</v>
      </c>
      <c r="C6" s="52" t="s">
        <v>66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39</v>
      </c>
      <c r="B7" s="52">
        <v>70</v>
      </c>
      <c r="C7" s="52" t="s">
        <v>67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36</v>
      </c>
      <c r="B8" s="52">
        <v>75</v>
      </c>
      <c r="C8" s="52" t="s">
        <v>68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33</v>
      </c>
      <c r="B9" s="52">
        <v>80</v>
      </c>
      <c r="C9" s="52" t="s">
        <v>69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29</v>
      </c>
      <c r="B10" s="52">
        <v>85</v>
      </c>
      <c r="C10" s="52" t="s">
        <v>70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54" t="s">
        <v>26</v>
      </c>
      <c r="B11" s="55">
        <v>95</v>
      </c>
      <c r="C11" s="56" t="s">
        <v>71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workbookViewId="0"/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14" t="s">
        <v>0</v>
      </c>
      <c r="C2" s="209"/>
      <c r="D2" s="210"/>
      <c r="E2" s="215" t="str">
        <f>GradeSheet!$H$2</f>
        <v>CSE</v>
      </c>
      <c r="F2" s="209"/>
      <c r="G2" s="209"/>
      <c r="H2" s="209"/>
      <c r="I2" s="209"/>
      <c r="J2" s="209"/>
      <c r="K2" s="209"/>
      <c r="L2" s="209"/>
      <c r="M2" s="209"/>
      <c r="N2" s="210"/>
      <c r="O2" s="214" t="str">
        <f>CONCATENATE("Section ", GradeSheet!$L$2,)</f>
        <v>Section 1</v>
      </c>
      <c r="P2" s="209"/>
      <c r="Q2" s="210"/>
      <c r="R2" s="59"/>
      <c r="S2" s="58"/>
      <c r="T2" s="216" t="s">
        <v>72</v>
      </c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10"/>
      <c r="AO2" s="60"/>
      <c r="AP2" s="60"/>
      <c r="AQ2" s="60"/>
      <c r="AR2" s="58"/>
    </row>
    <row r="3" spans="1:44" ht="16.5" customHeight="1">
      <c r="A3" s="58"/>
      <c r="B3" s="217" t="s">
        <v>3</v>
      </c>
      <c r="C3" s="209"/>
      <c r="D3" s="210"/>
      <c r="E3" s="218" t="str">
        <f>GradeSheet!$H$3</f>
        <v>Operating Systems</v>
      </c>
      <c r="F3" s="209"/>
      <c r="G3" s="209"/>
      <c r="H3" s="209"/>
      <c r="I3" s="209"/>
      <c r="J3" s="209"/>
      <c r="K3" s="209"/>
      <c r="L3" s="209"/>
      <c r="M3" s="209"/>
      <c r="N3" s="210"/>
      <c r="O3" s="217" t="str">
        <f>CONCATENATE(GradeSheet!$H$67," students")</f>
        <v>42 students</v>
      </c>
      <c r="P3" s="209"/>
      <c r="Q3" s="210"/>
      <c r="R3" s="59"/>
      <c r="S3" s="58"/>
      <c r="T3" s="213" t="s">
        <v>73</v>
      </c>
      <c r="U3" s="209"/>
      <c r="V3" s="209"/>
      <c r="W3" s="209"/>
      <c r="X3" s="209"/>
      <c r="Y3" s="209"/>
      <c r="Z3" s="209"/>
      <c r="AA3" s="209"/>
      <c r="AB3" s="209"/>
      <c r="AC3" s="209"/>
      <c r="AD3" s="209"/>
      <c r="AE3" s="209"/>
      <c r="AF3" s="210"/>
      <c r="AG3" s="213" t="s">
        <v>74</v>
      </c>
      <c r="AH3" s="209"/>
      <c r="AI3" s="209"/>
      <c r="AJ3" s="209"/>
      <c r="AK3" s="209"/>
      <c r="AL3" s="209"/>
      <c r="AM3" s="209"/>
      <c r="AN3" s="210"/>
      <c r="AO3" s="60"/>
      <c r="AP3" s="60"/>
      <c r="AQ3" s="60"/>
      <c r="AR3" s="58"/>
    </row>
    <row r="4" spans="1:44" ht="16.5" customHeight="1">
      <c r="A4" s="58"/>
      <c r="B4" s="219" t="s">
        <v>7</v>
      </c>
      <c r="C4" s="209"/>
      <c r="D4" s="210"/>
      <c r="E4" s="220">
        <f>GradeSheet!$H$4</f>
        <v>3</v>
      </c>
      <c r="F4" s="209"/>
      <c r="G4" s="209"/>
      <c r="H4" s="209"/>
      <c r="I4" s="209"/>
      <c r="J4" s="209"/>
      <c r="K4" s="209"/>
      <c r="L4" s="209"/>
      <c r="M4" s="209"/>
      <c r="N4" s="210"/>
      <c r="O4" s="220" t="str">
        <f>GradeSheet!$L$3</f>
        <v>Spring 2025</v>
      </c>
      <c r="P4" s="209"/>
      <c r="Q4" s="210"/>
      <c r="R4" s="59"/>
      <c r="S4" s="58"/>
      <c r="T4" s="221">
        <v>1</v>
      </c>
      <c r="U4" s="209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10"/>
      <c r="AG4" s="222">
        <v>4</v>
      </c>
      <c r="AH4" s="209"/>
      <c r="AI4" s="209"/>
      <c r="AJ4" s="209"/>
      <c r="AK4" s="209"/>
      <c r="AL4" s="209"/>
      <c r="AM4" s="209"/>
      <c r="AN4" s="210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21">
        <v>2</v>
      </c>
      <c r="U5" s="209"/>
      <c r="V5" s="209"/>
      <c r="W5" s="209"/>
      <c r="X5" s="209"/>
      <c r="Y5" s="209"/>
      <c r="Z5" s="209"/>
      <c r="AA5" s="209"/>
      <c r="AB5" s="209"/>
      <c r="AC5" s="209"/>
      <c r="AD5" s="209"/>
      <c r="AE5" s="209"/>
      <c r="AF5" s="210"/>
      <c r="AG5" s="222">
        <v>4</v>
      </c>
      <c r="AH5" s="209"/>
      <c r="AI5" s="209"/>
      <c r="AJ5" s="209"/>
      <c r="AK5" s="209"/>
      <c r="AL5" s="209"/>
      <c r="AM5" s="209"/>
      <c r="AN5" s="210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22">
        <v>3</v>
      </c>
      <c r="U6" s="209"/>
      <c r="V6" s="209"/>
      <c r="W6" s="209"/>
      <c r="X6" s="209"/>
      <c r="Y6" s="209"/>
      <c r="Z6" s="209"/>
      <c r="AA6" s="209"/>
      <c r="AB6" s="209"/>
      <c r="AC6" s="209"/>
      <c r="AD6" s="209"/>
      <c r="AE6" s="209"/>
      <c r="AF6" s="210"/>
      <c r="AG6" s="222">
        <v>5</v>
      </c>
      <c r="AH6" s="209"/>
      <c r="AI6" s="209"/>
      <c r="AJ6" s="209"/>
      <c r="AK6" s="209"/>
      <c r="AL6" s="209"/>
      <c r="AM6" s="209"/>
      <c r="AN6" s="210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22">
        <v>4</v>
      </c>
      <c r="U7" s="209"/>
      <c r="V7" s="209"/>
      <c r="W7" s="209"/>
      <c r="X7" s="209"/>
      <c r="Y7" s="209"/>
      <c r="Z7" s="209"/>
      <c r="AA7" s="209"/>
      <c r="AB7" s="209"/>
      <c r="AC7" s="209"/>
      <c r="AD7" s="209"/>
      <c r="AE7" s="209"/>
      <c r="AF7" s="210"/>
      <c r="AG7" s="222">
        <v>5</v>
      </c>
      <c r="AH7" s="209"/>
      <c r="AI7" s="209"/>
      <c r="AJ7" s="209"/>
      <c r="AK7" s="209"/>
      <c r="AL7" s="209"/>
      <c r="AM7" s="209"/>
      <c r="AN7" s="210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22">
        <v>5</v>
      </c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09"/>
      <c r="AF8" s="210"/>
      <c r="AG8" s="222">
        <v>6</v>
      </c>
      <c r="AH8" s="209"/>
      <c r="AI8" s="209"/>
      <c r="AJ8" s="209"/>
      <c r="AK8" s="209"/>
      <c r="AL8" s="209"/>
      <c r="AM8" s="209"/>
      <c r="AN8" s="210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22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10"/>
      <c r="AG9" s="222"/>
      <c r="AH9" s="209"/>
      <c r="AI9" s="209"/>
      <c r="AJ9" s="209"/>
      <c r="AK9" s="209"/>
      <c r="AL9" s="209"/>
      <c r="AM9" s="209"/>
      <c r="AN9" s="210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22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10"/>
      <c r="AG10" s="222"/>
      <c r="AH10" s="209"/>
      <c r="AI10" s="209"/>
      <c r="AJ10" s="209"/>
      <c r="AK10" s="209"/>
      <c r="AL10" s="209"/>
      <c r="AM10" s="209"/>
      <c r="AN10" s="210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22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10"/>
      <c r="AG11" s="222"/>
      <c r="AH11" s="209"/>
      <c r="AI11" s="209"/>
      <c r="AJ11" s="209"/>
      <c r="AK11" s="209"/>
      <c r="AL11" s="209"/>
      <c r="AM11" s="209"/>
      <c r="AN11" s="210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22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10"/>
      <c r="AG12" s="222"/>
      <c r="AH12" s="209"/>
      <c r="AI12" s="209"/>
      <c r="AJ12" s="209"/>
      <c r="AK12" s="209"/>
      <c r="AL12" s="209"/>
      <c r="AM12" s="209"/>
      <c r="AN12" s="210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23" t="s">
        <v>75</v>
      </c>
      <c r="U14" s="205"/>
      <c r="V14" s="205"/>
      <c r="W14" s="205"/>
      <c r="X14" s="205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76</v>
      </c>
      <c r="V15" s="223" t="s">
        <v>77</v>
      </c>
      <c r="W15" s="205"/>
      <c r="X15" s="205"/>
      <c r="Y15" s="224" t="s">
        <v>78</v>
      </c>
      <c r="Z15" s="210"/>
      <c r="AA15" s="64"/>
      <c r="AB15" s="64" t="s">
        <v>79</v>
      </c>
      <c r="AC15" s="223" t="s">
        <v>80</v>
      </c>
      <c r="AD15" s="205"/>
      <c r="AE15" s="205"/>
      <c r="AF15" s="213"/>
      <c r="AG15" s="209"/>
      <c r="AH15" s="210"/>
      <c r="AI15" s="62"/>
      <c r="AJ15" s="64" t="s">
        <v>81</v>
      </c>
      <c r="AK15" s="65" t="s">
        <v>82</v>
      </c>
      <c r="AL15" s="213"/>
      <c r="AM15" s="210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23" t="s">
        <v>83</v>
      </c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25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7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28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29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30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  <c r="AK19" s="231"/>
      <c r="AL19" s="231"/>
      <c r="AM19" s="231"/>
      <c r="AN19" s="231"/>
      <c r="AO19" s="231"/>
      <c r="AP19" s="231"/>
      <c r="AQ19" s="232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16" t="s">
        <v>84</v>
      </c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209"/>
      <c r="AG21" s="209"/>
      <c r="AH21" s="209"/>
      <c r="AI21" s="209"/>
      <c r="AJ21" s="209"/>
      <c r="AK21" s="209"/>
      <c r="AL21" s="209"/>
      <c r="AM21" s="209"/>
      <c r="AN21" s="209"/>
      <c r="AO21" s="209"/>
      <c r="AP21" s="209"/>
      <c r="AQ21" s="210"/>
      <c r="AR21" s="62"/>
    </row>
    <row r="22" spans="1:44" ht="16.5" customHeight="1">
      <c r="A22" s="62"/>
      <c r="B22" s="233" t="s">
        <v>85</v>
      </c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10"/>
      <c r="P22" s="62"/>
      <c r="Q22" s="62"/>
      <c r="R22" s="62"/>
      <c r="S22" s="62"/>
      <c r="T22" s="213" t="s">
        <v>86</v>
      </c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10"/>
      <c r="AG22" s="213" t="s">
        <v>74</v>
      </c>
      <c r="AH22" s="209"/>
      <c r="AI22" s="209"/>
      <c r="AJ22" s="209"/>
      <c r="AK22" s="210"/>
      <c r="AL22" s="213" t="s">
        <v>87</v>
      </c>
      <c r="AM22" s="209"/>
      <c r="AN22" s="209"/>
      <c r="AO22" s="209"/>
      <c r="AP22" s="209"/>
      <c r="AQ22" s="210"/>
      <c r="AR22" s="62"/>
    </row>
    <row r="23" spans="1:44" ht="16.5" customHeight="1">
      <c r="A23" s="62"/>
      <c r="B23" s="66" t="s">
        <v>27</v>
      </c>
      <c r="C23" s="66" t="s">
        <v>30</v>
      </c>
      <c r="D23" s="66" t="s">
        <v>34</v>
      </c>
      <c r="E23" s="66" t="s">
        <v>37</v>
      </c>
      <c r="F23" s="66" t="s">
        <v>40</v>
      </c>
      <c r="G23" s="66" t="s">
        <v>43</v>
      </c>
      <c r="H23" s="66" t="s">
        <v>46</v>
      </c>
      <c r="I23" s="66" t="s">
        <v>49</v>
      </c>
      <c r="J23" s="66" t="s">
        <v>51</v>
      </c>
      <c r="K23" s="66" t="s">
        <v>53</v>
      </c>
      <c r="L23" s="66" t="s">
        <v>55</v>
      </c>
      <c r="M23" s="66" t="s">
        <v>57</v>
      </c>
      <c r="N23" s="234" t="s">
        <v>47</v>
      </c>
      <c r="O23" s="210"/>
      <c r="P23" s="62"/>
      <c r="Q23" s="62"/>
      <c r="R23" s="62"/>
      <c r="S23" s="62"/>
      <c r="T23" s="222" t="s">
        <v>88</v>
      </c>
      <c r="U23" s="209"/>
      <c r="V23" s="209"/>
      <c r="W23" s="209"/>
      <c r="X23" s="209"/>
      <c r="Y23" s="209"/>
      <c r="Z23" s="209"/>
      <c r="AA23" s="209"/>
      <c r="AB23" s="209"/>
      <c r="AC23" s="209"/>
      <c r="AD23" s="209"/>
      <c r="AE23" s="209"/>
      <c r="AF23" s="210"/>
      <c r="AG23" s="222">
        <v>20</v>
      </c>
      <c r="AH23" s="209"/>
      <c r="AI23" s="209"/>
      <c r="AJ23" s="209"/>
      <c r="AK23" s="210"/>
      <c r="AL23" s="235">
        <f>AG23/P33</f>
        <v>1.0526315789473684</v>
      </c>
      <c r="AM23" s="209"/>
      <c r="AN23" s="209"/>
      <c r="AO23" s="209"/>
      <c r="AP23" s="209"/>
      <c r="AQ23" s="210"/>
      <c r="AR23" s="59"/>
    </row>
    <row r="24" spans="1:44" ht="16.5" customHeight="1">
      <c r="A24" s="62"/>
      <c r="B24" s="67">
        <f>GradeSheet!$H$55</f>
        <v>0</v>
      </c>
      <c r="C24" s="67">
        <f>GradeSheet!$H$56</f>
        <v>0</v>
      </c>
      <c r="D24" s="67">
        <f>GradeSheet!$H$57</f>
        <v>0</v>
      </c>
      <c r="E24" s="67">
        <f>GradeSheet!$H$58</f>
        <v>0</v>
      </c>
      <c r="F24" s="67">
        <f>GradeSheet!$H$59</f>
        <v>0</v>
      </c>
      <c r="G24" s="67">
        <f>GradeSheet!$H$60</f>
        <v>0</v>
      </c>
      <c r="H24" s="67">
        <f>GradeSheet!$H$61</f>
        <v>0</v>
      </c>
      <c r="I24" s="67">
        <f>GradeSheet!$H$62</f>
        <v>0</v>
      </c>
      <c r="J24" s="67">
        <f>GradeSheet!$H$63</f>
        <v>0</v>
      </c>
      <c r="K24" s="67">
        <f>GradeSheet!$H$64</f>
        <v>42</v>
      </c>
      <c r="L24" s="67">
        <f>GradeSheet!$H$65</f>
        <v>0</v>
      </c>
      <c r="M24" s="67">
        <f>GradeSheet!$H$66</f>
        <v>0</v>
      </c>
      <c r="N24" s="245">
        <f t="shared" ref="N24:N25" si="0">SUM(B24:M24)</f>
        <v>42</v>
      </c>
      <c r="O24" s="210"/>
      <c r="P24" s="62"/>
      <c r="Q24" s="62"/>
      <c r="R24" s="62"/>
      <c r="S24" s="62"/>
      <c r="T24" s="222" t="s">
        <v>89</v>
      </c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10"/>
      <c r="AG24" s="222">
        <v>10</v>
      </c>
      <c r="AH24" s="209"/>
      <c r="AI24" s="209"/>
      <c r="AJ24" s="209"/>
      <c r="AK24" s="210"/>
      <c r="AL24" s="235">
        <f>AG24/P33</f>
        <v>0.52631578947368418</v>
      </c>
      <c r="AM24" s="209"/>
      <c r="AN24" s="209"/>
      <c r="AO24" s="209"/>
      <c r="AP24" s="209"/>
      <c r="AQ24" s="210"/>
      <c r="AR24" s="62"/>
    </row>
    <row r="25" spans="1:44" ht="16.5" customHeight="1">
      <c r="A25" s="62"/>
      <c r="B25" s="68">
        <f>B24/GradeSheet!$H$67</f>
        <v>0</v>
      </c>
      <c r="C25" s="68">
        <f>C24/GradeSheet!$H$67</f>
        <v>0</v>
      </c>
      <c r="D25" s="68">
        <f>D24/GradeSheet!$H$67</f>
        <v>0</v>
      </c>
      <c r="E25" s="68">
        <f>E24/GradeSheet!$H$67</f>
        <v>0</v>
      </c>
      <c r="F25" s="68">
        <f>F24/GradeSheet!$H$67</f>
        <v>0</v>
      </c>
      <c r="G25" s="68">
        <f>G24/GradeSheet!$H$67</f>
        <v>0</v>
      </c>
      <c r="H25" s="68">
        <f>H24/GradeSheet!$H$67</f>
        <v>0</v>
      </c>
      <c r="I25" s="68">
        <f>I24/GradeSheet!$H$67</f>
        <v>0</v>
      </c>
      <c r="J25" s="68">
        <f>J24/GradeSheet!$H$67</f>
        <v>0</v>
      </c>
      <c r="K25" s="68">
        <f>K24/GradeSheet!$H$67</f>
        <v>1</v>
      </c>
      <c r="L25" s="68">
        <f>L24/GradeSheet!$H$67</f>
        <v>0</v>
      </c>
      <c r="M25" s="68">
        <f>M24/GradeSheet!$H$67</f>
        <v>0</v>
      </c>
      <c r="N25" s="246">
        <f t="shared" si="0"/>
        <v>1</v>
      </c>
      <c r="O25" s="210"/>
      <c r="P25" s="62"/>
      <c r="Q25" s="62"/>
      <c r="R25" s="62"/>
      <c r="S25" s="62"/>
      <c r="T25" s="222" t="s">
        <v>90</v>
      </c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10"/>
      <c r="AG25" s="222">
        <v>0</v>
      </c>
      <c r="AH25" s="209"/>
      <c r="AI25" s="209"/>
      <c r="AJ25" s="209"/>
      <c r="AK25" s="210"/>
      <c r="AL25" s="235">
        <f>AG25/P33</f>
        <v>0</v>
      </c>
      <c r="AM25" s="209"/>
      <c r="AN25" s="209"/>
      <c r="AO25" s="209"/>
      <c r="AP25" s="209"/>
      <c r="AQ25" s="210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22" t="s">
        <v>91</v>
      </c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10"/>
      <c r="AG26" s="222">
        <v>8</v>
      </c>
      <c r="AH26" s="209"/>
      <c r="AI26" s="209"/>
      <c r="AJ26" s="209"/>
      <c r="AK26" s="210"/>
      <c r="AL26" s="235">
        <f>AG26/P33</f>
        <v>0.42105263157894735</v>
      </c>
      <c r="AM26" s="209"/>
      <c r="AN26" s="209"/>
      <c r="AO26" s="209"/>
      <c r="AP26" s="209"/>
      <c r="AQ26" s="210"/>
      <c r="AR26" s="62"/>
    </row>
    <row r="27" spans="1:44" ht="16.5" customHeight="1">
      <c r="A27" s="62"/>
      <c r="B27" s="69" t="s">
        <v>92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22"/>
      <c r="U27" s="209"/>
      <c r="V27" s="209"/>
      <c r="W27" s="209"/>
      <c r="X27" s="209"/>
      <c r="Y27" s="209"/>
      <c r="Z27" s="209"/>
      <c r="AA27" s="209"/>
      <c r="AB27" s="209"/>
      <c r="AC27" s="209"/>
      <c r="AD27" s="209"/>
      <c r="AE27" s="209"/>
      <c r="AF27" s="210"/>
      <c r="AG27" s="222"/>
      <c r="AH27" s="209"/>
      <c r="AI27" s="209"/>
      <c r="AJ27" s="209"/>
      <c r="AK27" s="210"/>
      <c r="AL27" s="235"/>
      <c r="AM27" s="209"/>
      <c r="AN27" s="209"/>
      <c r="AO27" s="209"/>
      <c r="AP27" s="209"/>
      <c r="AQ27" s="210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47"/>
      <c r="U28" s="205"/>
      <c r="V28" s="205"/>
      <c r="W28" s="205"/>
      <c r="X28" s="205"/>
      <c r="Y28" s="205"/>
      <c r="Z28" s="205"/>
      <c r="AA28" s="205"/>
      <c r="AB28" s="205"/>
      <c r="AC28" s="205"/>
      <c r="AD28" s="205"/>
      <c r="AE28" s="205"/>
      <c r="AF28" s="205"/>
      <c r="AG28" s="247"/>
      <c r="AH28" s="205"/>
      <c r="AI28" s="205"/>
      <c r="AJ28" s="205"/>
      <c r="AK28" s="205"/>
      <c r="AL28" s="247"/>
      <c r="AM28" s="205"/>
      <c r="AN28" s="205"/>
      <c r="AO28" s="205"/>
      <c r="AP28" s="205"/>
      <c r="AQ28" s="205"/>
      <c r="AR28" s="62"/>
    </row>
    <row r="29" spans="1:44" ht="16.5" customHeight="1">
      <c r="A29" s="62"/>
      <c r="B29" s="213"/>
      <c r="C29" s="209"/>
      <c r="D29" s="209"/>
      <c r="E29" s="209"/>
      <c r="F29" s="210"/>
      <c r="G29" s="70" t="s">
        <v>14</v>
      </c>
      <c r="H29" s="70" t="s">
        <v>93</v>
      </c>
      <c r="I29" s="62"/>
      <c r="J29" s="213"/>
      <c r="K29" s="209"/>
      <c r="L29" s="209"/>
      <c r="M29" s="209"/>
      <c r="N29" s="209"/>
      <c r="O29" s="210"/>
      <c r="P29" s="70" t="s">
        <v>94</v>
      </c>
      <c r="Q29" s="70" t="s">
        <v>93</v>
      </c>
      <c r="R29" s="62"/>
      <c r="S29" s="62"/>
      <c r="T29" s="247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47"/>
      <c r="AH29" s="205"/>
      <c r="AI29" s="205"/>
      <c r="AJ29" s="205"/>
      <c r="AK29" s="205"/>
      <c r="AL29" s="247"/>
      <c r="AM29" s="205"/>
      <c r="AN29" s="205"/>
      <c r="AO29" s="205"/>
      <c r="AP29" s="205"/>
      <c r="AQ29" s="205"/>
      <c r="AR29" s="62"/>
    </row>
    <row r="30" spans="1:44" ht="16.5" customHeight="1">
      <c r="A30" s="62"/>
      <c r="B30" s="213" t="s">
        <v>95</v>
      </c>
      <c r="C30" s="209"/>
      <c r="D30" s="209"/>
      <c r="E30" s="209"/>
      <c r="F30" s="210"/>
      <c r="G30" s="71">
        <f>GradeSheet!$H$67</f>
        <v>42</v>
      </c>
      <c r="H30" s="72">
        <f>G30/G30</f>
        <v>1</v>
      </c>
      <c r="I30" s="62"/>
      <c r="J30" s="213" t="s">
        <v>96</v>
      </c>
      <c r="K30" s="209"/>
      <c r="L30" s="209"/>
      <c r="M30" s="209"/>
      <c r="N30" s="209"/>
      <c r="O30" s="210"/>
      <c r="P30" s="73">
        <v>20</v>
      </c>
      <c r="Q30" s="72">
        <f>P30/P30</f>
        <v>1</v>
      </c>
      <c r="R30" s="62"/>
      <c r="S30" s="62"/>
      <c r="T30" s="216" t="s">
        <v>97</v>
      </c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10"/>
      <c r="AG30" s="213" t="s">
        <v>74</v>
      </c>
      <c r="AH30" s="209"/>
      <c r="AI30" s="209"/>
      <c r="AJ30" s="209"/>
      <c r="AK30" s="210"/>
      <c r="AL30" s="213" t="s">
        <v>87</v>
      </c>
      <c r="AM30" s="209"/>
      <c r="AN30" s="209"/>
      <c r="AO30" s="209"/>
      <c r="AP30" s="209"/>
      <c r="AQ30" s="210"/>
      <c r="AR30" s="62"/>
    </row>
    <row r="31" spans="1:44" ht="16.5" customHeight="1">
      <c r="A31" s="62"/>
      <c r="B31" s="213" t="s">
        <v>98</v>
      </c>
      <c r="C31" s="209"/>
      <c r="D31" s="209"/>
      <c r="E31" s="209"/>
      <c r="F31" s="210"/>
      <c r="G31" s="71">
        <f>GradeSheet!$H$66</f>
        <v>0</v>
      </c>
      <c r="H31" s="72">
        <f>G31/G30</f>
        <v>0</v>
      </c>
      <c r="I31" s="62"/>
      <c r="J31" s="213" t="s">
        <v>99</v>
      </c>
      <c r="K31" s="209"/>
      <c r="L31" s="209"/>
      <c r="M31" s="209"/>
      <c r="N31" s="209"/>
      <c r="O31" s="210"/>
      <c r="P31" s="73">
        <v>0</v>
      </c>
      <c r="Q31" s="72">
        <f>P31/P30</f>
        <v>0</v>
      </c>
      <c r="R31" s="62"/>
      <c r="S31" s="62"/>
      <c r="T31" s="222" t="s">
        <v>91</v>
      </c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210"/>
      <c r="AG31" s="222">
        <v>8</v>
      </c>
      <c r="AH31" s="209"/>
      <c r="AI31" s="209"/>
      <c r="AJ31" s="209"/>
      <c r="AK31" s="210"/>
      <c r="AL31" s="235">
        <f>AG31/P33</f>
        <v>0.42105263157894735</v>
      </c>
      <c r="AM31" s="209"/>
      <c r="AN31" s="209"/>
      <c r="AO31" s="209"/>
      <c r="AP31" s="209"/>
      <c r="AQ31" s="210"/>
      <c r="AR31" s="62"/>
    </row>
    <row r="32" spans="1:44" ht="16.5" customHeight="1">
      <c r="A32" s="74"/>
      <c r="B32" s="213" t="s">
        <v>100</v>
      </c>
      <c r="C32" s="209"/>
      <c r="D32" s="209"/>
      <c r="E32" s="209"/>
      <c r="F32" s="210"/>
      <c r="G32" s="73">
        <v>41</v>
      </c>
      <c r="H32" s="72">
        <f>G32/G30</f>
        <v>0.97619047619047616</v>
      </c>
      <c r="I32" s="62"/>
      <c r="J32" s="213" t="s">
        <v>101</v>
      </c>
      <c r="K32" s="209"/>
      <c r="L32" s="209"/>
      <c r="M32" s="209"/>
      <c r="N32" s="209"/>
      <c r="O32" s="210"/>
      <c r="P32" s="73">
        <v>0</v>
      </c>
      <c r="Q32" s="72">
        <f>P32/P30</f>
        <v>0</v>
      </c>
      <c r="R32" s="62"/>
      <c r="S32" s="62"/>
      <c r="T32" s="222" t="s">
        <v>89</v>
      </c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10"/>
      <c r="AG32" s="222">
        <v>10</v>
      </c>
      <c r="AH32" s="209"/>
      <c r="AI32" s="209"/>
      <c r="AJ32" s="209"/>
      <c r="AK32" s="210"/>
      <c r="AL32" s="235">
        <f>AG32/P33</f>
        <v>0.52631578947368418</v>
      </c>
      <c r="AM32" s="209"/>
      <c r="AN32" s="209"/>
      <c r="AO32" s="209"/>
      <c r="AP32" s="209"/>
      <c r="AQ32" s="210"/>
      <c r="AR32" s="62"/>
    </row>
    <row r="33" spans="1:44" ht="17.25" customHeight="1">
      <c r="A33" s="62"/>
      <c r="B33" s="213" t="s">
        <v>102</v>
      </c>
      <c r="C33" s="209"/>
      <c r="D33" s="209"/>
      <c r="E33" s="209"/>
      <c r="F33" s="210"/>
      <c r="G33" s="71">
        <f>GradeSheet!$H$67-(GradeSheet!$H$64+GradeSheet!$H$65+GradeSheet!$H$66)</f>
        <v>0</v>
      </c>
      <c r="H33" s="72">
        <f>G33/G30</f>
        <v>0</v>
      </c>
      <c r="I33" s="62"/>
      <c r="J33" s="225" t="s">
        <v>103</v>
      </c>
      <c r="K33" s="226"/>
      <c r="L33" s="226"/>
      <c r="M33" s="226"/>
      <c r="N33" s="226"/>
      <c r="O33" s="227"/>
      <c r="P33" s="236">
        <v>19</v>
      </c>
      <c r="Q33" s="238">
        <f>P33/P30</f>
        <v>0.95</v>
      </c>
      <c r="R33" s="62"/>
      <c r="S33" s="62"/>
      <c r="T33" s="213"/>
      <c r="U33" s="209"/>
      <c r="V33" s="209"/>
      <c r="W33" s="209"/>
      <c r="X33" s="209"/>
      <c r="Y33" s="209"/>
      <c r="Z33" s="209"/>
      <c r="AA33" s="209"/>
      <c r="AB33" s="209"/>
      <c r="AC33" s="209"/>
      <c r="AD33" s="209"/>
      <c r="AE33" s="209"/>
      <c r="AF33" s="210"/>
      <c r="AG33" s="213"/>
      <c r="AH33" s="209"/>
      <c r="AI33" s="209"/>
      <c r="AJ33" s="209"/>
      <c r="AK33" s="210"/>
      <c r="AL33" s="213"/>
      <c r="AM33" s="209"/>
      <c r="AN33" s="209"/>
      <c r="AO33" s="209"/>
      <c r="AP33" s="209"/>
      <c r="AQ33" s="210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28"/>
      <c r="K34" s="205"/>
      <c r="L34" s="205"/>
      <c r="M34" s="205"/>
      <c r="N34" s="205"/>
      <c r="O34" s="229"/>
      <c r="P34" s="237"/>
      <c r="Q34" s="237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30"/>
      <c r="K35" s="231"/>
      <c r="L35" s="231"/>
      <c r="M35" s="231"/>
      <c r="N35" s="231"/>
      <c r="O35" s="232"/>
      <c r="P35" s="212"/>
      <c r="Q35" s="21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13" t="s">
        <v>104</v>
      </c>
      <c r="C37" s="209"/>
      <c r="D37" s="209"/>
      <c r="E37" s="209"/>
      <c r="F37" s="209"/>
      <c r="G37" s="210"/>
      <c r="H37" s="62"/>
      <c r="I37" s="62"/>
      <c r="J37" s="213"/>
      <c r="K37" s="209"/>
      <c r="L37" s="209"/>
      <c r="M37" s="209"/>
      <c r="N37" s="209"/>
      <c r="O37" s="210"/>
      <c r="P37" s="244" t="s">
        <v>94</v>
      </c>
      <c r="Q37" s="210"/>
      <c r="R37" s="62"/>
      <c r="S37" s="62"/>
      <c r="T37" s="216" t="s">
        <v>105</v>
      </c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210"/>
      <c r="AG37" s="213" t="s">
        <v>74</v>
      </c>
      <c r="AH37" s="209"/>
      <c r="AI37" s="209"/>
      <c r="AJ37" s="209"/>
      <c r="AK37" s="210"/>
      <c r="AL37" s="213" t="s">
        <v>87</v>
      </c>
      <c r="AM37" s="209"/>
      <c r="AN37" s="209"/>
      <c r="AO37" s="209"/>
      <c r="AP37" s="209"/>
      <c r="AQ37" s="210"/>
      <c r="AR37" s="62"/>
    </row>
    <row r="38" spans="1:44" ht="16.5" customHeight="1">
      <c r="A38" s="62"/>
      <c r="B38" s="213" t="s">
        <v>106</v>
      </c>
      <c r="C38" s="209"/>
      <c r="D38" s="209"/>
      <c r="E38" s="209"/>
      <c r="F38" s="210"/>
      <c r="G38" s="73">
        <v>2</v>
      </c>
      <c r="H38" s="62"/>
      <c r="I38" s="62"/>
      <c r="J38" s="213" t="s">
        <v>107</v>
      </c>
      <c r="K38" s="209"/>
      <c r="L38" s="209"/>
      <c r="M38" s="209"/>
      <c r="N38" s="209"/>
      <c r="O38" s="210"/>
      <c r="P38" s="222" t="s">
        <v>108</v>
      </c>
      <c r="Q38" s="210"/>
      <c r="R38" s="62"/>
      <c r="S38" s="62"/>
      <c r="T38" s="222" t="s">
        <v>109</v>
      </c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10"/>
      <c r="AG38" s="222">
        <v>0</v>
      </c>
      <c r="AH38" s="209"/>
      <c r="AI38" s="209"/>
      <c r="AJ38" s="209"/>
      <c r="AK38" s="210"/>
      <c r="AL38" s="235">
        <f>AG38/P33</f>
        <v>0</v>
      </c>
      <c r="AM38" s="209"/>
      <c r="AN38" s="209"/>
      <c r="AO38" s="209"/>
      <c r="AP38" s="209"/>
      <c r="AQ38" s="210"/>
      <c r="AR38" s="62"/>
    </row>
    <row r="39" spans="1:44" ht="16.5" customHeight="1">
      <c r="A39" s="62"/>
      <c r="B39" s="213" t="s">
        <v>110</v>
      </c>
      <c r="C39" s="209"/>
      <c r="D39" s="209"/>
      <c r="E39" s="209"/>
      <c r="F39" s="210"/>
      <c r="G39" s="73">
        <v>3</v>
      </c>
      <c r="H39" s="62"/>
      <c r="I39" s="62"/>
      <c r="J39" s="213" t="s">
        <v>111</v>
      </c>
      <c r="K39" s="209"/>
      <c r="L39" s="209"/>
      <c r="M39" s="209"/>
      <c r="N39" s="209"/>
      <c r="O39" s="210"/>
      <c r="P39" s="222" t="s">
        <v>108</v>
      </c>
      <c r="Q39" s="210"/>
      <c r="R39" s="62"/>
      <c r="S39" s="62"/>
      <c r="T39" s="222" t="s">
        <v>112</v>
      </c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10"/>
      <c r="AG39" s="222">
        <v>20</v>
      </c>
      <c r="AH39" s="209"/>
      <c r="AI39" s="209"/>
      <c r="AJ39" s="209"/>
      <c r="AK39" s="210"/>
      <c r="AL39" s="235">
        <f>AG39/P33</f>
        <v>1.0526315789473684</v>
      </c>
      <c r="AM39" s="209"/>
      <c r="AN39" s="209"/>
      <c r="AO39" s="209"/>
      <c r="AP39" s="209"/>
      <c r="AQ39" s="210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22" t="s">
        <v>113</v>
      </c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10"/>
      <c r="AG40" s="222">
        <v>12</v>
      </c>
      <c r="AH40" s="209"/>
      <c r="AI40" s="209"/>
      <c r="AJ40" s="209"/>
      <c r="AK40" s="210"/>
      <c r="AL40" s="235">
        <f>AG40/P33</f>
        <v>0.63157894736842102</v>
      </c>
      <c r="AM40" s="209"/>
      <c r="AN40" s="209"/>
      <c r="AO40" s="209"/>
      <c r="AP40" s="209"/>
      <c r="AQ40" s="210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22" t="s">
        <v>114</v>
      </c>
      <c r="U41" s="209"/>
      <c r="V41" s="209"/>
      <c r="W41" s="209"/>
      <c r="X41" s="209"/>
      <c r="Y41" s="209"/>
      <c r="Z41" s="209"/>
      <c r="AA41" s="209"/>
      <c r="AB41" s="209"/>
      <c r="AC41" s="209"/>
      <c r="AD41" s="209"/>
      <c r="AE41" s="209"/>
      <c r="AF41" s="210"/>
      <c r="AG41" s="222">
        <v>0</v>
      </c>
      <c r="AH41" s="209"/>
      <c r="AI41" s="209"/>
      <c r="AJ41" s="209"/>
      <c r="AK41" s="210"/>
      <c r="AL41" s="235">
        <f>AG41/P33</f>
        <v>0</v>
      </c>
      <c r="AM41" s="209"/>
      <c r="AN41" s="209"/>
      <c r="AO41" s="209"/>
      <c r="AP41" s="209"/>
      <c r="AQ41" s="210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22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10"/>
      <c r="AG42" s="222"/>
      <c r="AH42" s="209"/>
      <c r="AI42" s="209"/>
      <c r="AJ42" s="209"/>
      <c r="AK42" s="210"/>
      <c r="AL42" s="235"/>
      <c r="AM42" s="209"/>
      <c r="AN42" s="209"/>
      <c r="AO42" s="209"/>
      <c r="AP42" s="209"/>
      <c r="AQ42" s="210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115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14" t="s">
        <v>0</v>
      </c>
      <c r="C51" s="209"/>
      <c r="D51" s="210"/>
      <c r="E51" s="215" t="str">
        <f>GradeSheet!$H$2</f>
        <v>CSE</v>
      </c>
      <c r="F51" s="209"/>
      <c r="G51" s="209"/>
      <c r="H51" s="209"/>
      <c r="I51" s="209"/>
      <c r="J51" s="209"/>
      <c r="K51" s="209"/>
      <c r="L51" s="209"/>
      <c r="M51" s="209"/>
      <c r="N51" s="210"/>
      <c r="O51" s="214" t="str">
        <f>CONCATENATE("Section ", GradeSheet!$L$2,)</f>
        <v>Section 1</v>
      </c>
      <c r="P51" s="209"/>
      <c r="Q51" s="210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17" t="s">
        <v>3</v>
      </c>
      <c r="C52" s="209"/>
      <c r="D52" s="210"/>
      <c r="E52" s="218" t="str">
        <f>GradeSheet!$H$3</f>
        <v>Operating Systems</v>
      </c>
      <c r="F52" s="209"/>
      <c r="G52" s="209"/>
      <c r="H52" s="209"/>
      <c r="I52" s="209"/>
      <c r="J52" s="209"/>
      <c r="K52" s="209"/>
      <c r="L52" s="209"/>
      <c r="M52" s="209"/>
      <c r="N52" s="210"/>
      <c r="O52" s="217" t="str">
        <f>CONCATENATE(GradeSheet!$H$67," students")</f>
        <v>42 students</v>
      </c>
      <c r="P52" s="209"/>
      <c r="Q52" s="210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19" t="s">
        <v>7</v>
      </c>
      <c r="C53" s="209"/>
      <c r="D53" s="210"/>
      <c r="E53" s="220">
        <f>GradeSheet!$H$4</f>
        <v>3</v>
      </c>
      <c r="F53" s="209"/>
      <c r="G53" s="209"/>
      <c r="H53" s="209"/>
      <c r="I53" s="209"/>
      <c r="J53" s="209"/>
      <c r="K53" s="209"/>
      <c r="L53" s="209"/>
      <c r="M53" s="209"/>
      <c r="N53" s="210"/>
      <c r="O53" s="220" t="str">
        <f>GradeSheet!$L$3</f>
        <v>Spring 2025</v>
      </c>
      <c r="P53" s="209"/>
      <c r="Q53" s="210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39" t="s">
        <v>116</v>
      </c>
      <c r="F57" s="240"/>
      <c r="G57" s="240"/>
      <c r="H57" s="240"/>
      <c r="I57" s="240"/>
      <c r="J57" s="240"/>
      <c r="K57" s="240"/>
      <c r="L57" s="240"/>
      <c r="M57" s="241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42"/>
      <c r="F58" s="209"/>
      <c r="G58" s="210"/>
      <c r="H58" s="66" t="s">
        <v>117</v>
      </c>
      <c r="I58" s="66" t="s">
        <v>118</v>
      </c>
      <c r="J58" s="66" t="s">
        <v>119</v>
      </c>
      <c r="K58" s="66" t="s">
        <v>120</v>
      </c>
      <c r="L58" s="66" t="s">
        <v>121</v>
      </c>
      <c r="M58" s="66" t="s">
        <v>122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43" t="s">
        <v>123</v>
      </c>
      <c r="F59" s="209"/>
      <c r="G59" s="210"/>
      <c r="H59" s="67">
        <f>CO_PO_AttainmentAnalysis!AN58</f>
        <v>4</v>
      </c>
      <c r="I59" s="67">
        <f>CO_PO_AttainmentAnalysis!AO58</f>
        <v>0</v>
      </c>
      <c r="J59" s="67">
        <f>CO_PO_AttainmentAnalysis!AP58</f>
        <v>0</v>
      </c>
      <c r="K59" s="67">
        <f>CO_PO_AttainmentAnalysis!AQ58</f>
        <v>0</v>
      </c>
      <c r="L59" s="67">
        <f>CO_PO_AttainmentAnalysis!AR58</f>
        <v>0</v>
      </c>
      <c r="M59" s="67">
        <f>CO_PO_AttainmentAnalysis!AS58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43" t="s">
        <v>124</v>
      </c>
      <c r="F60" s="209"/>
      <c r="G60" s="210"/>
      <c r="H60" s="68">
        <f>CO_PO_AttainmentAnalysis!AH58</f>
        <v>0</v>
      </c>
      <c r="I60" s="68">
        <f>CO_PO_AttainmentAnalysis!AI58</f>
        <v>0</v>
      </c>
      <c r="J60" s="68">
        <f>CO_PO_AttainmentAnalysis!AJ58</f>
        <v>0</v>
      </c>
      <c r="K60" s="68">
        <f>CO_PO_AttainmentAnalysis!AK58</f>
        <v>0</v>
      </c>
      <c r="L60" s="68">
        <f>CO_PO_AttainmentAnalysis!AL58</f>
        <v>0</v>
      </c>
      <c r="M60" s="68">
        <f>CO_PO_AttainmentAnalysis!AM58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0:AF30"/>
    <mergeCell ref="AG30:AK30"/>
    <mergeCell ref="T31:AF31"/>
    <mergeCell ref="AG31:AK31"/>
    <mergeCell ref="AL31:AQ31"/>
    <mergeCell ref="AG32:AK32"/>
    <mergeCell ref="AL32:AQ32"/>
    <mergeCell ref="AG29:AK29"/>
    <mergeCell ref="AL29:AQ29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B38:F38"/>
    <mergeCell ref="AL38:AQ38"/>
    <mergeCell ref="J38:O38"/>
    <mergeCell ref="P38:Q38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3:AF3"/>
    <mergeCell ref="AG3:AN3"/>
    <mergeCell ref="B2:D2"/>
    <mergeCell ref="E2:N2"/>
    <mergeCell ref="O2:Q2"/>
    <mergeCell ref="T2:AN2"/>
    <mergeCell ref="B3:D3"/>
    <mergeCell ref="E3:N3"/>
    <mergeCell ref="O3:Q3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abSelected="1" topLeftCell="A7" workbookViewId="0">
      <selection activeCell="G27" sqref="G27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63"/>
      <c r="D1" s="205"/>
      <c r="E1" s="205"/>
      <c r="F1" s="205"/>
      <c r="G1" s="205"/>
      <c r="H1" s="205"/>
      <c r="I1" s="205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58" t="s">
        <v>125</v>
      </c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255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126</v>
      </c>
      <c r="D2" s="80" t="s">
        <v>117</v>
      </c>
      <c r="E2" s="81" t="s">
        <v>118</v>
      </c>
      <c r="F2" s="81" t="s">
        <v>119</v>
      </c>
      <c r="G2" s="82" t="s">
        <v>120</v>
      </c>
      <c r="H2" s="82" t="s">
        <v>121</v>
      </c>
      <c r="I2" s="82" t="s">
        <v>122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127</v>
      </c>
      <c r="AU2" s="81" t="s">
        <v>128</v>
      </c>
      <c r="AV2" s="81" t="s">
        <v>129</v>
      </c>
      <c r="AW2" s="81" t="s">
        <v>130</v>
      </c>
      <c r="AX2" s="81" t="s">
        <v>131</v>
      </c>
      <c r="AY2" s="81" t="s">
        <v>132</v>
      </c>
      <c r="AZ2" s="81" t="s">
        <v>133</v>
      </c>
      <c r="BA2" s="81" t="s">
        <v>134</v>
      </c>
      <c r="BB2" s="81" t="s">
        <v>135</v>
      </c>
      <c r="BC2" s="81" t="s">
        <v>136</v>
      </c>
      <c r="BD2" s="81" t="s">
        <v>137</v>
      </c>
      <c r="BE2" s="82" t="s">
        <v>138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38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117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44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118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41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119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90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120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47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121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/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47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64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54"/>
      <c r="C11" s="25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68" t="s">
        <v>139</v>
      </c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2"/>
      <c r="AT11" s="104"/>
      <c r="AU11" s="269" t="s">
        <v>140</v>
      </c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2"/>
    </row>
    <row r="12" spans="1:70" ht="14.25">
      <c r="A12" s="265"/>
      <c r="B12" s="205"/>
      <c r="C12" s="266"/>
      <c r="D12" s="270" t="str">
        <f>C3</f>
        <v>Midterm Exam</v>
      </c>
      <c r="E12" s="249"/>
      <c r="F12" s="249"/>
      <c r="G12" s="249"/>
      <c r="H12" s="249"/>
      <c r="I12" s="250"/>
      <c r="J12" s="248" t="str">
        <f>C4</f>
        <v>Final Exam</v>
      </c>
      <c r="K12" s="249"/>
      <c r="L12" s="249"/>
      <c r="M12" s="249"/>
      <c r="N12" s="249"/>
      <c r="O12" s="250"/>
      <c r="P12" s="248" t="s">
        <v>41</v>
      </c>
      <c r="Q12" s="249"/>
      <c r="R12" s="249"/>
      <c r="S12" s="249"/>
      <c r="T12" s="249"/>
      <c r="U12" s="250"/>
      <c r="V12" s="248" t="str">
        <f>C6</f>
        <v>Presentation</v>
      </c>
      <c r="W12" s="249"/>
      <c r="X12" s="249"/>
      <c r="Y12" s="249"/>
      <c r="Z12" s="249"/>
      <c r="AA12" s="250"/>
      <c r="AB12" s="253" t="s">
        <v>141</v>
      </c>
      <c r="AC12" s="254"/>
      <c r="AD12" s="254"/>
      <c r="AE12" s="254"/>
      <c r="AF12" s="254"/>
      <c r="AG12" s="255"/>
      <c r="AH12" s="256" t="s">
        <v>142</v>
      </c>
      <c r="AI12" s="257"/>
      <c r="AJ12" s="257"/>
      <c r="AK12" s="257"/>
      <c r="AL12" s="257"/>
      <c r="AM12" s="252"/>
      <c r="AN12" s="256" t="s">
        <v>143</v>
      </c>
      <c r="AO12" s="257"/>
      <c r="AP12" s="257"/>
      <c r="AQ12" s="257"/>
      <c r="AR12" s="257"/>
      <c r="AS12" s="252"/>
      <c r="AT12" s="104"/>
      <c r="AU12" s="258" t="s">
        <v>142</v>
      </c>
      <c r="AV12" s="254"/>
      <c r="AW12" s="254"/>
      <c r="AX12" s="254"/>
      <c r="AY12" s="254"/>
      <c r="AZ12" s="254"/>
      <c r="BA12" s="254"/>
      <c r="BB12" s="254"/>
      <c r="BC12" s="254"/>
      <c r="BD12" s="254"/>
      <c r="BE12" s="254"/>
      <c r="BF12" s="255"/>
      <c r="BG12" s="258" t="s">
        <v>144</v>
      </c>
      <c r="BH12" s="254"/>
      <c r="BI12" s="254"/>
      <c r="BJ12" s="254"/>
      <c r="BK12" s="254"/>
      <c r="BL12" s="254"/>
      <c r="BM12" s="254"/>
      <c r="BN12" s="254"/>
      <c r="BO12" s="254"/>
      <c r="BP12" s="254"/>
      <c r="BQ12" s="254"/>
      <c r="BR12" s="255"/>
    </row>
    <row r="13" spans="1:70" ht="15.75" thickBot="1">
      <c r="A13" s="267"/>
      <c r="B13" s="249"/>
      <c r="C13" s="250"/>
      <c r="D13" s="107" t="s">
        <v>117</v>
      </c>
      <c r="E13" s="108" t="s">
        <v>118</v>
      </c>
      <c r="F13" s="108" t="s">
        <v>119</v>
      </c>
      <c r="G13" s="109" t="s">
        <v>120</v>
      </c>
      <c r="H13" s="109" t="s">
        <v>121</v>
      </c>
      <c r="I13" s="110" t="s">
        <v>122</v>
      </c>
      <c r="J13" s="111" t="s">
        <v>117</v>
      </c>
      <c r="K13" s="112" t="s">
        <v>118</v>
      </c>
      <c r="L13" s="112" t="s">
        <v>119</v>
      </c>
      <c r="M13" s="113" t="s">
        <v>120</v>
      </c>
      <c r="N13" s="113" t="s">
        <v>121</v>
      </c>
      <c r="O13" s="114" t="s">
        <v>122</v>
      </c>
      <c r="P13" s="115" t="s">
        <v>117</v>
      </c>
      <c r="Q13" s="116" t="s">
        <v>118</v>
      </c>
      <c r="R13" s="116" t="s">
        <v>119</v>
      </c>
      <c r="S13" s="116" t="s">
        <v>120</v>
      </c>
      <c r="T13" s="116" t="s">
        <v>121</v>
      </c>
      <c r="U13" s="117" t="s">
        <v>122</v>
      </c>
      <c r="V13" s="115" t="s">
        <v>117</v>
      </c>
      <c r="W13" s="116" t="s">
        <v>118</v>
      </c>
      <c r="X13" s="116" t="s">
        <v>119</v>
      </c>
      <c r="Y13" s="116" t="s">
        <v>120</v>
      </c>
      <c r="Z13" s="116" t="s">
        <v>121</v>
      </c>
      <c r="AA13" s="117" t="s">
        <v>122</v>
      </c>
      <c r="AB13" s="80" t="s">
        <v>117</v>
      </c>
      <c r="AC13" s="80" t="s">
        <v>118</v>
      </c>
      <c r="AD13" s="80" t="s">
        <v>119</v>
      </c>
      <c r="AE13" s="80" t="s">
        <v>120</v>
      </c>
      <c r="AF13" s="80" t="s">
        <v>121</v>
      </c>
      <c r="AG13" s="80" t="s">
        <v>122</v>
      </c>
      <c r="AH13" s="118" t="s">
        <v>117</v>
      </c>
      <c r="AI13" s="119" t="s">
        <v>118</v>
      </c>
      <c r="AJ13" s="119" t="s">
        <v>119</v>
      </c>
      <c r="AK13" s="120" t="s">
        <v>120</v>
      </c>
      <c r="AL13" s="121" t="s">
        <v>121</v>
      </c>
      <c r="AM13" s="120" t="s">
        <v>122</v>
      </c>
      <c r="AN13" s="118" t="s">
        <v>117</v>
      </c>
      <c r="AO13" s="119" t="s">
        <v>118</v>
      </c>
      <c r="AP13" s="119" t="s">
        <v>119</v>
      </c>
      <c r="AQ13" s="121" t="s">
        <v>120</v>
      </c>
      <c r="AR13" s="121" t="s">
        <v>121</v>
      </c>
      <c r="AS13" s="120" t="s">
        <v>122</v>
      </c>
      <c r="AT13" s="122"/>
      <c r="AU13" s="118" t="s">
        <v>127</v>
      </c>
      <c r="AV13" s="119" t="s">
        <v>128</v>
      </c>
      <c r="AW13" s="119" t="s">
        <v>129</v>
      </c>
      <c r="AX13" s="119" t="s">
        <v>130</v>
      </c>
      <c r="AY13" s="119" t="s">
        <v>131</v>
      </c>
      <c r="AZ13" s="119" t="s">
        <v>132</v>
      </c>
      <c r="BA13" s="119" t="s">
        <v>133</v>
      </c>
      <c r="BB13" s="119" t="s">
        <v>134</v>
      </c>
      <c r="BC13" s="119" t="s">
        <v>135</v>
      </c>
      <c r="BD13" s="119" t="s">
        <v>136</v>
      </c>
      <c r="BE13" s="119" t="s">
        <v>137</v>
      </c>
      <c r="BF13" s="120" t="s">
        <v>138</v>
      </c>
      <c r="BG13" s="80" t="s">
        <v>127</v>
      </c>
      <c r="BH13" s="81" t="s">
        <v>128</v>
      </c>
      <c r="BI13" s="81" t="s">
        <v>129</v>
      </c>
      <c r="BJ13" s="81" t="s">
        <v>130</v>
      </c>
      <c r="BK13" s="81" t="s">
        <v>131</v>
      </c>
      <c r="BL13" s="81" t="s">
        <v>132</v>
      </c>
      <c r="BM13" s="81" t="s">
        <v>133</v>
      </c>
      <c r="BN13" s="81" t="s">
        <v>134</v>
      </c>
      <c r="BO13" s="81" t="s">
        <v>135</v>
      </c>
      <c r="BP13" s="81" t="s">
        <v>136</v>
      </c>
      <c r="BQ13" s="81" t="s">
        <v>137</v>
      </c>
      <c r="BR13" s="82" t="s">
        <v>138</v>
      </c>
    </row>
    <row r="14" spans="1:70" ht="15.75" thickBot="1">
      <c r="A14" s="123" t="s">
        <v>145</v>
      </c>
      <c r="B14" s="124" t="s">
        <v>15</v>
      </c>
      <c r="C14" s="125" t="s">
        <v>16</v>
      </c>
      <c r="D14" s="288">
        <f t="shared" ref="D14:I14" si="2">D3</f>
        <v>6</v>
      </c>
      <c r="E14" s="289">
        <f t="shared" si="2"/>
        <v>3</v>
      </c>
      <c r="F14" s="289">
        <f t="shared" si="2"/>
        <v>0</v>
      </c>
      <c r="G14" s="289">
        <f t="shared" si="2"/>
        <v>0</v>
      </c>
      <c r="H14" s="289">
        <f t="shared" si="2"/>
        <v>0</v>
      </c>
      <c r="I14" s="289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59" t="s">
        <v>146</v>
      </c>
      <c r="AO14" s="257"/>
      <c r="AP14" s="257"/>
      <c r="AQ14" s="257"/>
      <c r="AR14" s="257"/>
      <c r="AS14" s="252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60" t="s">
        <v>147</v>
      </c>
      <c r="BH14" s="261"/>
      <c r="BI14" s="261"/>
      <c r="BJ14" s="261"/>
      <c r="BK14" s="261"/>
      <c r="BL14" s="261"/>
      <c r="BM14" s="261"/>
      <c r="BN14" s="261"/>
      <c r="BO14" s="261"/>
      <c r="BP14" s="261"/>
      <c r="BQ14" s="261"/>
      <c r="BR14" s="262"/>
    </row>
    <row r="15" spans="1:70" ht="16.5" thickBot="1">
      <c r="A15" s="136">
        <v>1</v>
      </c>
      <c r="B15" s="22"/>
      <c r="C15" s="286"/>
      <c r="D15" s="290"/>
      <c r="E15" s="291"/>
      <c r="F15" s="292"/>
      <c r="G15" s="293"/>
      <c r="H15" s="293"/>
      <c r="I15" s="293"/>
      <c r="J15" s="287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 t="shared" ref="AB15:AE15" si="7">SUM(V15,D15,J15)</f>
        <v>0</v>
      </c>
      <c r="AC15" s="143">
        <f t="shared" si="7"/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2"/>
      <c r="C16" s="286"/>
      <c r="D16" s="291"/>
      <c r="E16" s="291"/>
      <c r="F16" s="293"/>
      <c r="G16" s="293"/>
      <c r="H16" s="293"/>
      <c r="I16" s="293"/>
      <c r="J16" s="287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2"/>
      <c r="C17" s="30"/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2"/>
      <c r="C18" s="30"/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2"/>
      <c r="C19" s="30"/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2"/>
      <c r="C20" s="30"/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2"/>
      <c r="C21" s="30"/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2"/>
      <c r="C22" s="30"/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2"/>
      <c r="C23" s="30"/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32"/>
      <c r="C24" s="30"/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2"/>
      <c r="C25" s="30"/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2"/>
      <c r="C26" s="30"/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2"/>
      <c r="C27" s="30"/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2"/>
      <c r="C28" s="30"/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2"/>
      <c r="C29" s="30"/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2"/>
      <c r="C30" s="30"/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2"/>
      <c r="C31" s="30"/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2"/>
      <c r="C32" s="30"/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2"/>
      <c r="C33" s="30"/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2"/>
      <c r="C34" s="30"/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2"/>
      <c r="C35" s="30"/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2"/>
      <c r="C36" s="30"/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2"/>
      <c r="C37" s="30"/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2"/>
      <c r="C38" s="30"/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2"/>
      <c r="C39" s="30"/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2"/>
      <c r="C40" s="30"/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2"/>
      <c r="C41" s="30"/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2"/>
      <c r="C42" s="30"/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2"/>
      <c r="C43" s="30"/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2"/>
      <c r="C44" s="30"/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2"/>
      <c r="C45" s="30"/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2"/>
      <c r="C46" s="30"/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148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2"/>
      <c r="C47" s="30"/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2"/>
      <c r="C48" s="30"/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2"/>
      <c r="C49" s="30"/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2"/>
      <c r="C50" s="30"/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2"/>
      <c r="C51" s="30"/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2"/>
      <c r="C52" s="30"/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2"/>
      <c r="C53" s="30"/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2"/>
      <c r="C54" s="30"/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2"/>
      <c r="C55" s="30"/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>
      <c r="A56" s="149">
        <v>42</v>
      </c>
      <c r="B56" s="22"/>
      <c r="C56" s="30"/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>
      <c r="A57" s="161"/>
      <c r="B57" s="162"/>
      <c r="C57" s="163"/>
      <c r="D57" s="164"/>
      <c r="E57" s="164"/>
      <c r="F57" s="165"/>
      <c r="G57" s="165"/>
      <c r="H57" s="165"/>
      <c r="I57" s="165"/>
      <c r="J57" s="164"/>
      <c r="K57" s="164"/>
      <c r="L57" s="164"/>
      <c r="M57" s="165"/>
      <c r="N57" s="165"/>
      <c r="O57" s="166"/>
      <c r="P57" s="165"/>
      <c r="Q57" s="165"/>
      <c r="R57" s="165"/>
      <c r="S57" s="165"/>
      <c r="T57" s="165"/>
      <c r="U57" s="166"/>
      <c r="V57" s="165"/>
      <c r="W57" s="165"/>
      <c r="X57" s="165"/>
      <c r="Y57" s="165"/>
      <c r="Z57" s="165"/>
      <c r="AA57" s="166"/>
      <c r="AB57" s="167"/>
      <c r="AC57" s="167"/>
      <c r="AD57" s="167"/>
      <c r="AE57" s="167"/>
      <c r="AF57" s="167"/>
      <c r="AG57" s="167"/>
      <c r="AH57" s="168"/>
      <c r="AI57" s="168"/>
      <c r="AJ57" s="168"/>
      <c r="AK57" s="168"/>
      <c r="AL57" s="168"/>
      <c r="AM57" s="168"/>
      <c r="AN57" s="169"/>
      <c r="AO57" s="169"/>
      <c r="AP57" s="169"/>
      <c r="AQ57" s="169"/>
      <c r="AR57" s="169"/>
      <c r="AS57" s="158"/>
      <c r="AT57" s="170"/>
      <c r="AU57" s="171"/>
      <c r="AV57" s="171"/>
      <c r="AW57" s="171"/>
      <c r="AX57" s="171"/>
      <c r="AY57" s="171"/>
      <c r="AZ57" s="171"/>
      <c r="BA57" s="171"/>
      <c r="BB57" s="171"/>
      <c r="BC57" s="171"/>
      <c r="BD57" s="171"/>
      <c r="BE57" s="171"/>
      <c r="BF57" s="171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</row>
    <row r="58" spans="1:70" ht="15.75" customHeight="1">
      <c r="A58" s="172">
        <v>42</v>
      </c>
      <c r="B58" s="251" t="s">
        <v>149</v>
      </c>
      <c r="C58" s="252"/>
      <c r="D58" s="173" t="e">
        <f t="shared" ref="D58:W58" si="98">AVERAGE(D15:D56)</f>
        <v>#DIV/0!</v>
      </c>
      <c r="E58" s="173" t="e">
        <f t="shared" si="98"/>
        <v>#DIV/0!</v>
      </c>
      <c r="F58" s="173" t="e">
        <f t="shared" si="98"/>
        <v>#DIV/0!</v>
      </c>
      <c r="G58" s="173" t="e">
        <f t="shared" si="98"/>
        <v>#DIV/0!</v>
      </c>
      <c r="H58" s="173" t="e">
        <f t="shared" si="98"/>
        <v>#DIV/0!</v>
      </c>
      <c r="I58" s="173" t="e">
        <f t="shared" si="98"/>
        <v>#DIV/0!</v>
      </c>
      <c r="J58" s="173" t="e">
        <f t="shared" si="98"/>
        <v>#DIV/0!</v>
      </c>
      <c r="K58" s="173" t="e">
        <f t="shared" si="98"/>
        <v>#DIV/0!</v>
      </c>
      <c r="L58" s="173" t="e">
        <f t="shared" si="98"/>
        <v>#DIV/0!</v>
      </c>
      <c r="M58" s="173" t="e">
        <f t="shared" si="98"/>
        <v>#DIV/0!</v>
      </c>
      <c r="N58" s="173" t="e">
        <f t="shared" si="98"/>
        <v>#DIV/0!</v>
      </c>
      <c r="O58" s="173" t="e">
        <f t="shared" si="98"/>
        <v>#DIV/0!</v>
      </c>
      <c r="P58" s="173" t="e">
        <f t="shared" si="98"/>
        <v>#DIV/0!</v>
      </c>
      <c r="Q58" s="173" t="e">
        <f t="shared" si="98"/>
        <v>#DIV/0!</v>
      </c>
      <c r="R58" s="173" t="e">
        <f t="shared" si="98"/>
        <v>#DIV/0!</v>
      </c>
      <c r="S58" s="173" t="e">
        <f t="shared" si="98"/>
        <v>#DIV/0!</v>
      </c>
      <c r="T58" s="173" t="e">
        <f t="shared" si="98"/>
        <v>#DIV/0!</v>
      </c>
      <c r="U58" s="173" t="e">
        <f t="shared" si="98"/>
        <v>#DIV/0!</v>
      </c>
      <c r="V58" s="173" t="e">
        <f t="shared" si="98"/>
        <v>#DIV/0!</v>
      </c>
      <c r="W58" s="173" t="e">
        <f t="shared" si="98"/>
        <v>#DIV/0!</v>
      </c>
      <c r="X58" s="174" t="e">
        <f t="shared" ref="X58:AF58" si="99">AVERAGE(X15:X54)</f>
        <v>#DIV/0!</v>
      </c>
      <c r="Y58" s="174" t="e">
        <f t="shared" si="99"/>
        <v>#DIV/0!</v>
      </c>
      <c r="Z58" s="174" t="e">
        <f t="shared" si="99"/>
        <v>#DIV/0!</v>
      </c>
      <c r="AA58" s="174" t="e">
        <f t="shared" si="99"/>
        <v>#DIV/0!</v>
      </c>
      <c r="AB58" s="173">
        <f t="shared" si="99"/>
        <v>0</v>
      </c>
      <c r="AC58" s="173">
        <f t="shared" si="99"/>
        <v>0</v>
      </c>
      <c r="AD58" s="173">
        <f t="shared" si="99"/>
        <v>0</v>
      </c>
      <c r="AE58" s="173">
        <f t="shared" si="99"/>
        <v>0</v>
      </c>
      <c r="AF58" s="173">
        <f t="shared" si="99"/>
        <v>0</v>
      </c>
      <c r="AG58" s="173">
        <f>AVERAGE(AG15:AG55)</f>
        <v>0</v>
      </c>
      <c r="AH58" s="129">
        <f>(SUMIFS(AH15:AH56,GradeSheet!M10:'GradeSheet'!M51,"&lt;&gt;W (Withdrawn)",GradeSheet!M10:'GradeSheet'!M51,"&lt;&gt;I (Incomplete)"))/($A$58-GradeSheet!$H$65-GradeSheet!$H$66)</f>
        <v>0</v>
      </c>
      <c r="AI58" s="129">
        <f>(SUMIFS(AI15:AI56,GradeSheet!N10:'GradeSheet'!N51,"&lt;&gt;W (Withdrawn)",GradeSheet!N10:'GradeSheet'!N51,"&lt;&gt;I (Incomplete)"))/($A$58-GradeSheet!$H$65-GradeSheet!$H$66)</f>
        <v>0</v>
      </c>
      <c r="AJ58" s="129">
        <f>(SUMIFS(AJ15:AJ56,GradeSheet!O10:'GradeSheet'!O51,"&lt;&gt;W (Withdrawn)",GradeSheet!O10:'GradeSheet'!O51,"&lt;&gt;I (Incomplete)"))/($A$58-GradeSheet!$H$65-GradeSheet!$H$66)</f>
        <v>0</v>
      </c>
      <c r="AK58" s="129">
        <f>(SUMIFS(AK15:AK56,GradeSheet!P10:'GradeSheet'!P51,"&lt;&gt;W (Withdrawn)",GradeSheet!P10:'GradeSheet'!P51,"&lt;&gt;I (Incomplete)"))/($A$58-GradeSheet!$H$65-GradeSheet!$H$66)</f>
        <v>0</v>
      </c>
      <c r="AL58" s="129">
        <f>(SUMIFS(AL15:AL56,GradeSheet!Q10:'GradeSheet'!Q51,"&lt;&gt;W (Withdrawn)",GradeSheet!Q10:'GradeSheet'!Q51,"&lt;&gt;I (Incomplete)"))/($A$58-GradeSheet!$H$65-GradeSheet!$H$66)</f>
        <v>0</v>
      </c>
      <c r="AM58" s="129">
        <f>(SUMIFS(AM15:AM56,GradeSheet!R10:'GradeSheet'!R51,"&lt;&gt;W (Withdrawn)",GradeSheet!R10:'GradeSheet'!R51,"&lt;&gt;I (Incomplete)"))/($A$58-GradeSheet!$H$65-GradeSheet!$H$66)</f>
        <v>0</v>
      </c>
      <c r="AN58" s="126">
        <f t="shared" ref="AN58:AS58" si="100">SUM(AN15:AN54)</f>
        <v>4</v>
      </c>
      <c r="AO58" s="126">
        <f t="shared" si="100"/>
        <v>0</v>
      </c>
      <c r="AP58" s="126">
        <f t="shared" si="100"/>
        <v>0</v>
      </c>
      <c r="AQ58" s="126">
        <f t="shared" si="100"/>
        <v>0</v>
      </c>
      <c r="AR58" s="126">
        <f t="shared" si="100"/>
        <v>0</v>
      </c>
      <c r="AS58" s="126">
        <f t="shared" si="100"/>
        <v>0</v>
      </c>
      <c r="AT58" s="122"/>
      <c r="AU58" s="129" t="e">
        <f>(SUMIFS(AU15:AU54,GradeSheet!M10:GradeSheet!#REF!,"&lt;&gt;W (Withdrawn)",GradeSheet!M10:GradeSheet!#REF!,"&lt;&gt;I (Incomplete)"))/($A$56-GradeSheet!$H$63-GradeSheet!$H$64)</f>
        <v>#REF!</v>
      </c>
      <c r="AV58" s="129" t="e">
        <f>(SUMIFS(AV15:AV54,GradeSheet!N10:GradeSheet!#REF!,"&lt;&gt;W (Withdrawn)",GradeSheet!N10:GradeSheet!#REF!,"&lt;&gt;I (Incomplete)"))/($A$56-GradeSheet!$H$63-GradeSheet!$H$64)</f>
        <v>#REF!</v>
      </c>
      <c r="AW58" s="129" t="e">
        <f>(SUMIFS(AW15:AW54,GradeSheet!O10:GradeSheet!#REF!,"&lt;&gt;W (Withdrawn)",GradeSheet!O10:GradeSheet!#REF!,"&lt;&gt;I (Incomplete)"))/($A$56-GradeSheet!$H$63-GradeSheet!$H$64)</f>
        <v>#REF!</v>
      </c>
      <c r="AX58" s="129" t="e">
        <f>(SUMIFS(AX15:AX54,GradeSheet!P10:GradeSheet!#REF!,"&lt;&gt;W (Withdrawn)",GradeSheet!P10:GradeSheet!#REF!,"&lt;&gt;I (Incomplete)"))/($A$56-GradeSheet!$H$63-GradeSheet!$H$64)</f>
        <v>#REF!</v>
      </c>
      <c r="AY58" s="129" t="e">
        <f>(SUMIFS(AY15:AY54,GradeSheet!Q10:GradeSheet!#REF!,"&lt;&gt;W (Withdrawn)",GradeSheet!Q10:GradeSheet!#REF!,"&lt;&gt;I (Incomplete)"))/($A$56-GradeSheet!$H$63-GradeSheet!$H$64)</f>
        <v>#REF!</v>
      </c>
      <c r="AZ58" s="129" t="e">
        <f>(SUMIFS(AZ15:AZ54,GradeSheet!R10:GradeSheet!#REF!,"&lt;&gt;W (Withdrawn)",GradeSheet!R10:GradeSheet!#REF!,"&lt;&gt;I (Incomplete)"))/($A$56-GradeSheet!$H$63-GradeSheet!$H$64)</f>
        <v>#REF!</v>
      </c>
      <c r="BA58" s="129" t="e">
        <f>(SUMIFS(BA15:BA54,GradeSheet!T10:GradeSheet!#REF!,"&lt;&gt;W (Withdrawn)",GradeSheet!T10:GradeSheet!#REF!,"&lt;&gt;I (Incomplete)"))/($A$56-GradeSheet!$H$63-GradeSheet!$H$64)</f>
        <v>#REF!</v>
      </c>
      <c r="BB58" s="129" t="e">
        <f>(SUMIFS(BB15:BB54,GradeSheet!U10:GradeSheet!#REF!,"&lt;&gt;W (Withdrawn)",GradeSheet!U10:GradeSheet!#REF!,"&lt;&gt;I (Incomplete)"))/($A$56-GradeSheet!$H$63-GradeSheet!$H$64)</f>
        <v>#REF!</v>
      </c>
      <c r="BC58" s="129" t="e">
        <f>(SUMIFS(BC15:BC54,GradeSheet!#REF!:GradeSheet!#REF!,"&lt;&gt;W (Withdrawn)",GradeSheet!#REF!:GradeSheet!#REF!,"&lt;&gt;I (Incomplete)"))/($A$56-GradeSheet!$H$63-GradeSheet!$H$64)</f>
        <v>#REF!</v>
      </c>
      <c r="BD58" s="129" t="e">
        <f>(SUMIFS(BD15:BD54,GradeSheet!W10:GradeSheet!#REF!,"&lt;&gt;W (Withdrawn)",GradeSheet!W10:GradeSheet!#REF!,"&lt;&gt;I (Incomplete)"))/($A$56-GradeSheet!$H$63-GradeSheet!$H$64)</f>
        <v>#REF!</v>
      </c>
      <c r="BE58" s="129" t="e">
        <f>(SUMIFS(BE15:BE54,GradeSheet!X10:GradeSheet!#REF!,"&lt;&gt;W (Withdrawn)",GradeSheet!X10:GradeSheet!#REF!,"&lt;&gt;I (Incomplete)"))/($A$56-GradeSheet!$H$63-GradeSheet!$H$64)</f>
        <v>#REF!</v>
      </c>
      <c r="BF58" s="129" t="e">
        <f>(SUMIFS(BF15:BF54,GradeSheet!Y10:GradeSheet!#REF!,"&lt;&gt;W (Withdrawn)",GradeSheet!Y10:GradeSheet!#REF!,"&lt;&gt;I (Incomplete)"))/($A$56-GradeSheet!$H$63-GradeSheet!$H$64)</f>
        <v>#REF!</v>
      </c>
      <c r="BG58" s="126">
        <f t="shared" ref="BG58:BR58" si="101">SUM(BG15:BG54)</f>
        <v>0</v>
      </c>
      <c r="BH58" s="127">
        <f t="shared" si="101"/>
        <v>0</v>
      </c>
      <c r="BI58" s="127">
        <f t="shared" si="101"/>
        <v>0</v>
      </c>
      <c r="BJ58" s="127">
        <f t="shared" si="101"/>
        <v>0</v>
      </c>
      <c r="BK58" s="127">
        <f t="shared" si="101"/>
        <v>0</v>
      </c>
      <c r="BL58" s="127">
        <f t="shared" si="101"/>
        <v>0</v>
      </c>
      <c r="BM58" s="127">
        <f t="shared" si="101"/>
        <v>0</v>
      </c>
      <c r="BN58" s="127">
        <f t="shared" si="101"/>
        <v>0</v>
      </c>
      <c r="BO58" s="127">
        <f t="shared" si="101"/>
        <v>0</v>
      </c>
      <c r="BP58" s="127">
        <f t="shared" si="101"/>
        <v>0</v>
      </c>
      <c r="BQ58" s="127">
        <f t="shared" si="101"/>
        <v>0</v>
      </c>
      <c r="BR58" s="175">
        <f t="shared" si="101"/>
        <v>0</v>
      </c>
    </row>
    <row r="59" spans="1:70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</row>
    <row r="60" spans="1:7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176"/>
      <c r="AI60" s="176"/>
      <c r="AJ60" s="176"/>
      <c r="AK60" s="176"/>
      <c r="AL60" s="176"/>
      <c r="AM60" s="176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</row>
    <row r="61" spans="1:70" ht="15.75" customHeight="1">
      <c r="A61" s="78"/>
      <c r="B61" s="78"/>
      <c r="C61" s="1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176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</row>
    <row r="62" spans="1:70" ht="15.75" customHeight="1">
      <c r="A62" s="78"/>
      <c r="B62" s="204" t="s">
        <v>10</v>
      </c>
      <c r="C62" s="205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</row>
    <row r="63" spans="1:70" ht="15.75" customHeight="1">
      <c r="A63" s="78"/>
      <c r="B63" s="204" t="s">
        <v>58</v>
      </c>
      <c r="C63" s="205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</row>
    <row r="64" spans="1:70" ht="15.75" customHeight="1">
      <c r="A64" s="78"/>
      <c r="B64" s="204" t="str">
        <f>GradeSheet!$B$68</f>
        <v>Department of CSE, ULAB</v>
      </c>
      <c r="C64" s="205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</row>
    <row r="65" spans="1:70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176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  <c r="BD65" s="78"/>
      <c r="BE65" s="78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</row>
    <row r="66" spans="1:70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176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  <c r="AU66" s="78"/>
      <c r="AV66" s="78"/>
      <c r="AW66" s="78"/>
      <c r="AX66" s="78"/>
      <c r="AY66" s="78"/>
      <c r="AZ66" s="78"/>
      <c r="BA66" s="78"/>
      <c r="BB66" s="78"/>
      <c r="BC66" s="78"/>
      <c r="BD66" s="78"/>
      <c r="BE66" s="78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</row>
    <row r="67" spans="1:70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  <c r="AU67" s="78"/>
      <c r="AV67" s="78"/>
      <c r="AW67" s="78"/>
      <c r="AX67" s="78"/>
      <c r="AY67" s="78"/>
      <c r="AZ67" s="78"/>
      <c r="BA67" s="78"/>
      <c r="BB67" s="78"/>
      <c r="BC67" s="78"/>
      <c r="BD67" s="78"/>
      <c r="BE67" s="78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1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</row>
    <row r="79" spans="1:70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</row>
    <row r="80" spans="1:7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</row>
    <row r="81" spans="1:70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</row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20"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B64:C64"/>
    <mergeCell ref="AB12:AG12"/>
    <mergeCell ref="AH12:AM12"/>
    <mergeCell ref="AN12:AS12"/>
    <mergeCell ref="AU12:BF12"/>
    <mergeCell ref="AN14:AS14"/>
    <mergeCell ref="P12:U12"/>
    <mergeCell ref="V12:AA12"/>
    <mergeCell ref="B58:C58"/>
    <mergeCell ref="B62:C62"/>
    <mergeCell ref="B63:C63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workbookViewId="0">
      <selection sqref="A1:D1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73" t="s">
        <v>150</v>
      </c>
      <c r="B1" s="257"/>
      <c r="C1" s="257"/>
      <c r="D1" s="252"/>
      <c r="E1" s="179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</row>
    <row r="2" spans="1:24" ht="16.5">
      <c r="A2" s="181" t="s">
        <v>0</v>
      </c>
      <c r="B2" s="182" t="str">
        <f>GradeSheet!$H$2</f>
        <v>CSE</v>
      </c>
      <c r="C2" s="183" t="s">
        <v>2</v>
      </c>
      <c r="D2" s="184">
        <f>GradeSheet!$L$2</f>
        <v>1</v>
      </c>
      <c r="E2" s="179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</row>
    <row r="3" spans="1:24" ht="16.5" customHeight="1">
      <c r="A3" s="181" t="s">
        <v>3</v>
      </c>
      <c r="B3" s="182" t="str">
        <f>GradeSheet!$H$3</f>
        <v>Operating Systems</v>
      </c>
      <c r="C3" s="185" t="s">
        <v>5</v>
      </c>
      <c r="D3" s="186" t="str">
        <f>GradeSheet!$L$3</f>
        <v>Spring 2025</v>
      </c>
      <c r="E3" s="179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</row>
    <row r="4" spans="1:24" ht="16.5">
      <c r="A4" s="181" t="s">
        <v>7</v>
      </c>
      <c r="B4" s="187">
        <f>GradeSheet!$H$4</f>
        <v>3</v>
      </c>
      <c r="C4" s="188" t="s">
        <v>151</v>
      </c>
      <c r="D4" s="189">
        <f>GradeSheet!$H$67</f>
        <v>42</v>
      </c>
      <c r="E4" s="179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</row>
    <row r="5" spans="1:24" ht="16.5">
      <c r="A5" s="179"/>
      <c r="B5" s="179"/>
      <c r="C5" s="179"/>
      <c r="D5" s="179"/>
      <c r="E5" s="179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</row>
    <row r="6" spans="1:24" ht="16.5">
      <c r="A6" s="274" t="s">
        <v>152</v>
      </c>
      <c r="B6" s="275"/>
      <c r="C6" s="190" t="s">
        <v>153</v>
      </c>
      <c r="D6" s="191" t="s">
        <v>143</v>
      </c>
      <c r="E6" s="179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</row>
    <row r="7" spans="1:24" ht="16.5">
      <c r="A7" s="271" t="s">
        <v>117</v>
      </c>
      <c r="B7" s="272"/>
      <c r="C7" s="276" t="s">
        <v>154</v>
      </c>
      <c r="D7" s="192">
        <f>CO_PO_AttainmentAnalysis!AN58/(GradeSheet!H67-GradeSheet!H66-GradeSheet!H65)</f>
        <v>9.5238095238095233E-2</v>
      </c>
      <c r="E7" s="179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  <c r="S7" s="180"/>
      <c r="T7" s="180"/>
      <c r="U7" s="180"/>
      <c r="V7" s="180"/>
      <c r="W7" s="180"/>
      <c r="X7" s="180"/>
    </row>
    <row r="8" spans="1:24" ht="16.5">
      <c r="A8" s="274" t="s">
        <v>118</v>
      </c>
      <c r="B8" s="257"/>
      <c r="C8" s="277"/>
      <c r="D8" s="192">
        <f>CO_PO_AttainmentAnalysis!$AO$58/(GradeSheet!H67-GradeSheet!H66-GradeSheet!H65)</f>
        <v>0</v>
      </c>
      <c r="E8" s="179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</row>
    <row r="9" spans="1:24" ht="16.5">
      <c r="A9" s="271" t="s">
        <v>119</v>
      </c>
      <c r="B9" s="272"/>
      <c r="C9" s="277"/>
      <c r="D9" s="192">
        <f>CO_PO_AttainmentAnalysis!$AP$58/(GradeSheet!H67-GradeSheet!H66-GradeSheet!H65)</f>
        <v>0</v>
      </c>
      <c r="E9" s="179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</row>
    <row r="10" spans="1:24" ht="16.5">
      <c r="A10" s="271" t="s">
        <v>120</v>
      </c>
      <c r="B10" s="272"/>
      <c r="C10" s="277"/>
      <c r="D10" s="192">
        <f>CO_PO_AttainmentAnalysis!$AQ$58/(GradeSheet!H67-GradeSheet!H66-GradeSheet!H65)</f>
        <v>0</v>
      </c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1:24" ht="16.5">
      <c r="A11" s="271" t="s">
        <v>121</v>
      </c>
      <c r="B11" s="272"/>
      <c r="C11" s="277"/>
      <c r="D11" s="192">
        <f>CO_PO_AttainmentAnalysis!$AR$58/(GradeSheet!H67-GradeSheet!H66-GradeSheet!H65)</f>
        <v>0</v>
      </c>
      <c r="E11" s="179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</row>
    <row r="12" spans="1:24" ht="16.5">
      <c r="A12" s="271" t="s">
        <v>122</v>
      </c>
      <c r="B12" s="272"/>
      <c r="C12" s="278"/>
      <c r="D12" s="192">
        <f>CO_PO_AttainmentAnalysis!$AS$58/(GradeSheet!H67-GradeSheet!H66-GradeSheet!H65)</f>
        <v>0</v>
      </c>
      <c r="E12" s="179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</row>
    <row r="13" spans="1:24" ht="16.5">
      <c r="A13" s="179"/>
      <c r="B13" s="179"/>
      <c r="C13" s="179"/>
      <c r="D13" s="179"/>
      <c r="E13" s="179"/>
      <c r="F13" s="180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</row>
    <row r="14" spans="1:24" ht="27" customHeight="1">
      <c r="A14" s="281" t="s">
        <v>155</v>
      </c>
      <c r="B14" s="231"/>
      <c r="C14" s="231"/>
      <c r="D14" s="231"/>
      <c r="E14" s="179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</row>
    <row r="15" spans="1:24" ht="15.75">
      <c r="A15" s="282"/>
      <c r="B15" s="209"/>
      <c r="C15" s="209"/>
      <c r="D15" s="210"/>
      <c r="E15" s="193"/>
      <c r="F15" s="194"/>
      <c r="G15" s="194"/>
      <c r="H15" s="194"/>
      <c r="I15" s="194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</row>
    <row r="16" spans="1:24" ht="16.5" customHeight="1">
      <c r="A16" s="283" t="s">
        <v>156</v>
      </c>
      <c r="B16" s="209"/>
      <c r="C16" s="209"/>
      <c r="D16" s="210"/>
      <c r="E16" s="193"/>
      <c r="F16" s="194"/>
      <c r="G16" s="194"/>
      <c r="H16" s="194"/>
      <c r="I16" s="194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</row>
    <row r="17" spans="1:24" ht="15.75">
      <c r="A17" s="284" t="s">
        <v>157</v>
      </c>
      <c r="B17" s="209"/>
      <c r="C17" s="209"/>
      <c r="D17" s="210"/>
      <c r="E17" s="193"/>
      <c r="F17" s="194"/>
      <c r="G17" s="194"/>
      <c r="H17" s="194"/>
      <c r="I17" s="194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</row>
    <row r="18" spans="1:24" ht="15.75">
      <c r="A18" s="284" t="s">
        <v>158</v>
      </c>
      <c r="B18" s="209"/>
      <c r="C18" s="209"/>
      <c r="D18" s="210"/>
      <c r="E18" s="193"/>
      <c r="F18" s="194"/>
      <c r="G18" s="194"/>
      <c r="H18" s="194"/>
      <c r="I18" s="194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</row>
    <row r="19" spans="1:24" ht="15.75">
      <c r="A19" s="279"/>
      <c r="B19" s="209"/>
      <c r="C19" s="209"/>
      <c r="D19" s="210"/>
      <c r="E19" s="193"/>
      <c r="F19" s="194"/>
      <c r="G19" s="194"/>
      <c r="H19" s="194"/>
      <c r="I19" s="194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</row>
    <row r="20" spans="1:24" ht="15.75">
      <c r="A20" s="279"/>
      <c r="B20" s="209"/>
      <c r="C20" s="209"/>
      <c r="D20" s="210"/>
      <c r="E20" s="193"/>
      <c r="F20" s="194"/>
      <c r="G20" s="194"/>
      <c r="H20" s="194"/>
      <c r="I20" s="194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</row>
    <row r="21" spans="1:24" ht="15.75" customHeight="1">
      <c r="A21" s="195"/>
      <c r="B21" s="196"/>
      <c r="C21" s="196"/>
      <c r="D21" s="197"/>
      <c r="E21" s="193"/>
      <c r="F21" s="194"/>
      <c r="G21" s="194"/>
      <c r="H21" s="194"/>
      <c r="I21" s="194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</row>
    <row r="22" spans="1:24" ht="15.75" customHeight="1">
      <c r="A22" s="279"/>
      <c r="B22" s="209"/>
      <c r="C22" s="209"/>
      <c r="D22" s="210"/>
      <c r="E22" s="193"/>
      <c r="F22" s="194"/>
      <c r="G22" s="194"/>
      <c r="H22" s="194"/>
      <c r="I22" s="194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</row>
    <row r="23" spans="1:24" ht="15.75" customHeight="1">
      <c r="A23" s="280"/>
      <c r="B23" s="209"/>
      <c r="C23" s="209"/>
      <c r="D23" s="210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</row>
    <row r="24" spans="1:24" ht="15.75" customHeight="1">
      <c r="A24" s="280"/>
      <c r="B24" s="209"/>
      <c r="C24" s="209"/>
      <c r="D24" s="21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</row>
    <row r="25" spans="1:24" ht="15.75" customHeight="1">
      <c r="A25" s="280"/>
      <c r="B25" s="209"/>
      <c r="C25" s="209"/>
      <c r="D25" s="21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</row>
    <row r="26" spans="1:24" ht="15.75" customHeight="1">
      <c r="A26" s="180"/>
      <c r="B26" s="180"/>
      <c r="C26" s="180"/>
      <c r="D26" s="198" t="s">
        <v>159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</row>
    <row r="27" spans="1:24" ht="15.75" customHeight="1">
      <c r="A27" s="180"/>
      <c r="B27" s="180"/>
      <c r="C27" s="180"/>
      <c r="D27" s="198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</row>
    <row r="28" spans="1:24" ht="15.75" customHeight="1">
      <c r="A28" s="180"/>
      <c r="B28" s="180"/>
      <c r="C28" s="180"/>
      <c r="D28" s="19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</row>
    <row r="29" spans="1:24" ht="15.75" customHeight="1">
      <c r="A29" s="180"/>
      <c r="B29" s="180"/>
      <c r="C29" s="180"/>
      <c r="D29" s="198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</row>
    <row r="30" spans="1:24" ht="15.75" customHeight="1">
      <c r="A30" s="180"/>
      <c r="B30" s="180"/>
      <c r="C30" s="180"/>
      <c r="D30" s="198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</row>
    <row r="31" spans="1:24" ht="15.75" customHeight="1">
      <c r="A31" s="180"/>
      <c r="B31" s="180"/>
      <c r="C31" s="180"/>
      <c r="D31" s="19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</row>
    <row r="32" spans="1:24" ht="15.75" customHeight="1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</row>
    <row r="33" spans="1:24" ht="15.75" customHeight="1">
      <c r="A33" s="199" t="s">
        <v>160</v>
      </c>
      <c r="B33" s="20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</row>
    <row r="34" spans="1:24" ht="15.75" customHeight="1">
      <c r="A34" s="199" t="s">
        <v>161</v>
      </c>
      <c r="B34" s="201" t="str">
        <f>GradeSheet!$H$5</f>
        <v>Rubaiya Hafiz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</row>
    <row r="35" spans="1:24" ht="15.75" customHeight="1">
      <c r="A35" s="199" t="s">
        <v>162</v>
      </c>
      <c r="B35" s="202">
        <f ca="1">TODAY()</f>
        <v>46152</v>
      </c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</row>
    <row r="36" spans="1:24" ht="15.75" customHeight="1">
      <c r="A36" s="199"/>
      <c r="B36" s="202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</row>
    <row r="37" spans="1:24" ht="15.75" customHeight="1">
      <c r="A37" s="203"/>
      <c r="B37" s="57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</row>
    <row r="38" spans="1:24" ht="15.75" customHeight="1">
      <c r="A38" s="180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</row>
    <row r="39" spans="1:24" ht="15.75" customHeight="1">
      <c r="A39" s="180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</row>
    <row r="40" spans="1:24" ht="15.75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</row>
    <row r="41" spans="1:24" ht="15.75" customHeight="1">
      <c r="A41" s="180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</row>
    <row r="42" spans="1:24" ht="15.75" customHeight="1">
      <c r="A42" s="180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</row>
    <row r="43" spans="1:24" ht="15.75" customHeight="1">
      <c r="A43" s="180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</row>
    <row r="44" spans="1:24" ht="15.75" customHeight="1">
      <c r="A44" s="180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</row>
    <row r="45" spans="1:24" ht="15.75" customHeight="1">
      <c r="A45" s="18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</row>
    <row r="46" spans="1:24" ht="15.75" customHeight="1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</row>
    <row r="47" spans="1:24" ht="15.75" customHeight="1">
      <c r="A47" s="180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</row>
    <row r="48" spans="1:24" ht="15.75" customHeight="1">
      <c r="A48" s="180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</row>
    <row r="49" spans="1:24" ht="15.75" customHeight="1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</row>
    <row r="50" spans="1:24" ht="15.75" customHeight="1">
      <c r="A50" s="180"/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</row>
    <row r="51" spans="1:24" ht="15.75" customHeight="1">
      <c r="A51" s="180"/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</row>
    <row r="52" spans="1:24" ht="15.75" customHeight="1">
      <c r="A52" s="180"/>
      <c r="B52" s="180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</row>
    <row r="53" spans="1:24" ht="15.75" customHeight="1">
      <c r="A53" s="180"/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</row>
    <row r="54" spans="1:24" ht="15.75" customHeight="1">
      <c r="A54" s="180"/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</row>
    <row r="55" spans="1:24" ht="15.75" customHeight="1">
      <c r="A55" s="180"/>
      <c r="B55" s="180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</row>
    <row r="56" spans="1:24" ht="15.75" customHeight="1">
      <c r="A56" s="180"/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</row>
    <row r="57" spans="1:24" ht="15.75" customHeight="1">
      <c r="A57" s="180"/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</row>
    <row r="58" spans="1:24" ht="15.75" customHeight="1">
      <c r="A58" s="180"/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spans="1:24" ht="15.75" customHeight="1">
      <c r="A59" s="180"/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</row>
    <row r="60" spans="1:24" ht="15.75" customHeight="1">
      <c r="A60" s="180"/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</row>
    <row r="61" spans="1:24" ht="15.75" customHeight="1">
      <c r="A61" s="180"/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</row>
    <row r="62" spans="1:24" ht="15.75" customHeight="1">
      <c r="A62" s="180"/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</row>
    <row r="63" spans="1:24" ht="15.75" customHeight="1">
      <c r="A63" s="180"/>
      <c r="B63" s="180"/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</row>
    <row r="64" spans="1:24" ht="15.75" customHeight="1">
      <c r="A64" s="180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</row>
    <row r="65" spans="1:24" ht="15.75" customHeight="1">
      <c r="A65" s="180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</row>
    <row r="66" spans="1:24" ht="15.75" customHeight="1">
      <c r="A66" s="180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</row>
    <row r="67" spans="1:24" ht="15.75" customHeight="1">
      <c r="A67" s="180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</row>
    <row r="68" spans="1:24" ht="15.75" customHeight="1">
      <c r="A68" s="180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</row>
    <row r="69" spans="1:24" ht="15.75" customHeight="1">
      <c r="A69" s="180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</row>
    <row r="70" spans="1:24" ht="15.75" customHeight="1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</row>
    <row r="71" spans="1:24" ht="15.75" customHeight="1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</row>
    <row r="72" spans="1:24" ht="15.75" customHeight="1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</row>
    <row r="73" spans="1:24" ht="15.7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</row>
    <row r="74" spans="1:24" ht="15.75" customHeight="1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</row>
    <row r="75" spans="1:24" ht="15.75" customHeight="1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</row>
    <row r="76" spans="1:24" ht="15.75" customHeight="1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</row>
    <row r="77" spans="1:24" ht="15.75" customHeight="1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</row>
    <row r="78" spans="1:24" ht="15.75" customHeight="1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</row>
    <row r="79" spans="1:24" ht="15.75" customHeight="1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</row>
    <row r="80" spans="1:24" ht="15.75" customHeight="1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</row>
    <row r="81" spans="1:24" ht="15.7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</row>
    <row r="82" spans="1:24" ht="15.7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</row>
    <row r="83" spans="1:24" ht="15.7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</row>
    <row r="84" spans="1:24" ht="15.7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</row>
    <row r="85" spans="1:24" ht="15.7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</row>
    <row r="86" spans="1:24" ht="15.7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</row>
    <row r="87" spans="1:24" ht="15.7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</row>
    <row r="88" spans="1:24" ht="15.7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</row>
    <row r="89" spans="1:24" ht="15.75" customHeight="1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</row>
    <row r="90" spans="1:24" ht="15.75" customHeight="1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</row>
    <row r="91" spans="1:24" ht="15.75" customHeight="1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</row>
    <row r="92" spans="1:24" ht="15.75" customHeight="1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</row>
    <row r="93" spans="1:24" ht="15.75" customHeight="1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</row>
    <row r="94" spans="1:24" ht="15.75" customHeight="1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</row>
    <row r="95" spans="1:24" ht="15.75" customHeight="1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</row>
    <row r="96" spans="1:24" ht="15.75" customHeight="1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</row>
    <row r="97" spans="1:24" ht="15.75" customHeight="1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</row>
    <row r="98" spans="1:24" ht="15.75" customHeight="1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</row>
    <row r="99" spans="1:24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</row>
    <row r="100" spans="1:24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</row>
    <row r="101" spans="1:24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</row>
    <row r="102" spans="1:24" ht="15.75" customHeight="1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</row>
    <row r="103" spans="1:24" ht="15.75" customHeight="1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</row>
    <row r="104" spans="1:24" ht="15.75" customHeight="1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</row>
    <row r="105" spans="1:24" ht="15.75" customHeight="1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</row>
    <row r="106" spans="1:24" ht="15.75" customHeight="1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</row>
    <row r="107" spans="1:24" ht="15.75" customHeight="1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</row>
    <row r="108" spans="1:24" ht="15.75" customHeight="1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</row>
    <row r="109" spans="1:24" ht="15.75" customHeight="1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</row>
    <row r="110" spans="1:24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</row>
    <row r="111" spans="1:24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</row>
    <row r="112" spans="1:24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</row>
    <row r="113" spans="1:24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</row>
    <row r="114" spans="1:24" ht="15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</row>
    <row r="115" spans="1:24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</row>
    <row r="116" spans="1:24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</row>
    <row r="117" spans="1:24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</row>
    <row r="118" spans="1:24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</row>
    <row r="119" spans="1:24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</row>
    <row r="120" spans="1:24" ht="15.75" customHeight="1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</row>
    <row r="121" spans="1:24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</row>
    <row r="122" spans="1:24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</row>
    <row r="123" spans="1:24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</row>
    <row r="124" spans="1:24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</row>
    <row r="125" spans="1:24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</row>
    <row r="126" spans="1:24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</row>
    <row r="127" spans="1:24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</row>
    <row r="128" spans="1:24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</row>
    <row r="129" spans="1:24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</row>
    <row r="130" spans="1:24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</row>
    <row r="131" spans="1:24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</row>
    <row r="132" spans="1:24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</row>
    <row r="133" spans="1:24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</row>
    <row r="134" spans="1:24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</row>
    <row r="135" spans="1:24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</row>
    <row r="136" spans="1:24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</row>
    <row r="137" spans="1:24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</row>
    <row r="138" spans="1:24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</row>
    <row r="139" spans="1:24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</row>
    <row r="140" spans="1:24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</row>
    <row r="141" spans="1:24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</row>
    <row r="142" spans="1:24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</row>
    <row r="143" spans="1:24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</row>
    <row r="144" spans="1:24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</row>
    <row r="145" spans="1:24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</row>
    <row r="146" spans="1:24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</row>
    <row r="147" spans="1:24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</row>
    <row r="148" spans="1:24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</row>
    <row r="149" spans="1:24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</row>
    <row r="150" spans="1:24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</row>
    <row r="151" spans="1:24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</row>
    <row r="152" spans="1:24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</row>
    <row r="153" spans="1:24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</row>
    <row r="154" spans="1:24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</row>
    <row r="155" spans="1:24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</row>
    <row r="156" spans="1:24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</row>
    <row r="157" spans="1:24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</row>
    <row r="158" spans="1:24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</row>
    <row r="159" spans="1:24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</row>
    <row r="160" spans="1:24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</row>
    <row r="161" spans="1:24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</row>
    <row r="162" spans="1:24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</row>
    <row r="163" spans="1:24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</row>
    <row r="164" spans="1:24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</row>
    <row r="165" spans="1:24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</row>
    <row r="166" spans="1:24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</row>
    <row r="167" spans="1:24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</row>
    <row r="168" spans="1:24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</row>
    <row r="169" spans="1:24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</row>
    <row r="170" spans="1:24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</row>
    <row r="171" spans="1:24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</row>
    <row r="172" spans="1:24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</row>
    <row r="173" spans="1:24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</row>
    <row r="174" spans="1:24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</row>
    <row r="175" spans="1:24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</row>
    <row r="176" spans="1:24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</row>
    <row r="177" spans="1:24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</row>
    <row r="178" spans="1:24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</row>
    <row r="179" spans="1:24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</row>
    <row r="180" spans="1:24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</row>
    <row r="181" spans="1:24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</row>
    <row r="182" spans="1:24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</row>
    <row r="183" spans="1:24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</row>
    <row r="184" spans="1:24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</row>
    <row r="185" spans="1:24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</row>
    <row r="186" spans="1:24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</row>
    <row r="187" spans="1:24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</row>
    <row r="188" spans="1:24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</row>
    <row r="189" spans="1:24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</row>
    <row r="190" spans="1:24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</row>
    <row r="191" spans="1:24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</row>
    <row r="192" spans="1:24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</row>
    <row r="193" spans="1:24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</row>
    <row r="194" spans="1:24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</row>
    <row r="195" spans="1:24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</row>
    <row r="196" spans="1:24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</row>
    <row r="197" spans="1:24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</row>
    <row r="198" spans="1:24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</row>
    <row r="199" spans="1:24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</row>
    <row r="200" spans="1:24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</row>
    <row r="201" spans="1:24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</row>
    <row r="202" spans="1:24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</row>
    <row r="203" spans="1:24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</row>
    <row r="204" spans="1:24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</row>
    <row r="205" spans="1:24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</row>
    <row r="206" spans="1:24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</row>
    <row r="207" spans="1:24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</row>
    <row r="208" spans="1:24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</row>
    <row r="209" spans="1:24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</row>
    <row r="210" spans="1:24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</row>
    <row r="211" spans="1:24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</row>
    <row r="212" spans="1:24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</row>
    <row r="213" spans="1:24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</row>
    <row r="214" spans="1:24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</row>
    <row r="215" spans="1:24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</row>
    <row r="216" spans="1:24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</row>
    <row r="217" spans="1:24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</row>
    <row r="218" spans="1:24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</row>
    <row r="219" spans="1:24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</row>
    <row r="220" spans="1:24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</row>
    <row r="221" spans="1:24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</row>
    <row r="222" spans="1:24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</row>
    <row r="223" spans="1:24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</row>
    <row r="224" spans="1:24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</row>
    <row r="225" spans="1:24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</row>
    <row r="226" spans="1:24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</row>
    <row r="227" spans="1:24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</row>
    <row r="228" spans="1:24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</row>
    <row r="229" spans="1:24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</row>
    <row r="230" spans="1:24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</row>
    <row r="231" spans="1:24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</row>
    <row r="232" spans="1:24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</row>
    <row r="233" spans="1:24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</row>
    <row r="234" spans="1:24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</row>
    <row r="235" spans="1:24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  <mergeCell ref="A11:B11"/>
    <mergeCell ref="A12:B12"/>
    <mergeCell ref="A1:D1"/>
    <mergeCell ref="A6:B6"/>
    <mergeCell ref="A7:B7"/>
    <mergeCell ref="C7:C12"/>
    <mergeCell ref="A8:B8"/>
    <mergeCell ref="A9:B9"/>
    <mergeCell ref="A10:B1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2026-05-10T17:02:12Z</dcterms:modified>
</cp:coreProperties>
</file>